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User\Documents\UNI\Project\Python\"/>
    </mc:Choice>
  </mc:AlternateContent>
  <xr:revisionPtr revIDLastSave="0" documentId="8_{F62E8259-75EC-4473-92CF-D6676C172BF7}" xr6:coauthVersionLast="47" xr6:coauthVersionMax="47" xr10:uidLastSave="{00000000-0000-0000-0000-000000000000}"/>
  <bookViews>
    <workbookView xWindow="-120" yWindow="-120" windowWidth="29040" windowHeight="15840" tabRatio="683" activeTab="2" xr2:uid="{00000000-000D-0000-FFFF-FFFF00000000}"/>
  </bookViews>
  <sheets>
    <sheet name="Drawings &amp; Data" sheetId="20" r:id="rId1"/>
    <sheet name="Summary" sheetId="21" r:id="rId2"/>
    <sheet name="Road &amp; Drainage" sheetId="10" r:id="rId3"/>
    <sheet name="Sewer Retic (MRWA)" sheetId="27" r:id="rId4"/>
    <sheet name="Sewer Retic (WW)" sheetId="4" r:id="rId5"/>
    <sheet name="Branch Sewer MRWA Reimbursable" sheetId="25" r:id="rId6"/>
    <sheet name="Branch Sewer MRWA Reimburs (WW)" sheetId="38" r:id="rId7"/>
    <sheet name="DW Retic" sheetId="5" r:id="rId8"/>
    <sheet name="DW Retic (WW)" sheetId="34" r:id="rId9"/>
    <sheet name="NDW Retic" sheetId="30" r:id="rId10"/>
    <sheet name="NDW Retic (WW)" sheetId="35" r:id="rId11"/>
    <sheet name="Trunk DW Main - Reimbursable" sheetId="23" r:id="rId12"/>
    <sheet name="Trunk DW Main (WW)" sheetId="36" r:id="rId13"/>
    <sheet name="Trunk NDW Main - Reimbursable" sheetId="33" r:id="rId14"/>
    <sheet name="Trunk NDW Main - (WW)" sheetId="37" r:id="rId15"/>
    <sheet name="Electrical" sheetId="19" r:id="rId16"/>
  </sheets>
  <functionGroups builtInGroupCount="19"/>
  <definedNames>
    <definedName name="_xlnm.Print_Titles" localSheetId="6">'Branch Sewer MRWA Reimburs (WW)'!$23:$23</definedName>
    <definedName name="_xlnm.Print_Titles" localSheetId="5">'Branch Sewer MRWA Reimbursable'!$23:$23</definedName>
    <definedName name="_xlnm.Print_Titles" localSheetId="0">'Drawings &amp; Data'!#REF!</definedName>
    <definedName name="_xlnm.Print_Titles" localSheetId="7">'DW Retic'!$23:$23</definedName>
    <definedName name="_xlnm.Print_Titles" localSheetId="8">'DW Retic (WW)'!$23:$23</definedName>
    <definedName name="_xlnm.Print_Titles" localSheetId="15">Electrical!$23:$23</definedName>
    <definedName name="_xlnm.Print_Titles" localSheetId="9">'NDW Retic'!$23:$23</definedName>
    <definedName name="_xlnm.Print_Titles" localSheetId="10">'NDW Retic (WW)'!$23:$23</definedName>
    <definedName name="_xlnm.Print_Titles" localSheetId="2">'Road &amp; Drainage'!$25:$25</definedName>
    <definedName name="_xlnm.Print_Titles" localSheetId="3">'Sewer Retic (MRWA)'!$23:$23</definedName>
    <definedName name="_xlnm.Print_Titles" localSheetId="4">'Sewer Retic (WW)'!$23:$23</definedName>
    <definedName name="_xlnm.Print_Titles" localSheetId="11">'Trunk DW Main - Reimbursable'!$23:$23</definedName>
    <definedName name="_xlnm.Print_Titles" localSheetId="12">'Trunk DW Main (WW)'!$23:$23</definedName>
    <definedName name="_xlnm.Print_Titles" localSheetId="14">'Trunk NDW Main - (WW)'!$23:$23</definedName>
    <definedName name="_xlnm.Print_Titles" localSheetId="13">'Trunk NDW Main - Reimbursable'!$23:$23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4" i="10" l="1"/>
  <c r="D26" i="19"/>
  <c r="D27" i="19"/>
  <c r="D28" i="19"/>
  <c r="D29" i="19"/>
  <c r="D30" i="19"/>
  <c r="D31" i="19"/>
  <c r="D32" i="19"/>
  <c r="D25" i="19"/>
  <c r="F26" i="19"/>
  <c r="F27" i="19"/>
  <c r="F28" i="19"/>
  <c r="F29" i="19"/>
  <c r="F30" i="19"/>
  <c r="F31" i="19"/>
  <c r="F32" i="19"/>
  <c r="F25" i="19"/>
  <c r="D28" i="37"/>
  <c r="D29" i="37"/>
  <c r="D30" i="37"/>
  <c r="D31" i="37"/>
  <c r="D32" i="37"/>
  <c r="D33" i="37"/>
  <c r="D34" i="37"/>
  <c r="D35" i="37"/>
  <c r="D36" i="37"/>
  <c r="D37" i="37"/>
  <c r="D38" i="37"/>
  <c r="D39" i="37"/>
  <c r="D40" i="37"/>
  <c r="D41" i="37"/>
  <c r="D42" i="37"/>
  <c r="D43" i="37"/>
  <c r="D44" i="37"/>
  <c r="D45" i="37"/>
  <c r="D46" i="37"/>
  <c r="D47" i="37"/>
  <c r="D48" i="37"/>
  <c r="D49" i="37"/>
  <c r="D50" i="37"/>
  <c r="D51" i="37"/>
  <c r="D52" i="37"/>
  <c r="D53" i="37"/>
  <c r="D54" i="37"/>
  <c r="D55" i="37"/>
  <c r="D56" i="37"/>
  <c r="D57" i="37"/>
  <c r="D58" i="37"/>
  <c r="D59" i="37"/>
  <c r="D60" i="37"/>
  <c r="D61" i="37"/>
  <c r="D62" i="37"/>
  <c r="D63" i="37"/>
  <c r="D64" i="37"/>
  <c r="D65" i="37"/>
  <c r="D66" i="37"/>
  <c r="D67" i="37"/>
  <c r="D68" i="37"/>
  <c r="D69" i="37"/>
  <c r="D70" i="37"/>
  <c r="D71" i="37"/>
  <c r="D72" i="37"/>
  <c r="D73" i="37"/>
  <c r="D74" i="37"/>
  <c r="D75" i="37"/>
  <c r="D76" i="37"/>
  <c r="D77" i="37"/>
  <c r="D78" i="37"/>
  <c r="D79" i="37"/>
  <c r="D80" i="37"/>
  <c r="D81" i="37"/>
  <c r="D82" i="37"/>
  <c r="D83" i="37"/>
  <c r="D84" i="37"/>
  <c r="D85" i="37"/>
  <c r="D86" i="37"/>
  <c r="D87" i="37"/>
  <c r="D88" i="37"/>
  <c r="D89" i="37"/>
  <c r="D90" i="37"/>
  <c r="D91" i="37"/>
  <c r="D92" i="37"/>
  <c r="D93" i="37"/>
  <c r="D94" i="37"/>
  <c r="D95" i="37"/>
  <c r="D96" i="37"/>
  <c r="D97" i="37"/>
  <c r="D98" i="37"/>
  <c r="D99" i="37"/>
  <c r="D100" i="37"/>
  <c r="D101" i="37"/>
  <c r="D102" i="37"/>
  <c r="D103" i="37"/>
  <c r="D104" i="37"/>
  <c r="D105" i="37"/>
  <c r="D106" i="37"/>
  <c r="D107" i="37"/>
  <c r="D108" i="37"/>
  <c r="D109" i="37"/>
  <c r="D110" i="37"/>
  <c r="D111" i="37"/>
  <c r="D112" i="37"/>
  <c r="D113" i="37"/>
  <c r="D27" i="37"/>
  <c r="F28" i="37"/>
  <c r="F29" i="37"/>
  <c r="F30" i="37"/>
  <c r="F31" i="37"/>
  <c r="F32" i="37"/>
  <c r="F33" i="37"/>
  <c r="F34" i="37"/>
  <c r="F35" i="37"/>
  <c r="F36" i="37"/>
  <c r="F37" i="37"/>
  <c r="F38" i="37"/>
  <c r="F39" i="37"/>
  <c r="F40" i="37"/>
  <c r="F41" i="37"/>
  <c r="F42" i="37"/>
  <c r="F43" i="37"/>
  <c r="F44" i="37"/>
  <c r="F45" i="37"/>
  <c r="F46" i="37"/>
  <c r="F47" i="37"/>
  <c r="F48" i="37"/>
  <c r="F49" i="37"/>
  <c r="F50" i="37"/>
  <c r="F51" i="37"/>
  <c r="F52" i="37"/>
  <c r="F53" i="37"/>
  <c r="F54" i="37"/>
  <c r="F55" i="37"/>
  <c r="F56" i="37"/>
  <c r="F57" i="37"/>
  <c r="F58" i="37"/>
  <c r="F59" i="37"/>
  <c r="F60" i="37"/>
  <c r="F61" i="37"/>
  <c r="F62" i="37"/>
  <c r="F63" i="37"/>
  <c r="F64" i="37"/>
  <c r="F65" i="37"/>
  <c r="F66" i="37"/>
  <c r="F67" i="37"/>
  <c r="F68" i="37"/>
  <c r="F69" i="37"/>
  <c r="F70" i="37"/>
  <c r="F71" i="37"/>
  <c r="F72" i="37"/>
  <c r="F73" i="37"/>
  <c r="F74" i="37"/>
  <c r="F75" i="37"/>
  <c r="F76" i="37"/>
  <c r="F77" i="37"/>
  <c r="F78" i="37"/>
  <c r="F79" i="37"/>
  <c r="F80" i="37"/>
  <c r="F81" i="37"/>
  <c r="F82" i="37"/>
  <c r="F83" i="37"/>
  <c r="F84" i="37"/>
  <c r="F85" i="37"/>
  <c r="F86" i="37"/>
  <c r="F87" i="37"/>
  <c r="F88" i="37"/>
  <c r="F89" i="37"/>
  <c r="F90" i="37"/>
  <c r="F91" i="37"/>
  <c r="F92" i="37"/>
  <c r="F93" i="37"/>
  <c r="F94" i="37"/>
  <c r="F95" i="37"/>
  <c r="F96" i="37"/>
  <c r="F97" i="37"/>
  <c r="F98" i="37"/>
  <c r="F99" i="37"/>
  <c r="F100" i="37"/>
  <c r="F101" i="37"/>
  <c r="F102" i="37"/>
  <c r="F103" i="37"/>
  <c r="F104" i="37"/>
  <c r="F105" i="37"/>
  <c r="F106" i="37"/>
  <c r="F107" i="37"/>
  <c r="F108" i="37"/>
  <c r="F109" i="37"/>
  <c r="F110" i="37"/>
  <c r="F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83" i="37"/>
  <c r="H84" i="37"/>
  <c r="H85" i="37"/>
  <c r="H86" i="37"/>
  <c r="H87" i="37"/>
  <c r="H88" i="37"/>
  <c r="H89" i="37"/>
  <c r="H90" i="37"/>
  <c r="H91" i="37"/>
  <c r="H92" i="37"/>
  <c r="H93" i="37"/>
  <c r="H94" i="37"/>
  <c r="H95" i="37"/>
  <c r="H96" i="37"/>
  <c r="H97" i="37"/>
  <c r="H98" i="37"/>
  <c r="H99" i="37"/>
  <c r="H100" i="37"/>
  <c r="H101" i="37"/>
  <c r="H102" i="37"/>
  <c r="H103" i="37"/>
  <c r="H104" i="37"/>
  <c r="H105" i="37"/>
  <c r="H106" i="37"/>
  <c r="H107" i="37"/>
  <c r="H108" i="37"/>
  <c r="H109" i="37"/>
  <c r="H110" i="37"/>
  <c r="H27" i="37"/>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27" i="33"/>
  <c r="D28" i="36"/>
  <c r="D29" i="36"/>
  <c r="D30" i="36"/>
  <c r="D31" i="36"/>
  <c r="D32" i="36"/>
  <c r="D33" i="36"/>
  <c r="D34" i="36"/>
  <c r="D35" i="36"/>
  <c r="D36" i="36"/>
  <c r="D37" i="36"/>
  <c r="D38" i="36"/>
  <c r="D39" i="36"/>
  <c r="D40" i="36"/>
  <c r="D41" i="36"/>
  <c r="D42" i="36"/>
  <c r="D43" i="36"/>
  <c r="D44" i="36"/>
  <c r="D45" i="36"/>
  <c r="D46" i="36"/>
  <c r="D47" i="36"/>
  <c r="D48" i="36"/>
  <c r="D49" i="36"/>
  <c r="D50" i="36"/>
  <c r="D51" i="36"/>
  <c r="D52" i="36"/>
  <c r="D53" i="36"/>
  <c r="D54" i="36"/>
  <c r="D55" i="36"/>
  <c r="D56" i="36"/>
  <c r="D57" i="36"/>
  <c r="D58" i="36"/>
  <c r="D59" i="36"/>
  <c r="D60" i="36"/>
  <c r="D61" i="36"/>
  <c r="D62" i="36"/>
  <c r="D63" i="36"/>
  <c r="D64" i="36"/>
  <c r="D65" i="36"/>
  <c r="D66" i="36"/>
  <c r="D67" i="36"/>
  <c r="D68" i="36"/>
  <c r="D69" i="36"/>
  <c r="D70" i="36"/>
  <c r="D71" i="36"/>
  <c r="D72" i="36"/>
  <c r="D73" i="36"/>
  <c r="D74" i="36"/>
  <c r="D75" i="36"/>
  <c r="D76" i="36"/>
  <c r="D77" i="36"/>
  <c r="D78" i="36"/>
  <c r="D79" i="36"/>
  <c r="D80" i="36"/>
  <c r="D81" i="36"/>
  <c r="D82" i="36"/>
  <c r="D83" i="36"/>
  <c r="D84" i="36"/>
  <c r="D85" i="36"/>
  <c r="D86" i="36"/>
  <c r="D87" i="36"/>
  <c r="D88" i="36"/>
  <c r="D89" i="36"/>
  <c r="D90" i="36"/>
  <c r="D91" i="36"/>
  <c r="D92" i="36"/>
  <c r="D93" i="36"/>
  <c r="D94" i="36"/>
  <c r="D95" i="36"/>
  <c r="D96" i="36"/>
  <c r="D97" i="36"/>
  <c r="D98" i="36"/>
  <c r="D99" i="36"/>
  <c r="D100" i="36"/>
  <c r="D101" i="36"/>
  <c r="D102" i="36"/>
  <c r="D103" i="36"/>
  <c r="D104" i="36"/>
  <c r="D105" i="36"/>
  <c r="D106" i="36"/>
  <c r="D107" i="36"/>
  <c r="D108" i="36"/>
  <c r="D109" i="36"/>
  <c r="D110" i="36"/>
  <c r="D111" i="36"/>
  <c r="D112" i="36"/>
  <c r="D113" i="36"/>
  <c r="D27" i="36"/>
  <c r="F28" i="36"/>
  <c r="F29" i="36"/>
  <c r="F30" i="36"/>
  <c r="F31" i="36"/>
  <c r="F32" i="36"/>
  <c r="F33" i="36"/>
  <c r="F34" i="36"/>
  <c r="F35" i="36"/>
  <c r="F36" i="36"/>
  <c r="F37" i="36"/>
  <c r="F38" i="36"/>
  <c r="F39" i="36"/>
  <c r="F40" i="36"/>
  <c r="F41" i="36"/>
  <c r="F42" i="36"/>
  <c r="F43" i="36"/>
  <c r="F44" i="36"/>
  <c r="F45" i="36"/>
  <c r="F46" i="36"/>
  <c r="F47" i="36"/>
  <c r="F48" i="36"/>
  <c r="F49" i="36"/>
  <c r="F50" i="36"/>
  <c r="F51" i="36"/>
  <c r="F52" i="36"/>
  <c r="F53" i="36"/>
  <c r="F54" i="36"/>
  <c r="F55" i="36"/>
  <c r="F56" i="36"/>
  <c r="F57" i="36"/>
  <c r="F58" i="36"/>
  <c r="F59" i="36"/>
  <c r="F60" i="36"/>
  <c r="F61" i="36"/>
  <c r="F62" i="36"/>
  <c r="F63" i="36"/>
  <c r="F64" i="36"/>
  <c r="F65" i="36"/>
  <c r="F66" i="36"/>
  <c r="F67" i="36"/>
  <c r="F68" i="36"/>
  <c r="F69" i="36"/>
  <c r="F70" i="36"/>
  <c r="F71" i="36"/>
  <c r="F72" i="36"/>
  <c r="F73" i="36"/>
  <c r="F74" i="36"/>
  <c r="F75" i="36"/>
  <c r="F76" i="36"/>
  <c r="F77" i="36"/>
  <c r="F78" i="36"/>
  <c r="F79" i="36"/>
  <c r="F80" i="36"/>
  <c r="F81" i="36"/>
  <c r="F82" i="36"/>
  <c r="F83" i="36"/>
  <c r="F84" i="36"/>
  <c r="F85" i="36"/>
  <c r="F86" i="36"/>
  <c r="F87" i="36"/>
  <c r="F88" i="36"/>
  <c r="F89" i="36"/>
  <c r="F90" i="36"/>
  <c r="F91" i="36"/>
  <c r="F92" i="36"/>
  <c r="F93" i="36"/>
  <c r="F94" i="36"/>
  <c r="F95" i="36"/>
  <c r="F96" i="36"/>
  <c r="F97" i="36"/>
  <c r="F98" i="36"/>
  <c r="F99" i="36"/>
  <c r="F100" i="36"/>
  <c r="F101" i="36"/>
  <c r="F102" i="36"/>
  <c r="F103" i="36"/>
  <c r="F104" i="36"/>
  <c r="F105" i="36"/>
  <c r="F106" i="36"/>
  <c r="F107" i="36"/>
  <c r="F108" i="36"/>
  <c r="F109" i="36"/>
  <c r="F110" i="36"/>
  <c r="F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83" i="36"/>
  <c r="H84" i="36"/>
  <c r="H85" i="36"/>
  <c r="H86" i="36"/>
  <c r="H87" i="36"/>
  <c r="H88" i="36"/>
  <c r="H89" i="36"/>
  <c r="H90" i="36"/>
  <c r="H91" i="36"/>
  <c r="H92" i="36"/>
  <c r="H93" i="36"/>
  <c r="H94" i="36"/>
  <c r="H95" i="36"/>
  <c r="H96" i="36"/>
  <c r="H97" i="36"/>
  <c r="H98" i="36"/>
  <c r="H99" i="36"/>
  <c r="H100" i="36"/>
  <c r="H101" i="36"/>
  <c r="H102" i="36"/>
  <c r="H103" i="36"/>
  <c r="H104" i="36"/>
  <c r="H105" i="36"/>
  <c r="H106" i="36"/>
  <c r="H107" i="36"/>
  <c r="H108" i="36"/>
  <c r="H109" i="36"/>
  <c r="H110" i="36"/>
  <c r="H27" i="36"/>
  <c r="D28" i="23"/>
  <c r="D29" i="23"/>
  <c r="D30" i="23"/>
  <c r="D31" i="23"/>
  <c r="D32" i="23"/>
  <c r="D33" i="23"/>
  <c r="D34" i="23"/>
  <c r="D35" i="23"/>
  <c r="D36" i="23"/>
  <c r="D37" i="23"/>
  <c r="D38" i="23"/>
  <c r="D39" i="23"/>
  <c r="D40" i="23"/>
  <c r="D41" i="23"/>
  <c r="D42" i="23"/>
  <c r="D43" i="23"/>
  <c r="D44" i="23"/>
  <c r="D45" i="23"/>
  <c r="D46" i="23"/>
  <c r="D47" i="23"/>
  <c r="D48" i="23"/>
  <c r="D49" i="23"/>
  <c r="D50" i="23"/>
  <c r="D51" i="23"/>
  <c r="D52" i="23"/>
  <c r="D53" i="23"/>
  <c r="D54" i="23"/>
  <c r="D55" i="23"/>
  <c r="D56" i="23"/>
  <c r="D57" i="23"/>
  <c r="D58" i="23"/>
  <c r="D59" i="23"/>
  <c r="D60" i="23"/>
  <c r="D61" i="23"/>
  <c r="D62" i="23"/>
  <c r="D63" i="23"/>
  <c r="D64" i="23"/>
  <c r="D65" i="23"/>
  <c r="D66" i="23"/>
  <c r="D67" i="23"/>
  <c r="D68" i="23"/>
  <c r="D69" i="23"/>
  <c r="D70" i="23"/>
  <c r="D71" i="23"/>
  <c r="D72" i="23"/>
  <c r="D73" i="23"/>
  <c r="D74" i="23"/>
  <c r="D75" i="23"/>
  <c r="D76" i="23"/>
  <c r="D77" i="23"/>
  <c r="D78" i="23"/>
  <c r="D79" i="23"/>
  <c r="D80" i="23"/>
  <c r="D81" i="23"/>
  <c r="D82" i="23"/>
  <c r="D83" i="23"/>
  <c r="D84" i="23"/>
  <c r="D85" i="23"/>
  <c r="D86" i="23"/>
  <c r="D87" i="23"/>
  <c r="D88" i="23"/>
  <c r="D89" i="23"/>
  <c r="D90" i="23"/>
  <c r="D91" i="23"/>
  <c r="D92" i="23"/>
  <c r="D93" i="23"/>
  <c r="D94" i="23"/>
  <c r="D95" i="23"/>
  <c r="D96" i="23"/>
  <c r="D97" i="23"/>
  <c r="D98" i="23"/>
  <c r="D99" i="23"/>
  <c r="D100" i="23"/>
  <c r="D101" i="23"/>
  <c r="D102" i="23"/>
  <c r="D103" i="23"/>
  <c r="D104" i="23"/>
  <c r="D105" i="23"/>
  <c r="D106" i="23"/>
  <c r="D107" i="23"/>
  <c r="D108" i="23"/>
  <c r="D109" i="23"/>
  <c r="D110" i="23"/>
  <c r="D111" i="23"/>
  <c r="D112" i="23"/>
  <c r="D27" i="23"/>
  <c r="F28" i="23"/>
  <c r="F29" i="23"/>
  <c r="F30" i="23"/>
  <c r="F31" i="23"/>
  <c r="F32" i="23"/>
  <c r="F33" i="23"/>
  <c r="F34" i="23"/>
  <c r="F35" i="23"/>
  <c r="F36" i="23"/>
  <c r="F37" i="23"/>
  <c r="F38" i="23"/>
  <c r="F39" i="23"/>
  <c r="F40" i="23"/>
  <c r="F41" i="23"/>
  <c r="F42" i="23"/>
  <c r="F43" i="23"/>
  <c r="F44" i="23"/>
  <c r="F45" i="23"/>
  <c r="F46" i="23"/>
  <c r="F47" i="23"/>
  <c r="F48" i="23"/>
  <c r="F49" i="23"/>
  <c r="F50" i="23"/>
  <c r="F51" i="23"/>
  <c r="F52" i="23"/>
  <c r="F53" i="23"/>
  <c r="F54" i="23"/>
  <c r="F55" i="23"/>
  <c r="F56" i="23"/>
  <c r="F57" i="23"/>
  <c r="F58" i="23"/>
  <c r="F59" i="23"/>
  <c r="F60" i="23"/>
  <c r="F61" i="23"/>
  <c r="F62" i="23"/>
  <c r="F63" i="23"/>
  <c r="F64" i="23"/>
  <c r="F65" i="23"/>
  <c r="F66" i="23"/>
  <c r="F67" i="23"/>
  <c r="F68" i="23"/>
  <c r="F69" i="23"/>
  <c r="F70" i="23"/>
  <c r="F71" i="23"/>
  <c r="F72" i="23"/>
  <c r="F73" i="23"/>
  <c r="F74" i="23"/>
  <c r="F75" i="23"/>
  <c r="F76" i="23"/>
  <c r="F77" i="23"/>
  <c r="F78" i="23"/>
  <c r="F79" i="23"/>
  <c r="F80" i="23"/>
  <c r="F81" i="23"/>
  <c r="F82" i="23"/>
  <c r="F83" i="23"/>
  <c r="F84" i="23"/>
  <c r="F85" i="23"/>
  <c r="F86" i="23"/>
  <c r="F87" i="23"/>
  <c r="F88" i="23"/>
  <c r="F89" i="23"/>
  <c r="F90" i="23"/>
  <c r="F91" i="23"/>
  <c r="F92" i="23"/>
  <c r="F93" i="23"/>
  <c r="F94" i="23"/>
  <c r="F95" i="23"/>
  <c r="F96" i="23"/>
  <c r="F97" i="23"/>
  <c r="F98" i="23"/>
  <c r="F99" i="23"/>
  <c r="F100" i="23"/>
  <c r="F101" i="23"/>
  <c r="F102" i="23"/>
  <c r="F103" i="23"/>
  <c r="F104" i="23"/>
  <c r="F105" i="23"/>
  <c r="F106" i="23"/>
  <c r="F107" i="23"/>
  <c r="F108" i="23"/>
  <c r="F109" i="23"/>
  <c r="F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27" i="23"/>
  <c r="D28" i="35"/>
  <c r="D29" i="35"/>
  <c r="D30" i="35"/>
  <c r="D31" i="35"/>
  <c r="D32" i="35"/>
  <c r="D33" i="35"/>
  <c r="D34" i="35"/>
  <c r="D35" i="35"/>
  <c r="D36" i="35"/>
  <c r="D37" i="35"/>
  <c r="D38" i="35"/>
  <c r="D39" i="35"/>
  <c r="D40" i="35"/>
  <c r="D41" i="35"/>
  <c r="D42" i="35"/>
  <c r="D43" i="35"/>
  <c r="D44" i="35"/>
  <c r="D45" i="35"/>
  <c r="D46" i="35"/>
  <c r="D47" i="35"/>
  <c r="D48" i="35"/>
  <c r="D49" i="35"/>
  <c r="D50" i="35"/>
  <c r="D51" i="35"/>
  <c r="D52" i="35"/>
  <c r="D53" i="35"/>
  <c r="D54" i="35"/>
  <c r="D55" i="35"/>
  <c r="D56" i="35"/>
  <c r="D57" i="35"/>
  <c r="D58" i="35"/>
  <c r="D59" i="35"/>
  <c r="D60" i="35"/>
  <c r="D61" i="35"/>
  <c r="D62" i="35"/>
  <c r="D63" i="35"/>
  <c r="D64" i="35"/>
  <c r="D65" i="35"/>
  <c r="D66" i="35"/>
  <c r="D67" i="35"/>
  <c r="D68" i="35"/>
  <c r="D69" i="35"/>
  <c r="D70" i="35"/>
  <c r="D71" i="35"/>
  <c r="D72" i="35"/>
  <c r="D73" i="35"/>
  <c r="D74" i="35"/>
  <c r="D75" i="35"/>
  <c r="D76" i="35"/>
  <c r="D77" i="35"/>
  <c r="D78" i="35"/>
  <c r="D79" i="35"/>
  <c r="D80" i="35"/>
  <c r="D81" i="35"/>
  <c r="D82" i="35"/>
  <c r="D83" i="35"/>
  <c r="D84" i="35"/>
  <c r="D85" i="35"/>
  <c r="D86" i="35"/>
  <c r="D87" i="35"/>
  <c r="D88" i="35"/>
  <c r="D89" i="35"/>
  <c r="D90" i="35"/>
  <c r="D91" i="35"/>
  <c r="D92" i="35"/>
  <c r="D93" i="35"/>
  <c r="D94" i="35"/>
  <c r="D95" i="35"/>
  <c r="D96" i="35"/>
  <c r="D97" i="35"/>
  <c r="D98" i="35"/>
  <c r="D99" i="35"/>
  <c r="D100" i="35"/>
  <c r="D101" i="35"/>
  <c r="D102" i="35"/>
  <c r="D103" i="35"/>
  <c r="D104" i="35"/>
  <c r="D105" i="35"/>
  <c r="D106" i="35"/>
  <c r="D107" i="35"/>
  <c r="D108" i="35"/>
  <c r="D109" i="35"/>
  <c r="D110" i="35"/>
  <c r="D111" i="35"/>
  <c r="D112" i="35"/>
  <c r="D113" i="35"/>
  <c r="D114" i="35"/>
  <c r="D115" i="35"/>
  <c r="D116" i="35"/>
  <c r="D117" i="35"/>
  <c r="D118" i="35"/>
  <c r="D119" i="35"/>
  <c r="D120" i="35"/>
  <c r="D121" i="35"/>
  <c r="D122" i="35"/>
  <c r="D123" i="35"/>
  <c r="D124" i="35"/>
  <c r="D125" i="35"/>
  <c r="D126" i="35"/>
  <c r="D127" i="35"/>
  <c r="D128" i="35"/>
  <c r="D129" i="35"/>
  <c r="D130" i="35"/>
  <c r="D131" i="35"/>
  <c r="D132" i="35"/>
  <c r="D133" i="35"/>
  <c r="D134" i="35"/>
  <c r="D135" i="35"/>
  <c r="D136" i="35"/>
  <c r="D137" i="35"/>
  <c r="D138" i="35"/>
  <c r="D139" i="35"/>
  <c r="D140" i="35"/>
  <c r="D141" i="35"/>
  <c r="D142" i="35"/>
  <c r="D143" i="35"/>
  <c r="D144" i="35"/>
  <c r="D145" i="35"/>
  <c r="D146" i="35"/>
  <c r="D147" i="35"/>
  <c r="D148" i="35"/>
  <c r="D149" i="35"/>
  <c r="D150" i="35"/>
  <c r="D151" i="35"/>
  <c r="D152" i="35"/>
  <c r="D153" i="35"/>
  <c r="D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F90" i="35"/>
  <c r="F91" i="35"/>
  <c r="F92" i="35"/>
  <c r="F93" i="35"/>
  <c r="F94" i="35"/>
  <c r="F95" i="35"/>
  <c r="F96" i="35"/>
  <c r="F97" i="35"/>
  <c r="F98" i="35"/>
  <c r="F99" i="35"/>
  <c r="F100" i="35"/>
  <c r="F101" i="35"/>
  <c r="F102" i="35"/>
  <c r="F103" i="35"/>
  <c r="F104" i="35"/>
  <c r="F105" i="35"/>
  <c r="F106" i="35"/>
  <c r="F107" i="35"/>
  <c r="F108" i="35"/>
  <c r="F109" i="35"/>
  <c r="F110" i="35"/>
  <c r="F111" i="35"/>
  <c r="F112" i="35"/>
  <c r="F113" i="35"/>
  <c r="F114" i="35"/>
  <c r="F115" i="35"/>
  <c r="F116" i="35"/>
  <c r="F117" i="35"/>
  <c r="F118" i="35"/>
  <c r="F119" i="35"/>
  <c r="F120" i="35"/>
  <c r="F121" i="35"/>
  <c r="F122" i="35"/>
  <c r="F123" i="35"/>
  <c r="F124" i="35"/>
  <c r="F125" i="35"/>
  <c r="F126" i="35"/>
  <c r="F127" i="35"/>
  <c r="F128" i="35"/>
  <c r="F129" i="35"/>
  <c r="F130" i="35"/>
  <c r="F131" i="35"/>
  <c r="F132" i="35"/>
  <c r="F133" i="35"/>
  <c r="F134" i="35"/>
  <c r="F135" i="35"/>
  <c r="F136" i="35"/>
  <c r="F137" i="35"/>
  <c r="F138" i="35"/>
  <c r="F139" i="35"/>
  <c r="F140" i="35"/>
  <c r="F141" i="35"/>
  <c r="F142" i="35"/>
  <c r="F143" i="35"/>
  <c r="F144" i="35"/>
  <c r="F145" i="35"/>
  <c r="F146" i="35"/>
  <c r="F147" i="35"/>
  <c r="F148" i="35"/>
  <c r="F149" i="35"/>
  <c r="F150" i="35"/>
  <c r="F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83" i="35"/>
  <c r="H84" i="35"/>
  <c r="H85" i="35"/>
  <c r="H86" i="35"/>
  <c r="H87" i="35"/>
  <c r="H88" i="35"/>
  <c r="H89" i="35"/>
  <c r="H90" i="35"/>
  <c r="H91" i="35"/>
  <c r="H92" i="35"/>
  <c r="H93" i="35"/>
  <c r="H94" i="35"/>
  <c r="H95" i="35"/>
  <c r="H96" i="35"/>
  <c r="H97" i="35"/>
  <c r="H98" i="35"/>
  <c r="H99" i="35"/>
  <c r="H100" i="35"/>
  <c r="H101" i="35"/>
  <c r="H102" i="35"/>
  <c r="H103" i="35"/>
  <c r="H104" i="35"/>
  <c r="H105" i="35"/>
  <c r="H106" i="35"/>
  <c r="H107" i="35"/>
  <c r="H108" i="35"/>
  <c r="H109" i="35"/>
  <c r="H110" i="35"/>
  <c r="H111" i="35"/>
  <c r="H112" i="35"/>
  <c r="H113" i="35"/>
  <c r="H114" i="35"/>
  <c r="H115" i="35"/>
  <c r="H116" i="35"/>
  <c r="H117" i="35"/>
  <c r="H118" i="35"/>
  <c r="H119" i="35"/>
  <c r="H120" i="35"/>
  <c r="H121" i="35"/>
  <c r="H122" i="35"/>
  <c r="H123" i="35"/>
  <c r="H124" i="35"/>
  <c r="H125" i="35"/>
  <c r="H126" i="35"/>
  <c r="H127" i="35"/>
  <c r="H128" i="35"/>
  <c r="H129" i="35"/>
  <c r="H130" i="35"/>
  <c r="H131" i="35"/>
  <c r="H132" i="35"/>
  <c r="H133" i="35"/>
  <c r="H134" i="35"/>
  <c r="H135" i="35"/>
  <c r="H136" i="35"/>
  <c r="H137" i="35"/>
  <c r="H138" i="35"/>
  <c r="H139" i="35"/>
  <c r="H140" i="35"/>
  <c r="H141" i="35"/>
  <c r="H142" i="35"/>
  <c r="H143" i="35"/>
  <c r="H144" i="35"/>
  <c r="H145" i="35"/>
  <c r="H146" i="35"/>
  <c r="H147" i="35"/>
  <c r="H148" i="35"/>
  <c r="H149" i="35"/>
  <c r="H150" i="35"/>
  <c r="H27" i="35"/>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27" i="30"/>
  <c r="F28" i="30"/>
  <c r="F29" i="30"/>
  <c r="F30" i="30"/>
  <c r="F31" i="30"/>
  <c r="F32" i="30"/>
  <c r="F33" i="30"/>
  <c r="F34" i="30"/>
  <c r="F35" i="30"/>
  <c r="F36" i="30"/>
  <c r="F37" i="30"/>
  <c r="F38" i="30"/>
  <c r="F39" i="30"/>
  <c r="F40" i="30"/>
  <c r="F41" i="30"/>
  <c r="F42" i="30"/>
  <c r="F43" i="30"/>
  <c r="F44" i="30"/>
  <c r="F45" i="30"/>
  <c r="F46" i="30"/>
  <c r="F47" i="30"/>
  <c r="F48" i="30"/>
  <c r="F49" i="30"/>
  <c r="F50" i="30"/>
  <c r="F51" i="30"/>
  <c r="F52" i="30"/>
  <c r="F53" i="30"/>
  <c r="F54" i="30"/>
  <c r="F55" i="30"/>
  <c r="F56" i="30"/>
  <c r="F57" i="30"/>
  <c r="F58" i="30"/>
  <c r="F59" i="30"/>
  <c r="F60" i="30"/>
  <c r="F61" i="30"/>
  <c r="F62" i="30"/>
  <c r="F63" i="30"/>
  <c r="F64" i="30"/>
  <c r="F65" i="30"/>
  <c r="F66" i="30"/>
  <c r="F67" i="30"/>
  <c r="F68" i="30"/>
  <c r="F69" i="30"/>
  <c r="F70" i="30"/>
  <c r="F71" i="30"/>
  <c r="F72" i="30"/>
  <c r="F73" i="30"/>
  <c r="F74" i="30"/>
  <c r="F75" i="30"/>
  <c r="F76" i="30"/>
  <c r="F77" i="30"/>
  <c r="F78" i="30"/>
  <c r="F79" i="30"/>
  <c r="F80" i="30"/>
  <c r="F81" i="30"/>
  <c r="F82" i="30"/>
  <c r="F83" i="30"/>
  <c r="F84" i="30"/>
  <c r="F85" i="30"/>
  <c r="F86" i="30"/>
  <c r="F87" i="30"/>
  <c r="F88" i="30"/>
  <c r="F89" i="30"/>
  <c r="F90" i="30"/>
  <c r="F91" i="30"/>
  <c r="F92" i="30"/>
  <c r="F93" i="30"/>
  <c r="F94" i="30"/>
  <c r="F95" i="30"/>
  <c r="F96" i="30"/>
  <c r="F97" i="30"/>
  <c r="F98" i="30"/>
  <c r="F99" i="30"/>
  <c r="F100" i="30"/>
  <c r="F101" i="30"/>
  <c r="F102" i="30"/>
  <c r="F103" i="30"/>
  <c r="F104" i="30"/>
  <c r="F105" i="30"/>
  <c r="F106" i="30"/>
  <c r="F107" i="30"/>
  <c r="F108" i="30"/>
  <c r="F109" i="30"/>
  <c r="F110" i="30"/>
  <c r="F111" i="30"/>
  <c r="F112" i="30"/>
  <c r="F113" i="30"/>
  <c r="F114" i="30"/>
  <c r="F115" i="30"/>
  <c r="F116" i="30"/>
  <c r="F117" i="30"/>
  <c r="F118" i="30"/>
  <c r="F119" i="30"/>
  <c r="F120" i="30"/>
  <c r="F121" i="30"/>
  <c r="F122" i="30"/>
  <c r="F123" i="30"/>
  <c r="F124" i="30"/>
  <c r="F125" i="30"/>
  <c r="F126" i="30"/>
  <c r="F127" i="30"/>
  <c r="F128" i="30"/>
  <c r="F129" i="30"/>
  <c r="F130" i="30"/>
  <c r="F131" i="30"/>
  <c r="F132" i="30"/>
  <c r="F133" i="30"/>
  <c r="F134" i="30"/>
  <c r="F135" i="30"/>
  <c r="F136" i="30"/>
  <c r="F137" i="30"/>
  <c r="F138" i="30"/>
  <c r="F139" i="30"/>
  <c r="F140" i="30"/>
  <c r="F141" i="30"/>
  <c r="F142" i="30"/>
  <c r="F143" i="30"/>
  <c r="F144" i="30"/>
  <c r="F145" i="30"/>
  <c r="F146" i="30"/>
  <c r="F147" i="30"/>
  <c r="F148" i="30"/>
  <c r="F149" i="30"/>
  <c r="F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83" i="30"/>
  <c r="H84" i="30"/>
  <c r="H85" i="30"/>
  <c r="H86" i="30"/>
  <c r="H87" i="30"/>
  <c r="H88" i="30"/>
  <c r="H89" i="30"/>
  <c r="H90" i="30"/>
  <c r="H91" i="30"/>
  <c r="H92" i="30"/>
  <c r="H93" i="30"/>
  <c r="H94" i="30"/>
  <c r="H95" i="30"/>
  <c r="H96" i="30"/>
  <c r="H97" i="30"/>
  <c r="H98" i="30"/>
  <c r="H99" i="30"/>
  <c r="H100" i="30"/>
  <c r="H101" i="30"/>
  <c r="H102" i="30"/>
  <c r="H103" i="30"/>
  <c r="H104" i="30"/>
  <c r="H105" i="30"/>
  <c r="H106" i="30"/>
  <c r="H107" i="30"/>
  <c r="H108" i="30"/>
  <c r="H109" i="30"/>
  <c r="H110" i="30"/>
  <c r="H111" i="30"/>
  <c r="H112" i="30"/>
  <c r="H113" i="30"/>
  <c r="H114" i="30"/>
  <c r="H115" i="30"/>
  <c r="H116" i="30"/>
  <c r="H117" i="30"/>
  <c r="H118" i="30"/>
  <c r="H119" i="30"/>
  <c r="H120" i="30"/>
  <c r="H121" i="30"/>
  <c r="H122" i="30"/>
  <c r="H123" i="30"/>
  <c r="H124" i="30"/>
  <c r="H125" i="30"/>
  <c r="H126" i="30"/>
  <c r="H127" i="30"/>
  <c r="H128" i="30"/>
  <c r="H129" i="30"/>
  <c r="H130" i="30"/>
  <c r="H131" i="30"/>
  <c r="H132" i="30"/>
  <c r="H133" i="30"/>
  <c r="H134" i="30"/>
  <c r="H135" i="30"/>
  <c r="H136" i="30"/>
  <c r="H137" i="30"/>
  <c r="H138" i="30"/>
  <c r="H139" i="30"/>
  <c r="H140" i="30"/>
  <c r="H141" i="30"/>
  <c r="H142" i="30"/>
  <c r="H143" i="30"/>
  <c r="H144" i="30"/>
  <c r="H145" i="30"/>
  <c r="H146" i="30"/>
  <c r="H147" i="30"/>
  <c r="H148" i="30"/>
  <c r="H149" i="30"/>
  <c r="H27" i="30"/>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27" i="34"/>
  <c r="F148" i="34"/>
  <c r="F149" i="34"/>
  <c r="F28" i="34"/>
  <c r="F29" i="34"/>
  <c r="F30" i="34"/>
  <c r="F31" i="34"/>
  <c r="F32" i="34"/>
  <c r="F33" i="34"/>
  <c r="F34" i="34"/>
  <c r="F35" i="34"/>
  <c r="F36" i="34"/>
  <c r="F37" i="34"/>
  <c r="F38" i="34"/>
  <c r="F39" i="34"/>
  <c r="F40" i="34"/>
  <c r="F41" i="34"/>
  <c r="F42" i="34"/>
  <c r="F43" i="34"/>
  <c r="F44" i="34"/>
  <c r="F45" i="34"/>
  <c r="F46" i="34"/>
  <c r="F47" i="34"/>
  <c r="F48" i="34"/>
  <c r="F49" i="34"/>
  <c r="F50" i="34"/>
  <c r="F51" i="34"/>
  <c r="F52" i="34"/>
  <c r="F53" i="34"/>
  <c r="F54" i="34"/>
  <c r="F55" i="34"/>
  <c r="F56" i="34"/>
  <c r="F57" i="34"/>
  <c r="F58" i="34"/>
  <c r="F59" i="34"/>
  <c r="F60" i="34"/>
  <c r="F61" i="34"/>
  <c r="F62" i="34"/>
  <c r="F63" i="34"/>
  <c r="F64" i="34"/>
  <c r="F65" i="34"/>
  <c r="F66" i="34"/>
  <c r="F67" i="34"/>
  <c r="F68" i="34"/>
  <c r="F69" i="34"/>
  <c r="F70" i="34"/>
  <c r="F71" i="34"/>
  <c r="F72" i="34"/>
  <c r="F73" i="34"/>
  <c r="F74" i="34"/>
  <c r="F75" i="34"/>
  <c r="F76" i="34"/>
  <c r="F77" i="34"/>
  <c r="F78" i="34"/>
  <c r="F79" i="34"/>
  <c r="F80" i="34"/>
  <c r="F81" i="34"/>
  <c r="F82" i="34"/>
  <c r="F83" i="34"/>
  <c r="F84" i="34"/>
  <c r="F85" i="34"/>
  <c r="F86" i="34"/>
  <c r="F87" i="34"/>
  <c r="F88" i="34"/>
  <c r="F89" i="34"/>
  <c r="F90" i="34"/>
  <c r="F91" i="34"/>
  <c r="F92" i="34"/>
  <c r="F93" i="34"/>
  <c r="F94" i="34"/>
  <c r="F95" i="34"/>
  <c r="F96" i="34"/>
  <c r="F97" i="34"/>
  <c r="F98" i="34"/>
  <c r="F99" i="34"/>
  <c r="F100" i="34"/>
  <c r="F101" i="34"/>
  <c r="F102" i="34"/>
  <c r="F103" i="34"/>
  <c r="F104" i="34"/>
  <c r="F105" i="34"/>
  <c r="F106" i="34"/>
  <c r="F107" i="34"/>
  <c r="F108" i="34"/>
  <c r="F109" i="34"/>
  <c r="F110" i="34"/>
  <c r="F111" i="34"/>
  <c r="F112" i="34"/>
  <c r="F113" i="34"/>
  <c r="F114" i="34"/>
  <c r="F115" i="34"/>
  <c r="F116" i="34"/>
  <c r="F117" i="34"/>
  <c r="F118" i="34"/>
  <c r="F119" i="34"/>
  <c r="F120" i="34"/>
  <c r="F121" i="34"/>
  <c r="F122" i="34"/>
  <c r="F123" i="34"/>
  <c r="F124" i="34"/>
  <c r="F125" i="34"/>
  <c r="F126" i="34"/>
  <c r="F127" i="34"/>
  <c r="F128" i="34"/>
  <c r="F129" i="34"/>
  <c r="F130" i="34"/>
  <c r="F131" i="34"/>
  <c r="F132" i="34"/>
  <c r="F133" i="34"/>
  <c r="F134" i="34"/>
  <c r="F135" i="34"/>
  <c r="F136" i="34"/>
  <c r="F137" i="34"/>
  <c r="F138" i="34"/>
  <c r="F139" i="34"/>
  <c r="F140" i="34"/>
  <c r="F141" i="34"/>
  <c r="F142" i="34"/>
  <c r="F143" i="34"/>
  <c r="F144" i="34"/>
  <c r="F145" i="34"/>
  <c r="F146" i="34"/>
  <c r="F147" i="34"/>
  <c r="F27" i="34"/>
  <c r="H28" i="34"/>
  <c r="H29" i="34"/>
  <c r="H30" i="34"/>
  <c r="H31" i="34"/>
  <c r="H32" i="34"/>
  <c r="H33" i="34"/>
  <c r="H34" i="34"/>
  <c r="H35" i="34"/>
  <c r="H36" i="34"/>
  <c r="H37" i="34"/>
  <c r="H38" i="34"/>
  <c r="H39" i="34"/>
  <c r="H40" i="34"/>
  <c r="H41" i="34"/>
  <c r="H42" i="34"/>
  <c r="H43" i="34"/>
  <c r="H44" i="34"/>
  <c r="H45" i="34"/>
  <c r="H46" i="34"/>
  <c r="H47" i="34"/>
  <c r="H48" i="34"/>
  <c r="H49" i="34"/>
  <c r="H50" i="34"/>
  <c r="H51" i="34"/>
  <c r="H52" i="34"/>
  <c r="H53" i="34"/>
  <c r="H54" i="34"/>
  <c r="H55" i="34"/>
  <c r="H56" i="34"/>
  <c r="H57" i="34"/>
  <c r="H58" i="34"/>
  <c r="H59" i="34"/>
  <c r="H60" i="34"/>
  <c r="H61" i="34"/>
  <c r="H62" i="34"/>
  <c r="H63" i="34"/>
  <c r="H64" i="34"/>
  <c r="H65" i="34"/>
  <c r="H66" i="34"/>
  <c r="H67" i="34"/>
  <c r="H68" i="34"/>
  <c r="H69" i="34"/>
  <c r="H70" i="34"/>
  <c r="H71" i="34"/>
  <c r="H72" i="34"/>
  <c r="H73" i="34"/>
  <c r="H74" i="34"/>
  <c r="H75" i="34"/>
  <c r="H76" i="34"/>
  <c r="H77" i="34"/>
  <c r="H78" i="34"/>
  <c r="H79" i="34"/>
  <c r="H80" i="34"/>
  <c r="H81" i="34"/>
  <c r="H82" i="34"/>
  <c r="H83" i="34"/>
  <c r="H84" i="34"/>
  <c r="H85" i="34"/>
  <c r="H86" i="34"/>
  <c r="H87" i="34"/>
  <c r="H88" i="34"/>
  <c r="H89" i="34"/>
  <c r="H90" i="34"/>
  <c r="H91" i="34"/>
  <c r="H92" i="34"/>
  <c r="H93" i="34"/>
  <c r="H94" i="34"/>
  <c r="H95" i="34"/>
  <c r="H96" i="34"/>
  <c r="H97" i="34"/>
  <c r="H98" i="34"/>
  <c r="H99" i="34"/>
  <c r="H100" i="34"/>
  <c r="H101" i="34"/>
  <c r="H102" i="34"/>
  <c r="H103" i="34"/>
  <c r="H104" i="34"/>
  <c r="H105" i="34"/>
  <c r="H106" i="34"/>
  <c r="H107" i="34"/>
  <c r="H108" i="34"/>
  <c r="H109" i="34"/>
  <c r="H110" i="34"/>
  <c r="H111" i="34"/>
  <c r="H112" i="34"/>
  <c r="H113" i="34"/>
  <c r="H114" i="34"/>
  <c r="H115" i="34"/>
  <c r="H116" i="34"/>
  <c r="H117" i="34"/>
  <c r="H118" i="34"/>
  <c r="H119" i="34"/>
  <c r="H120" i="34"/>
  <c r="H121" i="34"/>
  <c r="H122" i="34"/>
  <c r="H123" i="34"/>
  <c r="H124" i="34"/>
  <c r="H125" i="34"/>
  <c r="H126" i="34"/>
  <c r="H127" i="34"/>
  <c r="H128" i="34"/>
  <c r="H129" i="34"/>
  <c r="H130" i="34"/>
  <c r="H131" i="34"/>
  <c r="H132" i="34"/>
  <c r="H133" i="34"/>
  <c r="H134" i="34"/>
  <c r="H135" i="34"/>
  <c r="H136" i="34"/>
  <c r="H137" i="34"/>
  <c r="H138" i="34"/>
  <c r="H139" i="34"/>
  <c r="H140" i="34"/>
  <c r="H141" i="34"/>
  <c r="H142" i="34"/>
  <c r="H143" i="34"/>
  <c r="H144" i="34"/>
  <c r="H145" i="34"/>
  <c r="H146" i="34"/>
  <c r="H147" i="34"/>
  <c r="H148" i="34"/>
  <c r="H27" i="34"/>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27" i="5"/>
  <c r="D28" i="38"/>
  <c r="D29" i="38"/>
  <c r="D30" i="38"/>
  <c r="D31" i="38"/>
  <c r="D32" i="38"/>
  <c r="D33" i="38"/>
  <c r="D34" i="38"/>
  <c r="D35" i="38"/>
  <c r="D36" i="38"/>
  <c r="D37" i="38"/>
  <c r="D38" i="38"/>
  <c r="D39" i="38"/>
  <c r="D40" i="38"/>
  <c r="D41" i="38"/>
  <c r="D42" i="38"/>
  <c r="D43" i="38"/>
  <c r="D44" i="38"/>
  <c r="D45" i="38"/>
  <c r="D46" i="38"/>
  <c r="D47" i="38"/>
  <c r="D48" i="38"/>
  <c r="D49" i="38"/>
  <c r="D50" i="38"/>
  <c r="D51" i="38"/>
  <c r="D52" i="38"/>
  <c r="D53" i="38"/>
  <c r="D54" i="38"/>
  <c r="D55" i="38"/>
  <c r="D56" i="38"/>
  <c r="D57" i="38"/>
  <c r="D58" i="38"/>
  <c r="D59" i="38"/>
  <c r="D60" i="38"/>
  <c r="D61" i="38"/>
  <c r="D62" i="38"/>
  <c r="D63" i="38"/>
  <c r="D64" i="38"/>
  <c r="D65" i="38"/>
  <c r="D66" i="38"/>
  <c r="D67" i="38"/>
  <c r="D68" i="38"/>
  <c r="D69" i="38"/>
  <c r="D70" i="38"/>
  <c r="D71" i="38"/>
  <c r="D72" i="38"/>
  <c r="D73" i="38"/>
  <c r="D74" i="38"/>
  <c r="D75" i="38"/>
  <c r="D76" i="38"/>
  <c r="D77" i="38"/>
  <c r="D78" i="38"/>
  <c r="D79" i="38"/>
  <c r="D80" i="38"/>
  <c r="D81" i="38"/>
  <c r="D82" i="38"/>
  <c r="D83" i="38"/>
  <c r="D84" i="38"/>
  <c r="D85" i="38"/>
  <c r="D86" i="38"/>
  <c r="D87" i="38"/>
  <c r="D88" i="38"/>
  <c r="D89" i="38"/>
  <c r="D90" i="38"/>
  <c r="D91" i="38"/>
  <c r="D92" i="38"/>
  <c r="D93" i="38"/>
  <c r="D94" i="38"/>
  <c r="D95" i="38"/>
  <c r="D96" i="38"/>
  <c r="D97" i="38"/>
  <c r="D98" i="38"/>
  <c r="D99" i="38"/>
  <c r="D100" i="38"/>
  <c r="D101" i="38"/>
  <c r="D102" i="38"/>
  <c r="D103" i="38"/>
  <c r="D104" i="38"/>
  <c r="D105" i="38"/>
  <c r="D106" i="38"/>
  <c r="D107" i="38"/>
  <c r="D108" i="38"/>
  <c r="D109" i="38"/>
  <c r="D110" i="38"/>
  <c r="D111" i="38"/>
  <c r="D112" i="38"/>
  <c r="D113" i="38"/>
  <c r="D114" i="38"/>
  <c r="D115" i="38"/>
  <c r="D116" i="38"/>
  <c r="D117" i="38"/>
  <c r="D118" i="38"/>
  <c r="D119" i="38"/>
  <c r="D120" i="38"/>
  <c r="D121" i="38"/>
  <c r="D122" i="38"/>
  <c r="D123" i="38"/>
  <c r="D124" i="38"/>
  <c r="D125" i="38"/>
  <c r="D126" i="38"/>
  <c r="D127" i="38"/>
  <c r="D128" i="38"/>
  <c r="D129" i="38"/>
  <c r="D130" i="38"/>
  <c r="D131" i="38"/>
  <c r="D132" i="38"/>
  <c r="D133" i="38"/>
  <c r="D134" i="38"/>
  <c r="D135" i="38"/>
  <c r="D136" i="38"/>
  <c r="D137" i="38"/>
  <c r="D138" i="38"/>
  <c r="D139" i="38"/>
  <c r="D140" i="38"/>
  <c r="D141" i="38"/>
  <c r="D142" i="38"/>
  <c r="D143" i="38"/>
  <c r="D144" i="38"/>
  <c r="D145" i="38"/>
  <c r="D146" i="38"/>
  <c r="D147" i="38"/>
  <c r="D148" i="38"/>
  <c r="D149" i="38"/>
  <c r="D150" i="38"/>
  <c r="D151" i="38"/>
  <c r="D152" i="38"/>
  <c r="D153" i="38"/>
  <c r="D154" i="38"/>
  <c r="D155" i="38"/>
  <c r="D156" i="38"/>
  <c r="D157" i="38"/>
  <c r="D158" i="38"/>
  <c r="D159" i="38"/>
  <c r="D160" i="38"/>
  <c r="D161" i="38"/>
  <c r="D162" i="38"/>
  <c r="D163" i="38"/>
  <c r="D164" i="38"/>
  <c r="D165" i="38"/>
  <c r="D166" i="38"/>
  <c r="D167" i="38"/>
  <c r="D168" i="38"/>
  <c r="D169" i="38"/>
  <c r="D170" i="38"/>
  <c r="D171" i="38"/>
  <c r="D172" i="38"/>
  <c r="D173" i="38"/>
  <c r="D174" i="38"/>
  <c r="D175" i="38"/>
  <c r="D27" i="38"/>
  <c r="F28" i="38"/>
  <c r="F29" i="38"/>
  <c r="F30" i="38"/>
  <c r="F31" i="38"/>
  <c r="F32" i="38"/>
  <c r="F33" i="38"/>
  <c r="F34" i="38"/>
  <c r="F35" i="38"/>
  <c r="F36" i="38"/>
  <c r="F37" i="38"/>
  <c r="F38" i="38"/>
  <c r="F39" i="38"/>
  <c r="F40" i="38"/>
  <c r="F41" i="38"/>
  <c r="F42" i="38"/>
  <c r="F43" i="38"/>
  <c r="F44" i="38"/>
  <c r="F45" i="38"/>
  <c r="F46" i="38"/>
  <c r="F47" i="38"/>
  <c r="F48" i="38"/>
  <c r="F49" i="38"/>
  <c r="F50" i="38"/>
  <c r="F51" i="38"/>
  <c r="F52" i="38"/>
  <c r="F53" i="38"/>
  <c r="F54" i="38"/>
  <c r="F55" i="38"/>
  <c r="F56" i="38"/>
  <c r="F57" i="38"/>
  <c r="F58" i="38"/>
  <c r="F59" i="38"/>
  <c r="F60" i="38"/>
  <c r="F61" i="38"/>
  <c r="F62" i="38"/>
  <c r="F63" i="38"/>
  <c r="F64" i="38"/>
  <c r="F65" i="38"/>
  <c r="F66" i="38"/>
  <c r="F67" i="38"/>
  <c r="F68" i="38"/>
  <c r="F69" i="38"/>
  <c r="F70" i="38"/>
  <c r="F71" i="38"/>
  <c r="F72" i="38"/>
  <c r="F73" i="38"/>
  <c r="F74" i="38"/>
  <c r="F75" i="38"/>
  <c r="F76" i="38"/>
  <c r="F77" i="38"/>
  <c r="F78" i="38"/>
  <c r="F79" i="38"/>
  <c r="F80" i="38"/>
  <c r="F81" i="38"/>
  <c r="F82" i="38"/>
  <c r="F83" i="38"/>
  <c r="F84" i="38"/>
  <c r="F85" i="38"/>
  <c r="F86" i="38"/>
  <c r="F87" i="38"/>
  <c r="F88" i="38"/>
  <c r="F89" i="38"/>
  <c r="F90" i="38"/>
  <c r="F91" i="38"/>
  <c r="F92" i="38"/>
  <c r="F93" i="38"/>
  <c r="F94" i="38"/>
  <c r="F95" i="38"/>
  <c r="F96" i="38"/>
  <c r="F97" i="38"/>
  <c r="F98" i="38"/>
  <c r="F99" i="38"/>
  <c r="F100" i="38"/>
  <c r="F101" i="38"/>
  <c r="F102" i="38"/>
  <c r="F103" i="38"/>
  <c r="F104" i="38"/>
  <c r="F105" i="38"/>
  <c r="F106" i="38"/>
  <c r="F107" i="38"/>
  <c r="F108" i="38"/>
  <c r="F109" i="38"/>
  <c r="F110" i="38"/>
  <c r="F111" i="38"/>
  <c r="F112" i="38"/>
  <c r="F113" i="38"/>
  <c r="F114" i="38"/>
  <c r="F115" i="38"/>
  <c r="F116" i="38"/>
  <c r="F117" i="38"/>
  <c r="F118" i="38"/>
  <c r="F119" i="38"/>
  <c r="F120" i="38"/>
  <c r="F121" i="38"/>
  <c r="F122" i="38"/>
  <c r="F123" i="38"/>
  <c r="F124" i="38"/>
  <c r="F125" i="38"/>
  <c r="F126" i="38"/>
  <c r="F127" i="38"/>
  <c r="F128" i="38"/>
  <c r="F129" i="38"/>
  <c r="F130" i="38"/>
  <c r="F131" i="38"/>
  <c r="F132" i="38"/>
  <c r="F133" i="38"/>
  <c r="F134" i="38"/>
  <c r="F135" i="38"/>
  <c r="F136" i="38"/>
  <c r="F137" i="38"/>
  <c r="F138" i="38"/>
  <c r="F139" i="38"/>
  <c r="F140" i="38"/>
  <c r="F141" i="38"/>
  <c r="F142" i="38"/>
  <c r="F143" i="38"/>
  <c r="F144" i="38"/>
  <c r="F145" i="38"/>
  <c r="F146" i="38"/>
  <c r="F147" i="38"/>
  <c r="F148" i="38"/>
  <c r="F149" i="38"/>
  <c r="F150" i="38"/>
  <c r="F151" i="38"/>
  <c r="F152" i="38"/>
  <c r="F153" i="38"/>
  <c r="F154" i="38"/>
  <c r="F155" i="38"/>
  <c r="F156" i="38"/>
  <c r="F157" i="38"/>
  <c r="F158" i="38"/>
  <c r="F159" i="38"/>
  <c r="F160" i="38"/>
  <c r="F161" i="38"/>
  <c r="F162" i="38"/>
  <c r="F163" i="38"/>
  <c r="F164" i="38"/>
  <c r="F165" i="38"/>
  <c r="F166" i="38"/>
  <c r="F167" i="38"/>
  <c r="F168" i="38"/>
  <c r="F169" i="38"/>
  <c r="F170" i="38"/>
  <c r="F171" i="38"/>
  <c r="F172" i="38"/>
  <c r="F27" i="38"/>
  <c r="H28" i="38"/>
  <c r="H29" i="38"/>
  <c r="H30" i="38"/>
  <c r="H31" i="38"/>
  <c r="H32" i="38"/>
  <c r="H33" i="38"/>
  <c r="H34" i="38"/>
  <c r="H35" i="38"/>
  <c r="H36" i="38"/>
  <c r="H37" i="38"/>
  <c r="H38" i="38"/>
  <c r="H39" i="38"/>
  <c r="H40" i="38"/>
  <c r="H41" i="38"/>
  <c r="H42" i="38"/>
  <c r="H43" i="38"/>
  <c r="H44" i="38"/>
  <c r="H45" i="38"/>
  <c r="H46" i="38"/>
  <c r="H47" i="38"/>
  <c r="H48" i="38"/>
  <c r="H49" i="38"/>
  <c r="H50" i="38"/>
  <c r="H51" i="38"/>
  <c r="H52" i="38"/>
  <c r="H53" i="38"/>
  <c r="H54" i="38"/>
  <c r="H55" i="38"/>
  <c r="H56" i="38"/>
  <c r="H57" i="38"/>
  <c r="H58" i="38"/>
  <c r="H59" i="38"/>
  <c r="H60" i="38"/>
  <c r="H61" i="38"/>
  <c r="H62" i="38"/>
  <c r="H63" i="38"/>
  <c r="H64" i="38"/>
  <c r="H65" i="38"/>
  <c r="H66" i="38"/>
  <c r="H67" i="38"/>
  <c r="H68" i="38"/>
  <c r="H69" i="38"/>
  <c r="H70" i="38"/>
  <c r="H71" i="38"/>
  <c r="H72" i="38"/>
  <c r="H73" i="38"/>
  <c r="H74" i="38"/>
  <c r="H75" i="38"/>
  <c r="H76" i="38"/>
  <c r="H77" i="38"/>
  <c r="H78" i="38"/>
  <c r="H79" i="38"/>
  <c r="H80" i="38"/>
  <c r="H81" i="38"/>
  <c r="H82" i="38"/>
  <c r="H83" i="38"/>
  <c r="H84" i="38"/>
  <c r="H85" i="38"/>
  <c r="H86" i="38"/>
  <c r="H87" i="38"/>
  <c r="H88" i="38"/>
  <c r="H89" i="38"/>
  <c r="H90" i="38"/>
  <c r="H91" i="38"/>
  <c r="H92" i="38"/>
  <c r="H93" i="38"/>
  <c r="H94" i="38"/>
  <c r="H95" i="38"/>
  <c r="H96" i="38"/>
  <c r="H97" i="38"/>
  <c r="H98" i="38"/>
  <c r="H99" i="38"/>
  <c r="H100" i="38"/>
  <c r="H101" i="38"/>
  <c r="H102" i="38"/>
  <c r="H103" i="38"/>
  <c r="H104" i="38"/>
  <c r="H105" i="38"/>
  <c r="H106" i="38"/>
  <c r="H107" i="38"/>
  <c r="H108" i="38"/>
  <c r="H109" i="38"/>
  <c r="H110" i="38"/>
  <c r="H111" i="38"/>
  <c r="H112" i="38"/>
  <c r="H113" i="38"/>
  <c r="H114" i="38"/>
  <c r="H115" i="38"/>
  <c r="H116" i="38"/>
  <c r="H117" i="38"/>
  <c r="H118" i="38"/>
  <c r="H119" i="38"/>
  <c r="H120" i="38"/>
  <c r="H121" i="38"/>
  <c r="H122" i="38"/>
  <c r="H123" i="38"/>
  <c r="H124" i="38"/>
  <c r="H125" i="38"/>
  <c r="H126" i="38"/>
  <c r="H127" i="38"/>
  <c r="H128" i="38"/>
  <c r="H129" i="38"/>
  <c r="H130" i="38"/>
  <c r="H131" i="38"/>
  <c r="H132" i="38"/>
  <c r="H133" i="38"/>
  <c r="H134" i="38"/>
  <c r="H135" i="38"/>
  <c r="H136" i="38"/>
  <c r="H137" i="38"/>
  <c r="H138" i="38"/>
  <c r="H139" i="38"/>
  <c r="H140" i="38"/>
  <c r="H141" i="38"/>
  <c r="H142" i="38"/>
  <c r="H143" i="38"/>
  <c r="H144" i="38"/>
  <c r="H145" i="38"/>
  <c r="H146" i="38"/>
  <c r="H147" i="38"/>
  <c r="H148" i="38"/>
  <c r="H149" i="38"/>
  <c r="H150" i="38"/>
  <c r="H151" i="38"/>
  <c r="H152" i="38"/>
  <c r="H153" i="38"/>
  <c r="H154" i="38"/>
  <c r="H155" i="38"/>
  <c r="H156" i="38"/>
  <c r="H157" i="38"/>
  <c r="H158" i="38"/>
  <c r="H159" i="38"/>
  <c r="H160" i="38"/>
  <c r="H161" i="38"/>
  <c r="H162" i="38"/>
  <c r="H163" i="38"/>
  <c r="H164" i="38"/>
  <c r="H165" i="38"/>
  <c r="H166" i="38"/>
  <c r="H167" i="38"/>
  <c r="H168" i="38"/>
  <c r="H169" i="38"/>
  <c r="H170" i="38"/>
  <c r="H171" i="38"/>
  <c r="H172" i="38"/>
  <c r="H27" i="38"/>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F57" i="25"/>
  <c r="F58" i="25"/>
  <c r="F59" i="25"/>
  <c r="F60" i="25"/>
  <c r="F61" i="25"/>
  <c r="F62" i="25"/>
  <c r="F63" i="25"/>
  <c r="F64" i="25"/>
  <c r="F65" i="25"/>
  <c r="F66" i="25"/>
  <c r="F67" i="25"/>
  <c r="F68" i="25"/>
  <c r="F69" i="25"/>
  <c r="F70" i="25"/>
  <c r="F71" i="25"/>
  <c r="F72" i="25"/>
  <c r="F73" i="25"/>
  <c r="F74" i="25"/>
  <c r="F75" i="25"/>
  <c r="F76" i="25"/>
  <c r="F77" i="25"/>
  <c r="F78" i="25"/>
  <c r="F79" i="25"/>
  <c r="F80" i="25"/>
  <c r="F81" i="25"/>
  <c r="F82" i="25"/>
  <c r="F83" i="25"/>
  <c r="F84" i="25"/>
  <c r="F85" i="25"/>
  <c r="F86" i="25"/>
  <c r="F87" i="25"/>
  <c r="F88" i="25"/>
  <c r="F89" i="25"/>
  <c r="F90" i="25"/>
  <c r="F91" i="25"/>
  <c r="F92" i="25"/>
  <c r="F93" i="25"/>
  <c r="F94" i="25"/>
  <c r="F95" i="25"/>
  <c r="F96" i="25"/>
  <c r="F97" i="25"/>
  <c r="F98" i="25"/>
  <c r="F99" i="25"/>
  <c r="F100" i="25"/>
  <c r="F101" i="25"/>
  <c r="F102" i="25"/>
  <c r="F103" i="25"/>
  <c r="F104" i="25"/>
  <c r="F105" i="25"/>
  <c r="F106" i="25"/>
  <c r="F107" i="25"/>
  <c r="F108" i="25"/>
  <c r="F109" i="25"/>
  <c r="F110" i="25"/>
  <c r="F111" i="25"/>
  <c r="F112" i="25"/>
  <c r="F113" i="25"/>
  <c r="F114" i="25"/>
  <c r="F115" i="25"/>
  <c r="F116" i="25"/>
  <c r="F117" i="25"/>
  <c r="F118" i="25"/>
  <c r="F119" i="25"/>
  <c r="F120" i="25"/>
  <c r="F121" i="25"/>
  <c r="F122" i="25"/>
  <c r="F123" i="25"/>
  <c r="F124" i="25"/>
  <c r="F125" i="25"/>
  <c r="F126" i="25"/>
  <c r="F127" i="25"/>
  <c r="F128" i="25"/>
  <c r="F129" i="25"/>
  <c r="F130" i="25"/>
  <c r="F131" i="25"/>
  <c r="F132" i="25"/>
  <c r="F133" i="25"/>
  <c r="F134" i="25"/>
  <c r="F135" i="25"/>
  <c r="F136" i="25"/>
  <c r="F137" i="25"/>
  <c r="F138" i="25"/>
  <c r="F139" i="25"/>
  <c r="F140" i="25"/>
  <c r="F141" i="25"/>
  <c r="F142" i="25"/>
  <c r="F143" i="25"/>
  <c r="F144" i="25"/>
  <c r="F145" i="25"/>
  <c r="F146" i="25"/>
  <c r="F147" i="25"/>
  <c r="F148" i="25"/>
  <c r="F149" i="25"/>
  <c r="F150" i="25"/>
  <c r="F151" i="25"/>
  <c r="F152" i="25"/>
  <c r="F153" i="25"/>
  <c r="F154" i="25"/>
  <c r="F155" i="25"/>
  <c r="F156" i="25"/>
  <c r="F157" i="25"/>
  <c r="F158" i="25"/>
  <c r="F159" i="25"/>
  <c r="F160" i="25"/>
  <c r="F161" i="25"/>
  <c r="F162" i="25"/>
  <c r="F163" i="25"/>
  <c r="F164" i="25"/>
  <c r="F165" i="25"/>
  <c r="F166" i="25"/>
  <c r="F167" i="25"/>
  <c r="F168" i="25"/>
  <c r="F169" i="25"/>
  <c r="F170" i="25"/>
  <c r="F171" i="25"/>
  <c r="F172"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83" i="25"/>
  <c r="H84" i="25"/>
  <c r="H85" i="25"/>
  <c r="H86" i="25"/>
  <c r="H87" i="25"/>
  <c r="H88" i="25"/>
  <c r="H89" i="25"/>
  <c r="H90" i="25"/>
  <c r="H91" i="25"/>
  <c r="H92" i="25"/>
  <c r="H93" i="25"/>
  <c r="H94" i="25"/>
  <c r="H95" i="25"/>
  <c r="H96" i="25"/>
  <c r="H97" i="25"/>
  <c r="H98" i="25"/>
  <c r="H99" i="25"/>
  <c r="H100" i="25"/>
  <c r="H101" i="25"/>
  <c r="H102" i="25"/>
  <c r="H103" i="25"/>
  <c r="H104" i="25"/>
  <c r="H105" i="25"/>
  <c r="H106" i="25"/>
  <c r="H107" i="25"/>
  <c r="H108" i="25"/>
  <c r="H109" i="25"/>
  <c r="H110" i="25"/>
  <c r="H111" i="25"/>
  <c r="H112" i="25"/>
  <c r="H113" i="25"/>
  <c r="H114" i="25"/>
  <c r="H115" i="25"/>
  <c r="H116" i="25"/>
  <c r="H117" i="25"/>
  <c r="H118" i="25"/>
  <c r="H119" i="25"/>
  <c r="H120" i="25"/>
  <c r="H121" i="25"/>
  <c r="H122" i="25"/>
  <c r="H123" i="25"/>
  <c r="H124" i="25"/>
  <c r="H125" i="25"/>
  <c r="H126" i="25"/>
  <c r="H127" i="25"/>
  <c r="H128" i="25"/>
  <c r="H129" i="25"/>
  <c r="H130" i="25"/>
  <c r="H131" i="25"/>
  <c r="H132" i="25"/>
  <c r="H133" i="25"/>
  <c r="H134" i="25"/>
  <c r="H135" i="25"/>
  <c r="H136" i="25"/>
  <c r="H137" i="25"/>
  <c r="H138" i="25"/>
  <c r="H139" i="25"/>
  <c r="H140" i="25"/>
  <c r="H141" i="25"/>
  <c r="H142" i="25"/>
  <c r="H143" i="25"/>
  <c r="H144" i="25"/>
  <c r="H145" i="25"/>
  <c r="H146" i="25"/>
  <c r="H147" i="25"/>
  <c r="H148" i="25"/>
  <c r="H149" i="25"/>
  <c r="H150" i="25"/>
  <c r="H151" i="25"/>
  <c r="H152" i="25"/>
  <c r="H153" i="25"/>
  <c r="H154" i="25"/>
  <c r="H155" i="25"/>
  <c r="H156" i="25"/>
  <c r="H157" i="25"/>
  <c r="H158" i="25"/>
  <c r="H159" i="25"/>
  <c r="H160" i="25"/>
  <c r="H161" i="25"/>
  <c r="H162" i="25"/>
  <c r="H163" i="25"/>
  <c r="H164" i="25"/>
  <c r="H165" i="25"/>
  <c r="H166" i="25"/>
  <c r="H167" i="25"/>
  <c r="H168" i="25"/>
  <c r="H169" i="25"/>
  <c r="H170" i="25"/>
  <c r="H171" i="25"/>
  <c r="H172" i="25"/>
  <c r="F27" i="25"/>
  <c r="H27" i="25"/>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29"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30" i="4"/>
  <c r="F31" i="4"/>
  <c r="F32" i="4"/>
  <c r="F33" i="4"/>
  <c r="F34" i="4"/>
  <c r="F35" i="4"/>
  <c r="F36" i="4"/>
  <c r="F37" i="4"/>
  <c r="F38" i="4"/>
  <c r="F39" i="4"/>
  <c r="F40" i="4"/>
  <c r="F41" i="4"/>
  <c r="F42" i="4"/>
  <c r="F43" i="4"/>
  <c r="F44" i="4"/>
  <c r="F45" i="4"/>
  <c r="F46" i="4"/>
  <c r="F47" i="4"/>
  <c r="F48" i="4"/>
  <c r="F49" i="4"/>
  <c r="F50" i="4"/>
  <c r="F51" i="4"/>
  <c r="F52" i="4"/>
  <c r="F53" i="4"/>
  <c r="F29" i="4"/>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104" i="27"/>
  <c r="F105" i="27"/>
  <c r="F106" i="27"/>
  <c r="F107" i="27"/>
  <c r="F108" i="27"/>
  <c r="F109" i="27"/>
  <c r="F110" i="27"/>
  <c r="F111" i="27"/>
  <c r="F112" i="27"/>
  <c r="F113" i="27"/>
  <c r="F114" i="27"/>
  <c r="F115" i="27"/>
  <c r="F116" i="27"/>
  <c r="F117" i="27"/>
  <c r="F118" i="27"/>
  <c r="F119" i="27"/>
  <c r="F120" i="27"/>
  <c r="F121" i="27"/>
  <c r="F122" i="27"/>
  <c r="F123" i="27"/>
  <c r="F124" i="27"/>
  <c r="F125" i="27"/>
  <c r="F126" i="27"/>
  <c r="F127" i="27"/>
  <c r="F128" i="27"/>
  <c r="F129" i="27"/>
  <c r="F130" i="27"/>
  <c r="F131" i="27"/>
  <c r="F132" i="27"/>
  <c r="F133" i="27"/>
  <c r="F134" i="27"/>
  <c r="F135" i="27"/>
  <c r="F136" i="27"/>
  <c r="F137" i="27"/>
  <c r="F138" i="27"/>
  <c r="F139" i="27"/>
  <c r="F140" i="27"/>
  <c r="F141" i="27"/>
  <c r="F142" i="27"/>
  <c r="F143" i="27"/>
  <c r="F144" i="27"/>
  <c r="F145" i="27"/>
  <c r="F146" i="27"/>
  <c r="F147" i="27"/>
  <c r="F148" i="27"/>
  <c r="F149" i="27"/>
  <c r="F150" i="27"/>
  <c r="F151" i="27"/>
  <c r="F152" i="27"/>
  <c r="F153" i="27"/>
  <c r="F154" i="27"/>
  <c r="F155" i="27"/>
  <c r="F156" i="27"/>
  <c r="F157" i="27"/>
  <c r="F158" i="27"/>
  <c r="F159" i="27"/>
  <c r="F160" i="27"/>
  <c r="F161" i="27"/>
  <c r="F162" i="27"/>
  <c r="F163" i="27"/>
  <c r="F164" i="27"/>
  <c r="F165" i="27"/>
  <c r="F166" i="27"/>
  <c r="F167" i="27"/>
  <c r="F168" i="27"/>
  <c r="F169" i="27"/>
  <c r="F170" i="27"/>
  <c r="F171" i="27"/>
  <c r="F173" i="27"/>
  <c r="F174" i="27"/>
  <c r="F175" i="27"/>
  <c r="F176" i="27"/>
  <c r="F177" i="27"/>
  <c r="F178" i="27"/>
  <c r="F179" i="27"/>
  <c r="F180" i="27"/>
  <c r="F181" i="27"/>
  <c r="F182" i="27"/>
  <c r="F183" i="27"/>
  <c r="F184" i="27"/>
  <c r="F185" i="27"/>
  <c r="F186" i="27"/>
  <c r="F187" i="27"/>
  <c r="F188" i="27"/>
  <c r="F189" i="27"/>
  <c r="F190" i="27"/>
  <c r="F191" i="27"/>
  <c r="F192" i="27"/>
  <c r="F193" i="27"/>
  <c r="F194" i="27"/>
  <c r="F195" i="27"/>
  <c r="F196" i="27"/>
  <c r="F197" i="27"/>
  <c r="F198" i="27"/>
  <c r="F199" i="27"/>
  <c r="F200" i="27"/>
  <c r="F201" i="27"/>
  <c r="F202" i="27"/>
  <c r="F203" i="27"/>
  <c r="F204" i="27"/>
  <c r="F205" i="27"/>
  <c r="F206" i="27"/>
  <c r="F207" i="27"/>
  <c r="F208" i="27"/>
  <c r="F209" i="27"/>
  <c r="F210" i="27"/>
  <c r="F211" i="27"/>
  <c r="F212" i="27"/>
  <c r="F213" i="27"/>
  <c r="F214" i="27"/>
  <c r="F215" i="27"/>
  <c r="F216" i="27"/>
  <c r="F217" i="27"/>
  <c r="F218" i="27"/>
  <c r="F219" i="27"/>
  <c r="F220" i="27"/>
  <c r="F221" i="27"/>
  <c r="F222" i="27"/>
  <c r="F223" i="27"/>
  <c r="F224" i="27"/>
  <c r="F225" i="27"/>
  <c r="F226" i="27"/>
  <c r="F227" i="27"/>
  <c r="F228" i="27"/>
  <c r="F229" i="27"/>
  <c r="F230" i="27"/>
  <c r="F231" i="27"/>
  <c r="F29"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101" i="27"/>
  <c r="H102" i="27"/>
  <c r="H103" i="27"/>
  <c r="H104" i="27"/>
  <c r="H105" i="27"/>
  <c r="H106" i="27"/>
  <c r="H107" i="27"/>
  <c r="H108" i="27"/>
  <c r="H109" i="27"/>
  <c r="H110" i="27"/>
  <c r="H111" i="27"/>
  <c r="H112" i="27"/>
  <c r="H113" i="27"/>
  <c r="H114" i="27"/>
  <c r="H115" i="27"/>
  <c r="H116" i="27"/>
  <c r="H117" i="27"/>
  <c r="H118" i="27"/>
  <c r="H119" i="27"/>
  <c r="H120" i="27"/>
  <c r="H121" i="27"/>
  <c r="H122" i="27"/>
  <c r="H123" i="27"/>
  <c r="H124" i="27"/>
  <c r="H125" i="27"/>
  <c r="H126" i="27"/>
  <c r="H127" i="27"/>
  <c r="H128" i="27"/>
  <c r="H129" i="27"/>
  <c r="H130" i="27"/>
  <c r="H131" i="27"/>
  <c r="H132" i="27"/>
  <c r="H133" i="27"/>
  <c r="H134" i="27"/>
  <c r="H135" i="27"/>
  <c r="H136" i="27"/>
  <c r="H137" i="27"/>
  <c r="H138" i="27"/>
  <c r="H139" i="27"/>
  <c r="H140" i="27"/>
  <c r="H141" i="27"/>
  <c r="H142" i="27"/>
  <c r="H143" i="27"/>
  <c r="H144" i="27"/>
  <c r="H145" i="27"/>
  <c r="H146" i="27"/>
  <c r="H147" i="27"/>
  <c r="H148" i="27"/>
  <c r="H149" i="27"/>
  <c r="H150" i="27"/>
  <c r="H151" i="27"/>
  <c r="H152" i="27"/>
  <c r="H153" i="27"/>
  <c r="H154" i="27"/>
  <c r="H155" i="27"/>
  <c r="H156" i="27"/>
  <c r="H157" i="27"/>
  <c r="H158" i="27"/>
  <c r="H159" i="27"/>
  <c r="H160" i="27"/>
  <c r="H161" i="27"/>
  <c r="H162" i="27"/>
  <c r="H163" i="27"/>
  <c r="H164" i="27"/>
  <c r="H165" i="27"/>
  <c r="H166" i="27"/>
  <c r="H167" i="27"/>
  <c r="H168" i="27"/>
  <c r="H169" i="27"/>
  <c r="H170" i="27"/>
  <c r="H171"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H217" i="27"/>
  <c r="H218" i="27"/>
  <c r="H219" i="27"/>
  <c r="H220" i="27"/>
  <c r="H221" i="27"/>
  <c r="H222" i="27"/>
  <c r="H223" i="27"/>
  <c r="H224" i="27"/>
  <c r="H225" i="27"/>
  <c r="H226" i="27"/>
  <c r="H227" i="27"/>
  <c r="H228" i="27"/>
  <c r="H229" i="27"/>
  <c r="H230" i="27"/>
  <c r="H231" i="27"/>
  <c r="H30" i="27"/>
  <c r="H31" i="27"/>
  <c r="H32" i="27"/>
  <c r="H33" i="27"/>
  <c r="H34" i="27"/>
  <c r="H35" i="27"/>
  <c r="H29" i="27"/>
  <c r="D29" i="27"/>
  <c r="D30"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31" i="27"/>
  <c r="D32" i="27"/>
  <c r="D33" i="27"/>
  <c r="D34" i="27"/>
  <c r="D35" i="27"/>
  <c r="D36" i="27"/>
  <c r="D37" i="27"/>
  <c r="D38" i="27"/>
  <c r="D39" i="27"/>
  <c r="D40" i="27"/>
  <c r="D41" i="27"/>
  <c r="D42" i="27"/>
  <c r="D43" i="27"/>
  <c r="D44" i="27"/>
  <c r="D45" i="27"/>
  <c r="D46" i="27"/>
  <c r="D47" i="27"/>
  <c r="D48" i="27"/>
  <c r="D49" i="27"/>
  <c r="D50" i="27"/>
  <c r="D51" i="27"/>
  <c r="D52" i="27"/>
  <c r="D53" i="27"/>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4"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300" i="10"/>
  <c r="D301" i="10"/>
  <c r="D302" i="10"/>
  <c r="D303" i="10"/>
  <c r="D304" i="10"/>
  <c r="D305" i="10"/>
  <c r="D306" i="10"/>
  <c r="D307" i="10"/>
  <c r="D308" i="10"/>
  <c r="D309" i="10"/>
  <c r="D310" i="10"/>
  <c r="D311" i="10"/>
  <c r="D312" i="10"/>
  <c r="D313" i="10"/>
  <c r="D314" i="10"/>
  <c r="D315" i="10"/>
  <c r="D316" i="10"/>
  <c r="D317" i="10"/>
  <c r="D318" i="10"/>
  <c r="D319" i="10"/>
  <c r="D320" i="10"/>
  <c r="D321" i="10"/>
  <c r="D322" i="10"/>
  <c r="D323" i="10"/>
  <c r="D324" i="10"/>
  <c r="D325" i="10"/>
  <c r="D326" i="10"/>
  <c r="D327" i="10"/>
  <c r="D328" i="10"/>
  <c r="D329" i="10"/>
  <c r="D330" i="10"/>
  <c r="D331" i="10"/>
  <c r="D332" i="10"/>
  <c r="D333" i="10"/>
  <c r="D334" i="10"/>
  <c r="D335" i="10"/>
  <c r="D336" i="10"/>
  <c r="D337" i="10"/>
  <c r="D338" i="10"/>
  <c r="D339" i="10"/>
  <c r="D340" i="10"/>
  <c r="D341" i="10"/>
  <c r="D342" i="10"/>
  <c r="D343" i="10"/>
  <c r="D344" i="10"/>
  <c r="D345" i="10"/>
  <c r="D346" i="10"/>
  <c r="D347" i="10"/>
  <c r="D348" i="10"/>
  <c r="D349" i="10"/>
  <c r="D350" i="10"/>
  <c r="D351" i="10"/>
  <c r="D352" i="10"/>
  <c r="D353" i="10"/>
  <c r="D354" i="10"/>
  <c r="D355" i="10"/>
  <c r="D356" i="10"/>
  <c r="D357" i="10"/>
  <c r="D358" i="10"/>
  <c r="D359" i="10"/>
  <c r="D360" i="10"/>
  <c r="D361" i="10"/>
  <c r="D362" i="10"/>
  <c r="D363" i="10"/>
  <c r="D364" i="10"/>
  <c r="D365" i="10"/>
  <c r="D366" i="10"/>
  <c r="D367" i="10"/>
  <c r="D368" i="10"/>
  <c r="D369" i="10"/>
  <c r="D370" i="10"/>
  <c r="D371" i="10"/>
  <c r="D372" i="10"/>
  <c r="D373" i="10"/>
  <c r="D374" i="10"/>
  <c r="D375" i="10"/>
  <c r="D376" i="10"/>
  <c r="D377" i="10"/>
  <c r="D378" i="10"/>
  <c r="D379" i="10"/>
  <c r="D380" i="10"/>
  <c r="D381" i="10"/>
  <c r="D382" i="10"/>
  <c r="D383" i="10"/>
  <c r="D384" i="10"/>
  <c r="D385" i="10"/>
  <c r="D386" i="10"/>
  <c r="D387" i="10"/>
  <c r="D388" i="10"/>
  <c r="D389" i="10"/>
  <c r="D390" i="10"/>
  <c r="D391" i="10"/>
  <c r="D392" i="10"/>
  <c r="D393" i="10"/>
  <c r="D394" i="10"/>
  <c r="D395" i="10"/>
  <c r="D396" i="10"/>
  <c r="D397" i="10"/>
  <c r="D398" i="10"/>
  <c r="D399" i="10"/>
  <c r="D400" i="10"/>
  <c r="D401" i="10"/>
  <c r="D402" i="10"/>
  <c r="D403" i="10"/>
  <c r="D404" i="10"/>
  <c r="D405" i="10"/>
  <c r="D406" i="10"/>
  <c r="D407" i="10"/>
  <c r="D408" i="10"/>
  <c r="D409" i="10"/>
  <c r="D410" i="10"/>
  <c r="D411" i="10"/>
  <c r="D412" i="10"/>
  <c r="D413" i="10"/>
  <c r="D414" i="10"/>
  <c r="D415" i="10"/>
  <c r="D416" i="10"/>
  <c r="D417" i="10"/>
  <c r="D418" i="10"/>
  <c r="D419" i="10"/>
  <c r="D420" i="10"/>
  <c r="D421" i="10"/>
  <c r="D422" i="10"/>
  <c r="D423" i="10"/>
  <c r="D424" i="10"/>
  <c r="D425" i="10"/>
  <c r="D426" i="10"/>
  <c r="D427" i="10"/>
  <c r="D428" i="10"/>
  <c r="D429" i="10"/>
  <c r="D430" i="10"/>
  <c r="D431" i="10"/>
  <c r="D432" i="10"/>
  <c r="D433" i="10"/>
  <c r="D434" i="10"/>
  <c r="D435" i="10"/>
  <c r="D436" i="10"/>
  <c r="D437" i="10"/>
  <c r="D438" i="10"/>
  <c r="D439" i="10"/>
  <c r="D440" i="10"/>
  <c r="D441" i="10"/>
  <c r="D442" i="10"/>
  <c r="D443" i="10"/>
  <c r="D444" i="10"/>
  <c r="D445" i="10"/>
  <c r="D446" i="10"/>
  <c r="D447" i="10"/>
  <c r="D448" i="10"/>
  <c r="D449" i="10"/>
  <c r="D450" i="10"/>
  <c r="D451" i="10"/>
  <c r="D452" i="10"/>
  <c r="D453" i="10"/>
  <c r="D454" i="10"/>
  <c r="D455" i="10"/>
  <c r="D456" i="10"/>
  <c r="D457" i="10"/>
  <c r="D458" i="10"/>
  <c r="D459" i="10"/>
  <c r="D460" i="10"/>
  <c r="D461" i="10"/>
  <c r="D462" i="10"/>
  <c r="D463" i="10"/>
  <c r="D464" i="10"/>
  <c r="D465" i="10"/>
  <c r="D466" i="10"/>
  <c r="D467" i="10"/>
  <c r="D468" i="10"/>
  <c r="D469" i="10"/>
  <c r="D470" i="10"/>
  <c r="D471" i="10"/>
  <c r="D472" i="10"/>
  <c r="D473" i="10"/>
  <c r="D474" i="10"/>
  <c r="D475" i="10"/>
  <c r="D476" i="10"/>
  <c r="D477" i="10"/>
  <c r="D478" i="10"/>
  <c r="D479" i="10"/>
  <c r="D480" i="10"/>
  <c r="D481" i="10"/>
  <c r="D482" i="10"/>
  <c r="D483" i="10"/>
  <c r="D484" i="10"/>
  <c r="D485" i="10"/>
  <c r="D486" i="10"/>
  <c r="D487" i="10"/>
  <c r="D488" i="10"/>
  <c r="D489" i="10"/>
  <c r="D490" i="10"/>
  <c r="D491" i="10"/>
  <c r="D492" i="10"/>
  <c r="D493" i="10"/>
  <c r="D494" i="10"/>
  <c r="D495" i="10"/>
  <c r="D496" i="10"/>
  <c r="D497" i="10"/>
  <c r="D498" i="10"/>
  <c r="D499" i="10"/>
  <c r="D500" i="10"/>
  <c r="D501" i="10"/>
  <c r="D502" i="10"/>
  <c r="D503" i="10"/>
  <c r="D504" i="10"/>
  <c r="D505" i="10"/>
  <c r="D506" i="10"/>
  <c r="D507" i="10"/>
  <c r="D508" i="10"/>
  <c r="D509" i="10"/>
  <c r="D510" i="10"/>
  <c r="D511" i="10"/>
  <c r="D512" i="10"/>
  <c r="D513" i="10"/>
  <c r="D514" i="10"/>
  <c r="D515" i="10"/>
  <c r="D516" i="10"/>
  <c r="D517" i="10"/>
  <c r="D518" i="10"/>
  <c r="D519" i="10"/>
  <c r="D520" i="10"/>
  <c r="D521" i="10"/>
  <c r="D522" i="10"/>
  <c r="D523" i="10"/>
  <c r="D524" i="10"/>
  <c r="D525" i="10"/>
  <c r="D526" i="10"/>
  <c r="D527" i="10"/>
  <c r="D528" i="10"/>
  <c r="D529" i="10"/>
  <c r="D530" i="10"/>
  <c r="D531" i="10"/>
  <c r="D532" i="10"/>
  <c r="D533" i="10"/>
  <c r="D534" i="10"/>
  <c r="D535" i="10"/>
  <c r="D536" i="10"/>
  <c r="D537" i="10"/>
  <c r="D538" i="10"/>
  <c r="D539" i="10"/>
  <c r="D540" i="10"/>
  <c r="D541" i="10"/>
  <c r="D542" i="10"/>
  <c r="D543" i="10"/>
  <c r="D544" i="10"/>
  <c r="D545" i="10"/>
  <c r="D546" i="10"/>
  <c r="D547" i="10"/>
  <c r="D548" i="10"/>
  <c r="D549" i="10"/>
  <c r="D550" i="10"/>
  <c r="D551" i="10"/>
  <c r="D552" i="10"/>
  <c r="D553" i="10"/>
  <c r="D554" i="10"/>
  <c r="D555" i="10"/>
  <c r="D556" i="10"/>
  <c r="D557" i="10"/>
  <c r="D558" i="10"/>
  <c r="D559" i="10"/>
  <c r="D41" i="10"/>
  <c r="D42" i="10"/>
  <c r="D43" i="10"/>
  <c r="D44" i="10"/>
  <c r="D45" i="10"/>
  <c r="D35" i="10"/>
  <c r="D36" i="10"/>
  <c r="D37" i="10"/>
  <c r="D38" i="10"/>
  <c r="D39" i="10"/>
  <c r="D40" i="10"/>
  <c r="D34"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203" i="10"/>
  <c r="F204" i="10"/>
  <c r="F205" i="10"/>
  <c r="F206" i="10"/>
  <c r="F207" i="10"/>
  <c r="F208" i="10"/>
  <c r="F209" i="10"/>
  <c r="F210" i="10"/>
  <c r="F211" i="10"/>
  <c r="F212" i="10"/>
  <c r="F213" i="10"/>
  <c r="F214" i="10"/>
  <c r="F215" i="10"/>
  <c r="F216" i="10"/>
  <c r="F217" i="10"/>
  <c r="F218" i="10"/>
  <c r="F219" i="10"/>
  <c r="F220" i="10"/>
  <c r="F221" i="10"/>
  <c r="F222" i="10"/>
  <c r="F223" i="10"/>
  <c r="F224" i="10"/>
  <c r="F225" i="10"/>
  <c r="F226" i="10"/>
  <c r="F227" i="10"/>
  <c r="F228" i="10"/>
  <c r="F229" i="10"/>
  <c r="F230" i="10"/>
  <c r="F231" i="10"/>
  <c r="F232" i="10"/>
  <c r="F233" i="10"/>
  <c r="F234" i="10"/>
  <c r="F235" i="10"/>
  <c r="F236" i="10"/>
  <c r="F237" i="10"/>
  <c r="F238" i="10"/>
  <c r="F239" i="10"/>
  <c r="F240" i="10"/>
  <c r="F241" i="10"/>
  <c r="F242" i="10"/>
  <c r="F243" i="10"/>
  <c r="F244" i="10"/>
  <c r="F245" i="10"/>
  <c r="F246" i="10"/>
  <c r="F247" i="10"/>
  <c r="F248" i="10"/>
  <c r="F249" i="10"/>
  <c r="F250" i="10"/>
  <c r="F251" i="10"/>
  <c r="F252" i="10"/>
  <c r="F253" i="10"/>
  <c r="F254" i="10"/>
  <c r="F255" i="10"/>
  <c r="F256" i="10"/>
  <c r="F257" i="10"/>
  <c r="F258" i="10"/>
  <c r="F259" i="10"/>
  <c r="F260" i="10"/>
  <c r="F261" i="10"/>
  <c r="F262" i="10"/>
  <c r="F263" i="10"/>
  <c r="F264" i="10"/>
  <c r="F265" i="10"/>
  <c r="F266" i="10"/>
  <c r="F267" i="10"/>
  <c r="F268" i="10"/>
  <c r="F269" i="10"/>
  <c r="F270" i="10"/>
  <c r="F271" i="10"/>
  <c r="F272" i="10"/>
  <c r="F273" i="10"/>
  <c r="F274" i="10"/>
  <c r="F275" i="10"/>
  <c r="F276" i="10"/>
  <c r="F277" i="10"/>
  <c r="F278" i="10"/>
  <c r="F279" i="10"/>
  <c r="F280" i="10"/>
  <c r="F281" i="10"/>
  <c r="F282" i="10"/>
  <c r="F283" i="10"/>
  <c r="F284" i="10"/>
  <c r="F285" i="10"/>
  <c r="F286" i="10"/>
  <c r="F287" i="10"/>
  <c r="F288" i="10"/>
  <c r="F289" i="10"/>
  <c r="F290" i="10"/>
  <c r="F291" i="10"/>
  <c r="F292" i="10"/>
  <c r="F293" i="10"/>
  <c r="F294"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23" i="10"/>
  <c r="F324" i="10"/>
  <c r="F325" i="10"/>
  <c r="F326" i="10"/>
  <c r="F327" i="10"/>
  <c r="F328" i="10"/>
  <c r="F329" i="10"/>
  <c r="F330" i="10"/>
  <c r="F331" i="10"/>
  <c r="F332" i="10"/>
  <c r="F333" i="10"/>
  <c r="F334" i="10"/>
  <c r="F335" i="10"/>
  <c r="F336" i="10"/>
  <c r="F337" i="10"/>
  <c r="F338" i="10"/>
  <c r="F339" i="10"/>
  <c r="F340" i="10"/>
  <c r="F341" i="10"/>
  <c r="F342" i="10"/>
  <c r="F343" i="10"/>
  <c r="F344" i="10"/>
  <c r="F345" i="10"/>
  <c r="F346" i="10"/>
  <c r="F347" i="10"/>
  <c r="F348" i="10"/>
  <c r="F349" i="10"/>
  <c r="F350" i="10"/>
  <c r="F351" i="10"/>
  <c r="F352" i="10"/>
  <c r="F353" i="10"/>
  <c r="F354" i="10"/>
  <c r="F355" i="10"/>
  <c r="F356" i="10"/>
  <c r="F357" i="10"/>
  <c r="F358" i="10"/>
  <c r="F359" i="10"/>
  <c r="F360" i="10"/>
  <c r="F361" i="10"/>
  <c r="F362" i="10"/>
  <c r="F363" i="10"/>
  <c r="F364" i="10"/>
  <c r="F365" i="10"/>
  <c r="F366" i="10"/>
  <c r="F367" i="10"/>
  <c r="F368" i="10"/>
  <c r="F369" i="10"/>
  <c r="F370" i="10"/>
  <c r="F371" i="10"/>
  <c r="F372" i="10"/>
  <c r="F373" i="10"/>
  <c r="F374" i="10"/>
  <c r="F375" i="10"/>
  <c r="F376" i="10"/>
  <c r="F377" i="10"/>
  <c r="F378" i="10"/>
  <c r="F379" i="10"/>
  <c r="F380" i="10"/>
  <c r="F381" i="10"/>
  <c r="F382" i="10"/>
  <c r="F383" i="10"/>
  <c r="F384" i="10"/>
  <c r="F385" i="10"/>
  <c r="F386" i="10"/>
  <c r="F387" i="10"/>
  <c r="F388" i="10"/>
  <c r="F389" i="10"/>
  <c r="F390" i="10"/>
  <c r="F391" i="10"/>
  <c r="F392" i="10"/>
  <c r="F393" i="10"/>
  <c r="F394" i="10"/>
  <c r="F395" i="10"/>
  <c r="F396" i="10"/>
  <c r="F397" i="10"/>
  <c r="F398" i="10"/>
  <c r="F399" i="10"/>
  <c r="F400" i="10"/>
  <c r="F401" i="10"/>
  <c r="F402" i="10"/>
  <c r="F403" i="10"/>
  <c r="F404" i="10"/>
  <c r="F405" i="10"/>
  <c r="F406" i="10"/>
  <c r="F407" i="10"/>
  <c r="F408" i="10"/>
  <c r="F409" i="10"/>
  <c r="F410" i="10"/>
  <c r="F411" i="10"/>
  <c r="F412" i="10"/>
  <c r="F413" i="10"/>
  <c r="F414" i="10"/>
  <c r="F415" i="10"/>
  <c r="F416" i="10"/>
  <c r="F417" i="10"/>
  <c r="F418" i="10"/>
  <c r="F419" i="10"/>
  <c r="F420" i="10"/>
  <c r="F421" i="10"/>
  <c r="F422" i="10"/>
  <c r="F423" i="10"/>
  <c r="F424" i="10"/>
  <c r="F425" i="10"/>
  <c r="F426" i="10"/>
  <c r="F427" i="10"/>
  <c r="F428" i="10"/>
  <c r="F429" i="10"/>
  <c r="F430" i="10"/>
  <c r="F431" i="10"/>
  <c r="F432" i="10"/>
  <c r="F433" i="10"/>
  <c r="F434" i="10"/>
  <c r="F435" i="10"/>
  <c r="F436" i="10"/>
  <c r="F437" i="10"/>
  <c r="F438" i="10"/>
  <c r="F439" i="10"/>
  <c r="F440" i="10"/>
  <c r="F441" i="10"/>
  <c r="F442" i="10"/>
  <c r="F443" i="10"/>
  <c r="F444" i="10"/>
  <c r="F445" i="10"/>
  <c r="F446" i="10"/>
  <c r="F447" i="10"/>
  <c r="F448" i="10"/>
  <c r="F449" i="10"/>
  <c r="F450" i="10"/>
  <c r="F451" i="10"/>
  <c r="F452" i="10"/>
  <c r="F453" i="10"/>
  <c r="F454" i="10"/>
  <c r="F455" i="10"/>
  <c r="F456" i="10"/>
  <c r="F457" i="10"/>
  <c r="F458" i="10"/>
  <c r="F459" i="10"/>
  <c r="F460" i="10"/>
  <c r="F461" i="10"/>
  <c r="F462" i="10"/>
  <c r="F463" i="10"/>
  <c r="F464" i="10"/>
  <c r="F465" i="10"/>
  <c r="F466" i="10"/>
  <c r="F467" i="10"/>
  <c r="F468" i="10"/>
  <c r="F469" i="10"/>
  <c r="F470" i="10"/>
  <c r="F471" i="10"/>
  <c r="F472" i="10"/>
  <c r="F473" i="10"/>
  <c r="F474" i="10"/>
  <c r="F475" i="10"/>
  <c r="F476" i="10"/>
  <c r="F477" i="10"/>
  <c r="F478" i="10"/>
  <c r="F479" i="10"/>
  <c r="F480" i="10"/>
  <c r="F481" i="10"/>
  <c r="F482" i="10"/>
  <c r="F483" i="10"/>
  <c r="F484" i="10"/>
  <c r="F485" i="10"/>
  <c r="F486" i="10"/>
  <c r="F487" i="10"/>
  <c r="F488" i="10"/>
  <c r="F489" i="10"/>
  <c r="F490" i="10"/>
  <c r="F491" i="10"/>
  <c r="F492" i="10"/>
  <c r="F493" i="10"/>
  <c r="F494" i="10"/>
  <c r="F495" i="10"/>
  <c r="F496" i="10"/>
  <c r="F497" i="10"/>
  <c r="F498" i="10"/>
  <c r="F499" i="10"/>
  <c r="F500" i="10"/>
  <c r="F501" i="10"/>
  <c r="F502" i="10"/>
  <c r="F503" i="10"/>
  <c r="F504" i="10"/>
  <c r="F505" i="10"/>
  <c r="F506" i="10"/>
  <c r="F507" i="10"/>
  <c r="F508" i="10"/>
  <c r="F509" i="10"/>
  <c r="F510" i="10"/>
  <c r="F511" i="10"/>
  <c r="F512" i="10"/>
  <c r="F513" i="10"/>
  <c r="F514" i="10"/>
  <c r="F515" i="10"/>
  <c r="F516" i="10"/>
  <c r="F517" i="10"/>
  <c r="F518" i="10"/>
  <c r="F519" i="10"/>
  <c r="F520" i="10"/>
  <c r="F521" i="10"/>
  <c r="F522" i="10"/>
  <c r="F523" i="10"/>
  <c r="F524" i="10"/>
  <c r="F525" i="10"/>
  <c r="F526" i="10"/>
  <c r="F527" i="10"/>
  <c r="F528" i="10"/>
  <c r="F529" i="10"/>
  <c r="F530" i="10"/>
  <c r="F531" i="10"/>
  <c r="F532" i="10"/>
  <c r="F533" i="10"/>
  <c r="F534" i="10"/>
  <c r="F535" i="10"/>
  <c r="F536" i="10"/>
  <c r="F537" i="10"/>
  <c r="F538" i="10"/>
  <c r="F539" i="10"/>
  <c r="F540" i="10"/>
  <c r="F541" i="10"/>
  <c r="F542" i="10"/>
  <c r="F543" i="10"/>
  <c r="F544" i="10"/>
  <c r="F545" i="10"/>
  <c r="F546" i="10"/>
  <c r="F547" i="10"/>
  <c r="F548" i="10"/>
  <c r="F549" i="10"/>
  <c r="F550" i="10"/>
  <c r="F551" i="10"/>
  <c r="F552" i="10"/>
  <c r="F553" i="10"/>
  <c r="F554" i="10"/>
  <c r="F555" i="10"/>
  <c r="F556" i="10"/>
  <c r="F557" i="10"/>
  <c r="F558" i="10"/>
  <c r="F67" i="10"/>
  <c r="F68" i="10"/>
  <c r="F69" i="10"/>
  <c r="F70" i="10"/>
  <c r="F71" i="10"/>
  <c r="F72" i="10"/>
  <c r="F73" i="10"/>
  <c r="F74" i="10"/>
  <c r="F75" i="10"/>
  <c r="F63" i="10"/>
  <c r="F64" i="10"/>
  <c r="F65" i="10"/>
  <c r="F66" i="10"/>
  <c r="F62" i="10"/>
  <c r="F60" i="10"/>
  <c r="F59" i="10"/>
  <c r="F45" i="10"/>
  <c r="F50" i="10"/>
  <c r="F51" i="10"/>
  <c r="F52" i="10"/>
  <c r="F53" i="10"/>
  <c r="F54" i="10"/>
  <c r="F55" i="10"/>
  <c r="F44" i="10"/>
  <c r="F36" i="10"/>
  <c r="F37" i="10"/>
  <c r="F38" i="10"/>
  <c r="F39" i="10"/>
  <c r="F40" i="10"/>
  <c r="F35" i="10"/>
  <c r="F34" i="10"/>
  <c r="H552" i="10"/>
  <c r="H553" i="10"/>
  <c r="H554" i="10"/>
  <c r="H555" i="10"/>
  <c r="H556" i="10"/>
  <c r="H557" i="10"/>
  <c r="H558" i="10"/>
  <c r="H551" i="10"/>
  <c r="H548" i="10"/>
  <c r="H549" i="10"/>
  <c r="H547" i="10"/>
  <c r="H539" i="10"/>
  <c r="H540" i="10"/>
  <c r="H541" i="10"/>
  <c r="H542" i="10"/>
  <c r="H543" i="10"/>
  <c r="H544" i="10"/>
  <c r="H538" i="10"/>
  <c r="H533" i="10"/>
  <c r="H534" i="10"/>
  <c r="H535" i="10"/>
  <c r="H536" i="10"/>
  <c r="H532" i="10"/>
  <c r="H522" i="10"/>
  <c r="H523" i="10"/>
  <c r="H524" i="10"/>
  <c r="H525" i="10"/>
  <c r="H526" i="10"/>
  <c r="H527" i="10"/>
  <c r="H528" i="10"/>
  <c r="H521" i="10"/>
  <c r="H510" i="10"/>
  <c r="H511" i="10"/>
  <c r="H512" i="10"/>
  <c r="H513" i="10"/>
  <c r="H514" i="10"/>
  <c r="H515" i="10"/>
  <c r="H516" i="10"/>
  <c r="H509" i="10"/>
  <c r="H506" i="10"/>
  <c r="H504" i="10"/>
  <c r="H502" i="10"/>
  <c r="H485" i="10"/>
  <c r="H486" i="10"/>
  <c r="H487" i="10"/>
  <c r="H488" i="10"/>
  <c r="H489" i="10"/>
  <c r="H490" i="10"/>
  <c r="H491" i="10"/>
  <c r="H492" i="10"/>
  <c r="H493" i="10"/>
  <c r="H494" i="10"/>
  <c r="H495" i="10"/>
  <c r="H496" i="10"/>
  <c r="H497" i="10"/>
  <c r="H498" i="10"/>
  <c r="H499" i="10"/>
  <c r="H484" i="10"/>
  <c r="H479" i="10"/>
  <c r="H480" i="10"/>
  <c r="H481" i="10"/>
  <c r="H482" i="10"/>
  <c r="H478" i="10"/>
  <c r="H473" i="10"/>
  <c r="H474" i="10"/>
  <c r="H475" i="10"/>
  <c r="H476" i="10"/>
  <c r="H472" i="10"/>
  <c r="H470" i="10"/>
  <c r="H469" i="10"/>
  <c r="H465" i="10"/>
  <c r="H466" i="10"/>
  <c r="H467" i="10"/>
  <c r="H460" i="10"/>
  <c r="H461" i="10"/>
  <c r="H462" i="10"/>
  <c r="H464" i="10"/>
  <c r="H459" i="10"/>
  <c r="H453" i="10"/>
  <c r="H454" i="10"/>
  <c r="H456" i="10"/>
  <c r="H452" i="10"/>
  <c r="H448" i="10"/>
  <c r="H449" i="10"/>
  <c r="H447" i="10"/>
  <c r="H442" i="10"/>
  <c r="H443" i="10"/>
  <c r="H441" i="10"/>
  <c r="H437" i="10"/>
  <c r="H426" i="10"/>
  <c r="H427" i="10"/>
  <c r="H428" i="10"/>
  <c r="H429" i="10"/>
  <c r="H430" i="10"/>
  <c r="H431" i="10"/>
  <c r="H432" i="10"/>
  <c r="H433" i="10"/>
  <c r="H425" i="10"/>
  <c r="H420" i="10"/>
  <c r="H421" i="10"/>
  <c r="H422" i="10"/>
  <c r="H419" i="10"/>
  <c r="H414" i="10"/>
  <c r="H415" i="10"/>
  <c r="H416" i="10"/>
  <c r="H413" i="10"/>
  <c r="H408" i="10"/>
  <c r="H409" i="10"/>
  <c r="H410" i="10"/>
  <c r="H407" i="10"/>
  <c r="H403" i="10"/>
  <c r="H404" i="10"/>
  <c r="H402" i="10"/>
  <c r="H399" i="10"/>
  <c r="H400" i="10"/>
  <c r="H398" i="10"/>
  <c r="H392" i="10"/>
  <c r="H393" i="10"/>
  <c r="H394" i="10"/>
  <c r="H395" i="10"/>
  <c r="H396" i="10"/>
  <c r="H391" i="10"/>
  <c r="H387" i="10"/>
  <c r="H388" i="10"/>
  <c r="H383" i="10"/>
  <c r="H384" i="10"/>
  <c r="H386" i="10"/>
  <c r="H382" i="10"/>
  <c r="H379" i="10"/>
  <c r="H380" i="10"/>
  <c r="H378" i="10"/>
  <c r="H373" i="10"/>
  <c r="H374" i="10"/>
  <c r="H372" i="10"/>
  <c r="H369" i="10"/>
  <c r="H370" i="10"/>
  <c r="H368" i="10"/>
  <c r="H365" i="10"/>
  <c r="H366" i="10"/>
  <c r="H359" i="10"/>
  <c r="H360" i="10"/>
  <c r="H364" i="10"/>
  <c r="H358" i="10"/>
  <c r="H355" i="10"/>
  <c r="H356" i="10"/>
  <c r="H354" i="10"/>
  <c r="H351" i="10"/>
  <c r="H352" i="10"/>
  <c r="H350" i="10"/>
  <c r="H345" i="10"/>
  <c r="H346" i="10"/>
  <c r="H344" i="10"/>
  <c r="H341" i="10"/>
  <c r="H342" i="10"/>
  <c r="H340" i="10"/>
  <c r="H337" i="10"/>
  <c r="H338" i="10"/>
  <c r="H336" i="10"/>
  <c r="H323" i="10"/>
  <c r="H324" i="10"/>
  <c r="H325" i="10"/>
  <c r="H326" i="10"/>
  <c r="H327" i="10"/>
  <c r="H328" i="10"/>
  <c r="H329" i="10"/>
  <c r="H330" i="10"/>
  <c r="H331" i="10"/>
  <c r="H322" i="10"/>
  <c r="H316" i="10"/>
  <c r="H317" i="10"/>
  <c r="H318" i="10"/>
  <c r="H319" i="10"/>
  <c r="H315" i="10"/>
  <c r="H309" i="10"/>
  <c r="H310" i="10"/>
  <c r="H311" i="10"/>
  <c r="H312" i="10"/>
  <c r="H308" i="10"/>
  <c r="H302" i="10"/>
  <c r="H303" i="10"/>
  <c r="H304" i="10"/>
  <c r="H305" i="10"/>
  <c r="H301" i="10"/>
  <c r="H295" i="10"/>
  <c r="H296" i="10"/>
  <c r="H297" i="10"/>
  <c r="H298" i="10"/>
  <c r="H294" i="10"/>
  <c r="H288" i="10"/>
  <c r="H289" i="10"/>
  <c r="H290" i="10"/>
  <c r="H291" i="10"/>
  <c r="H287"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52"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17" i="10"/>
  <c r="H211" i="10"/>
  <c r="H212" i="10"/>
  <c r="H210" i="10"/>
  <c r="H208" i="10"/>
  <c r="H207" i="10"/>
  <c r="H204" i="10"/>
  <c r="H203" i="10"/>
  <c r="H200" i="10"/>
  <c r="H197" i="10"/>
  <c r="H196" i="10"/>
  <c r="H193" i="10"/>
  <c r="H191" i="10"/>
  <c r="H192" i="10"/>
  <c r="H190" i="10"/>
  <c r="H187" i="10"/>
  <c r="H186" i="10"/>
  <c r="H175" i="10"/>
  <c r="H176" i="10"/>
  <c r="H177" i="10"/>
  <c r="H178" i="10"/>
  <c r="H179" i="10"/>
  <c r="H180" i="10"/>
  <c r="H181" i="10"/>
  <c r="H182" i="10"/>
  <c r="H183" i="10"/>
  <c r="H184" i="10"/>
  <c r="H174" i="10"/>
  <c r="H170" i="10"/>
  <c r="H168" i="10"/>
  <c r="H165" i="10"/>
  <c r="H166" i="10"/>
  <c r="H164" i="10"/>
  <c r="H162" i="10"/>
  <c r="H161" i="10"/>
  <c r="H153" i="10"/>
  <c r="H154" i="10"/>
  <c r="H155" i="10"/>
  <c r="H156" i="10"/>
  <c r="H157" i="10"/>
  <c r="H152" i="10"/>
  <c r="H145" i="10"/>
  <c r="H146" i="10"/>
  <c r="H142" i="10"/>
  <c r="H148" i="10"/>
  <c r="H144" i="10"/>
  <c r="H141" i="10"/>
  <c r="H133" i="10"/>
  <c r="H134" i="10"/>
  <c r="H135" i="10"/>
  <c r="H136" i="10"/>
  <c r="H137" i="10"/>
  <c r="H132" i="10"/>
  <c r="H113" i="10"/>
  <c r="H114" i="10"/>
  <c r="H115" i="10"/>
  <c r="H116" i="10"/>
  <c r="H117" i="10"/>
  <c r="H122" i="10"/>
  <c r="H125" i="10"/>
  <c r="H126" i="10"/>
  <c r="H128" i="10"/>
  <c r="H124" i="10"/>
  <c r="H121" i="10"/>
  <c r="H112" i="10"/>
  <c r="H103" i="10"/>
  <c r="H104" i="10"/>
  <c r="H100" i="10"/>
  <c r="H106" i="10"/>
  <c r="H102" i="10"/>
  <c r="H99" i="10"/>
  <c r="H91" i="10"/>
  <c r="H92" i="10"/>
  <c r="H93" i="10"/>
  <c r="H94" i="10"/>
  <c r="H95" i="10"/>
  <c r="H90" i="10"/>
  <c r="H83" i="10"/>
  <c r="H84" i="10"/>
  <c r="H80" i="10"/>
  <c r="H86" i="10"/>
  <c r="H82" i="10"/>
  <c r="H79" i="10"/>
  <c r="H71" i="10"/>
  <c r="H72" i="10"/>
  <c r="H73" i="10"/>
  <c r="H74" i="10"/>
  <c r="H75" i="10"/>
  <c r="H70" i="10"/>
  <c r="H66" i="10"/>
  <c r="H63" i="10"/>
  <c r="H64" i="10"/>
  <c r="H62" i="10"/>
  <c r="H30" i="10"/>
  <c r="H29" i="10"/>
  <c r="H59" i="10"/>
  <c r="H60" i="10"/>
  <c r="H51" i="10"/>
  <c r="H52" i="10"/>
  <c r="H53" i="10"/>
  <c r="H54" i="10"/>
  <c r="H55" i="10"/>
  <c r="H50" i="10"/>
  <c r="H45" i="10" l="1"/>
  <c r="H44" i="10"/>
  <c r="H40" i="10"/>
  <c r="H35" i="10"/>
  <c r="H36" i="10"/>
  <c r="H37" i="10"/>
  <c r="H38" i="10"/>
  <c r="H39" i="10"/>
  <c r="I168" i="10" l="1"/>
  <c r="B168" i="10"/>
  <c r="I167" i="10"/>
  <c r="I106" i="10"/>
  <c r="B106" i="10"/>
  <c r="I105" i="10"/>
  <c r="I104" i="10"/>
  <c r="B104" i="10"/>
  <c r="I103" i="10"/>
  <c r="B103" i="10"/>
  <c r="I102" i="10"/>
  <c r="B102" i="10"/>
  <c r="I101" i="10"/>
  <c r="I100" i="10"/>
  <c r="B100" i="10"/>
  <c r="I99" i="10"/>
  <c r="B99" i="10"/>
  <c r="I98" i="10"/>
  <c r="I97" i="10"/>
  <c r="I96" i="10"/>
  <c r="B96" i="10"/>
  <c r="I95" i="10"/>
  <c r="I94" i="10"/>
  <c r="I93" i="10"/>
  <c r="G93" i="10"/>
  <c r="I92" i="10"/>
  <c r="I91" i="10"/>
  <c r="I90" i="10"/>
  <c r="I89" i="10"/>
  <c r="I88" i="10"/>
  <c r="I149" i="10"/>
  <c r="B149" i="10"/>
  <c r="I148" i="10"/>
  <c r="B148" i="10"/>
  <c r="I147" i="10"/>
  <c r="I146" i="10"/>
  <c r="B146" i="10"/>
  <c r="I145" i="10"/>
  <c r="B145" i="10"/>
  <c r="I144" i="10"/>
  <c r="B144" i="10"/>
  <c r="I143" i="10"/>
  <c r="I142" i="10"/>
  <c r="B142" i="10"/>
  <c r="I141" i="10"/>
  <c r="B141" i="10"/>
  <c r="I140" i="10"/>
  <c r="I139" i="10"/>
  <c r="I138" i="10"/>
  <c r="B138" i="10"/>
  <c r="I137" i="10"/>
  <c r="I136" i="10"/>
  <c r="I135" i="10"/>
  <c r="G135" i="10"/>
  <c r="I134" i="10"/>
  <c r="I133" i="10"/>
  <c r="I132" i="10"/>
  <c r="I131" i="10"/>
  <c r="I130" i="10"/>
  <c r="I171" i="10"/>
  <c r="B171" i="10"/>
  <c r="I170" i="10"/>
  <c r="B170" i="10"/>
  <c r="I169" i="10"/>
  <c r="I166" i="10"/>
  <c r="B166" i="10"/>
  <c r="I165" i="10"/>
  <c r="B165" i="10"/>
  <c r="I164" i="10"/>
  <c r="B164" i="10"/>
  <c r="I163" i="10"/>
  <c r="I162" i="10"/>
  <c r="B162" i="10"/>
  <c r="I161" i="10"/>
  <c r="B161" i="10"/>
  <c r="I160" i="10"/>
  <c r="I159" i="10"/>
  <c r="I158" i="10"/>
  <c r="B158" i="10"/>
  <c r="I157" i="10"/>
  <c r="I156" i="10"/>
  <c r="I155" i="10"/>
  <c r="G155" i="10"/>
  <c r="I154" i="10"/>
  <c r="I153" i="10"/>
  <c r="I152" i="10"/>
  <c r="I151" i="10"/>
  <c r="I150" i="10"/>
  <c r="I109" i="10"/>
  <c r="B109" i="10"/>
  <c r="G53" i="10"/>
  <c r="I53" i="10"/>
  <c r="I54" i="10"/>
  <c r="I55" i="10"/>
  <c r="B132" i="10"/>
  <c r="B147" i="10"/>
  <c r="B92" i="10"/>
  <c r="B154" i="10"/>
  <c r="B169" i="10"/>
  <c r="B160" i="10"/>
  <c r="B143" i="10"/>
  <c r="B97" i="10"/>
  <c r="B139" i="10"/>
  <c r="B93" i="10"/>
  <c r="B153" i="10"/>
  <c r="B159" i="10"/>
  <c r="B152" i="10"/>
  <c r="B131" i="10"/>
  <c r="B94" i="10"/>
  <c r="B89" i="10"/>
  <c r="B55" i="10"/>
  <c r="B135" i="10"/>
  <c r="B95" i="10"/>
  <c r="B136" i="10"/>
  <c r="B54" i="10"/>
  <c r="B91" i="10"/>
  <c r="B53" i="10"/>
  <c r="B151" i="10"/>
  <c r="B140" i="10"/>
  <c r="B157" i="10"/>
  <c r="B88" i="10"/>
  <c r="B90" i="10"/>
  <c r="B155" i="10"/>
  <c r="B101" i="10"/>
  <c r="B130" i="10"/>
  <c r="B150" i="10"/>
  <c r="B163" i="10"/>
  <c r="B108" i="10"/>
  <c r="B98" i="10"/>
  <c r="B134" i="10"/>
  <c r="B137" i="10"/>
  <c r="B105" i="10"/>
  <c r="B156" i="10"/>
  <c r="B167" i="10"/>
  <c r="B133" i="10"/>
  <c r="B559" i="10" l="1"/>
  <c r="B557" i="10"/>
  <c r="B555" i="10"/>
  <c r="B545" i="10"/>
  <c r="B529" i="10"/>
  <c r="B519" i="10"/>
  <c r="B517" i="10"/>
  <c r="B507" i="10"/>
  <c r="B505" i="10"/>
  <c r="B503" i="10"/>
  <c r="B500" i="10"/>
  <c r="B488" i="10"/>
  <c r="B487" i="10"/>
  <c r="B486" i="10"/>
  <c r="B485" i="10"/>
  <c r="B484" i="10"/>
  <c r="B482" i="10"/>
  <c r="B481" i="10"/>
  <c r="B480" i="10"/>
  <c r="B479" i="10"/>
  <c r="B478" i="10"/>
  <c r="B476" i="10"/>
  <c r="B475" i="10"/>
  <c r="B474" i="10"/>
  <c r="B473" i="10"/>
  <c r="B472" i="10"/>
  <c r="B468" i="10"/>
  <c r="B467" i="10"/>
  <c r="B466" i="10"/>
  <c r="B465" i="10"/>
  <c r="B464" i="10"/>
  <c r="B457" i="10"/>
  <c r="B455" i="10"/>
  <c r="B450" i="10"/>
  <c r="B444" i="10"/>
  <c r="B440" i="10"/>
  <c r="B439" i="10"/>
  <c r="B438" i="10"/>
  <c r="B436" i="10"/>
  <c r="B435" i="10"/>
  <c r="B434" i="10"/>
  <c r="B423" i="10"/>
  <c r="B417" i="10"/>
  <c r="B411" i="10"/>
  <c r="B405" i="10"/>
  <c r="B404" i="10"/>
  <c r="B403" i="10"/>
  <c r="B402" i="10"/>
  <c r="B400" i="10"/>
  <c r="B399" i="10"/>
  <c r="B398" i="10"/>
  <c r="B396" i="10"/>
  <c r="B395" i="10"/>
  <c r="B394" i="10"/>
  <c r="B392" i="10"/>
  <c r="B389" i="10"/>
  <c r="B388" i="10"/>
  <c r="B387" i="10"/>
  <c r="B386" i="10"/>
  <c r="B384" i="10"/>
  <c r="B383" i="10"/>
  <c r="B382" i="10"/>
  <c r="B380" i="10"/>
  <c r="B379" i="10"/>
  <c r="B378" i="10"/>
  <c r="B375" i="10"/>
  <c r="B374" i="10"/>
  <c r="B373" i="10"/>
  <c r="B372" i="10"/>
  <c r="B370" i="10"/>
  <c r="B369" i="10"/>
  <c r="B368" i="10"/>
  <c r="B366" i="10"/>
  <c r="B365" i="10"/>
  <c r="B364" i="10"/>
  <c r="B361" i="10"/>
  <c r="B360" i="10"/>
  <c r="B359" i="10"/>
  <c r="B358" i="10"/>
  <c r="B356" i="10"/>
  <c r="B355" i="10"/>
  <c r="B354" i="10"/>
  <c r="B352" i="10"/>
  <c r="B351" i="10"/>
  <c r="B350" i="10"/>
  <c r="B347" i="10"/>
  <c r="B346" i="10"/>
  <c r="B345" i="10"/>
  <c r="B344" i="10"/>
  <c r="B342" i="10"/>
  <c r="B341" i="10"/>
  <c r="B340" i="10"/>
  <c r="B338" i="10"/>
  <c r="B337" i="10"/>
  <c r="B336" i="10"/>
  <c r="B332" i="10"/>
  <c r="B331" i="10"/>
  <c r="B330" i="10"/>
  <c r="B329" i="10"/>
  <c r="B328" i="10"/>
  <c r="B327" i="10"/>
  <c r="B326" i="10"/>
  <c r="B325" i="10"/>
  <c r="B324" i="10"/>
  <c r="B323" i="10"/>
  <c r="B322" i="10"/>
  <c r="B320" i="10"/>
  <c r="B319" i="10"/>
  <c r="B318" i="10"/>
  <c r="B317" i="10"/>
  <c r="B316" i="10"/>
  <c r="B315" i="10"/>
  <c r="B313" i="10"/>
  <c r="B312" i="10"/>
  <c r="B311" i="10"/>
  <c r="B310" i="10"/>
  <c r="B309" i="10"/>
  <c r="B308" i="10"/>
  <c r="B306" i="10"/>
  <c r="B305" i="10"/>
  <c r="B304" i="10"/>
  <c r="B303" i="10"/>
  <c r="B302" i="10"/>
  <c r="B301" i="10"/>
  <c r="B299" i="10"/>
  <c r="B298" i="10"/>
  <c r="B297" i="10"/>
  <c r="B296" i="10"/>
  <c r="B295" i="10"/>
  <c r="B294" i="10"/>
  <c r="B292" i="10"/>
  <c r="B291" i="10"/>
  <c r="B290" i="10"/>
  <c r="B289" i="10"/>
  <c r="B288" i="10"/>
  <c r="B287"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3" i="10"/>
  <c r="B209" i="10"/>
  <c r="B205" i="10"/>
  <c r="B201" i="10"/>
  <c r="B200" i="10"/>
  <c r="B198" i="10"/>
  <c r="B194" i="10"/>
  <c r="B188" i="10"/>
  <c r="B185" i="10"/>
  <c r="B129" i="10"/>
  <c r="B128" i="10"/>
  <c r="B126" i="10"/>
  <c r="B125" i="10"/>
  <c r="B124" i="10"/>
  <c r="B122" i="10"/>
  <c r="B121" i="10"/>
  <c r="B120" i="10"/>
  <c r="B118" i="10"/>
  <c r="B87" i="10"/>
  <c r="B86" i="10"/>
  <c r="B84" i="10"/>
  <c r="B83" i="10"/>
  <c r="B82" i="10"/>
  <c r="B80" i="10"/>
  <c r="B79" i="10"/>
  <c r="B76" i="10"/>
  <c r="B67" i="10"/>
  <c r="B66" i="10"/>
  <c r="B64" i="10"/>
  <c r="B63" i="10"/>
  <c r="B62" i="10"/>
  <c r="B60" i="10"/>
  <c r="B59" i="10"/>
  <c r="B56" i="10"/>
  <c r="B46" i="10"/>
  <c r="B42" i="10"/>
  <c r="B41" i="10"/>
  <c r="B33" i="10"/>
  <c r="B31" i="10"/>
  <c r="B235" i="27"/>
  <c r="B234" i="27"/>
  <c r="B232" i="27"/>
  <c r="B229" i="27"/>
  <c r="B225" i="27"/>
  <c r="B215" i="27"/>
  <c r="B209" i="27"/>
  <c r="B203" i="27"/>
  <c r="B199" i="27"/>
  <c r="B175" i="27"/>
  <c r="B171" i="27"/>
  <c r="B169" i="27"/>
  <c r="B163" i="27"/>
  <c r="B161" i="27"/>
  <c r="B155" i="27"/>
  <c r="B153" i="27"/>
  <c r="B144" i="27"/>
  <c r="B142" i="27"/>
  <c r="B137" i="27"/>
  <c r="B135" i="27"/>
  <c r="B117" i="27"/>
  <c r="B113" i="27"/>
  <c r="B108" i="27"/>
  <c r="B104" i="27"/>
  <c r="B98" i="27"/>
  <c r="B92" i="27"/>
  <c r="B86" i="27"/>
  <c r="B80" i="27"/>
  <c r="B62" i="27"/>
  <c r="B44" i="27"/>
  <c r="B26" i="27"/>
  <c r="B189" i="4"/>
  <c r="B188" i="4"/>
  <c r="B186" i="4"/>
  <c r="B183" i="4"/>
  <c r="B179" i="4"/>
  <c r="B169" i="4"/>
  <c r="B163" i="4"/>
  <c r="B157" i="4"/>
  <c r="B154" i="4"/>
  <c r="B142" i="4"/>
  <c r="B138" i="4"/>
  <c r="B136" i="4"/>
  <c r="B130" i="4"/>
  <c r="B128" i="4"/>
  <c r="B122" i="4"/>
  <c r="B120" i="4"/>
  <c r="B110" i="4"/>
  <c r="B108" i="4"/>
  <c r="B103" i="4"/>
  <c r="B101" i="4"/>
  <c r="B83" i="4"/>
  <c r="B79" i="4"/>
  <c r="B74" i="4"/>
  <c r="B68" i="4"/>
  <c r="B62" i="4"/>
  <c r="B44" i="4"/>
  <c r="B26" i="4"/>
  <c r="B176" i="25"/>
  <c r="B173" i="25"/>
  <c r="B170" i="25"/>
  <c r="B165" i="25"/>
  <c r="B155" i="25"/>
  <c r="B149" i="25"/>
  <c r="B142" i="25"/>
  <c r="B128" i="25"/>
  <c r="B126" i="25"/>
  <c r="B121" i="25"/>
  <c r="B119" i="25"/>
  <c r="B97" i="25"/>
  <c r="B95" i="25"/>
  <c r="B89" i="25"/>
  <c r="B83" i="25"/>
  <c r="B77" i="25"/>
  <c r="B71" i="25"/>
  <c r="B53" i="25"/>
  <c r="B35" i="25"/>
  <c r="B33" i="25"/>
  <c r="B176" i="38"/>
  <c r="B173" i="38"/>
  <c r="B170" i="38"/>
  <c r="B165" i="38"/>
  <c r="B155" i="38"/>
  <c r="B149" i="38"/>
  <c r="B142" i="38"/>
  <c r="B128" i="38"/>
  <c r="B126" i="38"/>
  <c r="B121" i="38"/>
  <c r="B119" i="38"/>
  <c r="B97" i="38"/>
  <c r="B95" i="38"/>
  <c r="B89" i="38"/>
  <c r="B83" i="38"/>
  <c r="B77" i="38"/>
  <c r="B71" i="38"/>
  <c r="B53" i="38"/>
  <c r="B35" i="38"/>
  <c r="B33" i="38"/>
  <c r="B150" i="5"/>
  <c r="B148" i="5"/>
  <c r="B144" i="5"/>
  <c r="B140" i="5"/>
  <c r="B134" i="5"/>
  <c r="B132" i="5"/>
  <c r="B115" i="5"/>
  <c r="B110" i="5"/>
  <c r="B104" i="5"/>
  <c r="B44" i="5"/>
  <c r="B41" i="5"/>
  <c r="B26" i="5"/>
  <c r="B151" i="34"/>
  <c r="B149" i="34"/>
  <c r="B145" i="34"/>
  <c r="B140" i="34"/>
  <c r="B134" i="34"/>
  <c r="B132" i="34"/>
  <c r="B115" i="34"/>
  <c r="B110" i="34"/>
  <c r="B104" i="34"/>
  <c r="B44" i="34"/>
  <c r="B41" i="34"/>
  <c r="B26" i="34"/>
  <c r="B152" i="30"/>
  <c r="B150" i="30"/>
  <c r="B146" i="30"/>
  <c r="B142" i="30"/>
  <c r="B136" i="30"/>
  <c r="B134" i="30"/>
  <c r="B117" i="30"/>
  <c r="B112" i="30"/>
  <c r="B106" i="30"/>
  <c r="B44" i="30"/>
  <c r="B41" i="30"/>
  <c r="B26" i="30"/>
  <c r="B153" i="35"/>
  <c r="B151" i="35"/>
  <c r="B147" i="35"/>
  <c r="B142" i="35"/>
  <c r="B136" i="35"/>
  <c r="B134" i="35"/>
  <c r="B117" i="35"/>
  <c r="B112" i="35"/>
  <c r="B106" i="35"/>
  <c r="B44" i="35"/>
  <c r="B41" i="35"/>
  <c r="B26" i="35"/>
  <c r="B112" i="23"/>
  <c r="B110" i="23"/>
  <c r="B106" i="23"/>
  <c r="B102" i="23"/>
  <c r="B99" i="23"/>
  <c r="B95" i="23"/>
  <c r="B90" i="23"/>
  <c r="B84" i="23"/>
  <c r="B56" i="23"/>
  <c r="B35" i="23"/>
  <c r="B33" i="23"/>
  <c r="B113" i="36"/>
  <c r="B111" i="36"/>
  <c r="B107" i="36"/>
  <c r="B102" i="36"/>
  <c r="B99" i="36"/>
  <c r="B95" i="36"/>
  <c r="B90" i="36"/>
  <c r="B84" i="36"/>
  <c r="B56" i="36"/>
  <c r="B35" i="36"/>
  <c r="B33" i="36"/>
  <c r="B112" i="33"/>
  <c r="B110" i="33"/>
  <c r="B106" i="33"/>
  <c r="B102" i="33"/>
  <c r="B99" i="33"/>
  <c r="B95" i="33"/>
  <c r="B90" i="33"/>
  <c r="B84" i="33"/>
  <c r="B56" i="33"/>
  <c r="B35" i="33"/>
  <c r="B33" i="33"/>
  <c r="B113" i="37"/>
  <c r="B111" i="37"/>
  <c r="B107" i="37"/>
  <c r="B102" i="37"/>
  <c r="B99" i="37"/>
  <c r="B95" i="37"/>
  <c r="B90" i="37"/>
  <c r="B84" i="37"/>
  <c r="B56" i="37"/>
  <c r="B35" i="37"/>
  <c r="B33" i="37"/>
  <c r="I176" i="38" l="1"/>
  <c r="I174" i="38"/>
  <c r="I173" i="38"/>
  <c r="I172" i="38"/>
  <c r="I171" i="38"/>
  <c r="I170" i="38"/>
  <c r="I169" i="38"/>
  <c r="I168" i="38"/>
  <c r="I167" i="38"/>
  <c r="I166" i="38"/>
  <c r="I165" i="38"/>
  <c r="I164" i="38"/>
  <c r="I163" i="38"/>
  <c r="I162" i="38"/>
  <c r="I161" i="38"/>
  <c r="I160" i="38"/>
  <c r="I159" i="38"/>
  <c r="I158" i="38"/>
  <c r="I157" i="38"/>
  <c r="I156" i="38"/>
  <c r="I155" i="38"/>
  <c r="I154" i="38"/>
  <c r="I153" i="38"/>
  <c r="I152" i="38"/>
  <c r="I151" i="38"/>
  <c r="I150" i="38"/>
  <c r="I149" i="38"/>
  <c r="I148" i="38"/>
  <c r="I147" i="38"/>
  <c r="I146" i="38"/>
  <c r="I145" i="38"/>
  <c r="I144" i="38"/>
  <c r="I143" i="38"/>
  <c r="I142" i="38"/>
  <c r="I141" i="38"/>
  <c r="I140" i="38"/>
  <c r="I139" i="38"/>
  <c r="I138" i="38"/>
  <c r="I137" i="38"/>
  <c r="I136" i="38"/>
  <c r="I135" i="38"/>
  <c r="I134" i="38"/>
  <c r="I133" i="38"/>
  <c r="I132" i="38"/>
  <c r="I131" i="38"/>
  <c r="I130" i="38"/>
  <c r="I129" i="38"/>
  <c r="I128" i="38"/>
  <c r="I127" i="38"/>
  <c r="I126" i="38"/>
  <c r="I125" i="38"/>
  <c r="I124" i="38"/>
  <c r="I123" i="38"/>
  <c r="I122" i="38"/>
  <c r="I121" i="38"/>
  <c r="I120" i="38"/>
  <c r="I119" i="38"/>
  <c r="I118" i="38"/>
  <c r="I117" i="38"/>
  <c r="I116" i="38"/>
  <c r="I115" i="38"/>
  <c r="I114" i="38"/>
  <c r="I113" i="38"/>
  <c r="I112" i="38"/>
  <c r="I111" i="38"/>
  <c r="I110" i="38"/>
  <c r="I109" i="38"/>
  <c r="I108" i="38"/>
  <c r="I107" i="38"/>
  <c r="I106" i="38"/>
  <c r="I105" i="38"/>
  <c r="I104" i="38"/>
  <c r="I103" i="38"/>
  <c r="I102" i="38"/>
  <c r="I101" i="38"/>
  <c r="I100" i="38"/>
  <c r="I99" i="38"/>
  <c r="I98" i="38"/>
  <c r="I97" i="38"/>
  <c r="I96" i="38"/>
  <c r="I95" i="38"/>
  <c r="I94" i="38"/>
  <c r="I93" i="38"/>
  <c r="I92" i="38"/>
  <c r="I91" i="38"/>
  <c r="I90" i="38"/>
  <c r="I89" i="38"/>
  <c r="I88" i="38"/>
  <c r="I87" i="38"/>
  <c r="I86" i="38"/>
  <c r="I85" i="38"/>
  <c r="I84" i="38"/>
  <c r="I83" i="38"/>
  <c r="I82" i="38"/>
  <c r="I81" i="38"/>
  <c r="I80" i="38"/>
  <c r="I79" i="38"/>
  <c r="I78" i="38"/>
  <c r="I77" i="38"/>
  <c r="I76" i="38"/>
  <c r="I75" i="38"/>
  <c r="I74" i="38"/>
  <c r="I73" i="38"/>
  <c r="I72" i="38"/>
  <c r="I71" i="38"/>
  <c r="I70" i="38"/>
  <c r="I69" i="38"/>
  <c r="I68" i="38"/>
  <c r="I67" i="38"/>
  <c r="I66" i="38"/>
  <c r="I65" i="38"/>
  <c r="I64" i="38"/>
  <c r="I63" i="38"/>
  <c r="I62" i="38"/>
  <c r="I61" i="38"/>
  <c r="I60" i="38"/>
  <c r="I59" i="38"/>
  <c r="I58" i="38"/>
  <c r="I57" i="38"/>
  <c r="I56" i="38"/>
  <c r="I55" i="38"/>
  <c r="I54" i="38"/>
  <c r="I53" i="38"/>
  <c r="I52" i="38"/>
  <c r="I51" i="38"/>
  <c r="I50" i="38"/>
  <c r="I49" i="38"/>
  <c r="I48" i="38"/>
  <c r="I47" i="38"/>
  <c r="I46" i="38"/>
  <c r="I45" i="38"/>
  <c r="I44" i="38"/>
  <c r="I43" i="38"/>
  <c r="I42" i="38"/>
  <c r="I41" i="38"/>
  <c r="I40" i="38"/>
  <c r="I39" i="38"/>
  <c r="I38" i="38"/>
  <c r="I37" i="38"/>
  <c r="I36" i="38"/>
  <c r="I35" i="38"/>
  <c r="I34" i="38"/>
  <c r="I33" i="38"/>
  <c r="I32" i="38"/>
  <c r="I31" i="38"/>
  <c r="I30" i="38"/>
  <c r="I29" i="38"/>
  <c r="I28" i="38"/>
  <c r="I27" i="38"/>
  <c r="I26" i="38"/>
  <c r="I25" i="38"/>
  <c r="I24" i="38"/>
  <c r="B7" i="38"/>
  <c r="B6" i="38"/>
  <c r="B5" i="38"/>
  <c r="B2" i="38"/>
  <c r="B1" i="38"/>
  <c r="G106" i="37"/>
  <c r="G106" i="36"/>
  <c r="I112" i="37"/>
  <c r="I111" i="37"/>
  <c r="I110" i="37"/>
  <c r="I109" i="37"/>
  <c r="I108" i="37"/>
  <c r="I107" i="37"/>
  <c r="I105" i="37"/>
  <c r="I104" i="37"/>
  <c r="I103" i="37"/>
  <c r="I102" i="37"/>
  <c r="I101" i="37"/>
  <c r="I100" i="37"/>
  <c r="I99" i="37"/>
  <c r="I98" i="37"/>
  <c r="I97" i="37"/>
  <c r="I96" i="37"/>
  <c r="I95" i="37"/>
  <c r="I94" i="37"/>
  <c r="I93" i="37"/>
  <c r="I92" i="37"/>
  <c r="I91" i="37"/>
  <c r="I90" i="37"/>
  <c r="I89" i="37"/>
  <c r="I88" i="37"/>
  <c r="I87" i="37"/>
  <c r="I86" i="37"/>
  <c r="I85" i="37"/>
  <c r="I84" i="37"/>
  <c r="I83" i="37"/>
  <c r="I82" i="37"/>
  <c r="I81" i="37"/>
  <c r="I80" i="37"/>
  <c r="I79" i="37"/>
  <c r="I78" i="37"/>
  <c r="I77" i="37"/>
  <c r="I76" i="37"/>
  <c r="I75" i="37"/>
  <c r="I74" i="37"/>
  <c r="I73" i="37"/>
  <c r="I72" i="37"/>
  <c r="I71" i="37"/>
  <c r="I70" i="37"/>
  <c r="I69" i="37"/>
  <c r="I68" i="37"/>
  <c r="I67" i="37"/>
  <c r="I66" i="37"/>
  <c r="I65" i="37"/>
  <c r="I64" i="37"/>
  <c r="I63" i="37"/>
  <c r="I62" i="37"/>
  <c r="I61" i="37"/>
  <c r="I60" i="37"/>
  <c r="I59" i="37"/>
  <c r="I58" i="37"/>
  <c r="I57" i="37"/>
  <c r="I56" i="37"/>
  <c r="I55" i="37"/>
  <c r="I54" i="37"/>
  <c r="I53" i="37"/>
  <c r="I52" i="37"/>
  <c r="I51" i="37"/>
  <c r="I50" i="37"/>
  <c r="I49" i="37"/>
  <c r="I48" i="37"/>
  <c r="I47" i="37"/>
  <c r="I46" i="37"/>
  <c r="I45" i="37"/>
  <c r="I44" i="37"/>
  <c r="I43" i="37"/>
  <c r="I42" i="37"/>
  <c r="I41" i="37"/>
  <c r="I40" i="37"/>
  <c r="I39" i="37"/>
  <c r="I38" i="37"/>
  <c r="I37" i="37"/>
  <c r="I36" i="37"/>
  <c r="I35" i="37"/>
  <c r="I34" i="37"/>
  <c r="I33" i="37"/>
  <c r="I32" i="37"/>
  <c r="I31" i="37"/>
  <c r="I30" i="37"/>
  <c r="I29" i="37"/>
  <c r="I28" i="37"/>
  <c r="I27" i="37"/>
  <c r="I26" i="37"/>
  <c r="I25" i="37"/>
  <c r="B7" i="37"/>
  <c r="B6" i="37"/>
  <c r="B5" i="37"/>
  <c r="B2" i="37"/>
  <c r="B1" i="37"/>
  <c r="I112" i="36"/>
  <c r="I111" i="36"/>
  <c r="I110" i="36"/>
  <c r="I109" i="36"/>
  <c r="I108" i="36"/>
  <c r="I107" i="36"/>
  <c r="I105" i="36"/>
  <c r="I104" i="36"/>
  <c r="I103" i="36"/>
  <c r="I102" i="36"/>
  <c r="I101" i="36"/>
  <c r="I100" i="36"/>
  <c r="I99" i="36"/>
  <c r="I98" i="36"/>
  <c r="I97" i="36"/>
  <c r="I96" i="36"/>
  <c r="I95" i="36"/>
  <c r="I94" i="36"/>
  <c r="I93" i="36"/>
  <c r="I92" i="36"/>
  <c r="I91" i="36"/>
  <c r="I90" i="36"/>
  <c r="I89" i="36"/>
  <c r="I88" i="36"/>
  <c r="I87" i="36"/>
  <c r="I86" i="36"/>
  <c r="I85" i="36"/>
  <c r="I84" i="36"/>
  <c r="I83" i="36"/>
  <c r="I82" i="36"/>
  <c r="I81" i="36"/>
  <c r="I80" i="36"/>
  <c r="I79" i="36"/>
  <c r="I78" i="36"/>
  <c r="I77" i="36"/>
  <c r="I76" i="36"/>
  <c r="I75" i="36"/>
  <c r="I74" i="36"/>
  <c r="I73" i="36"/>
  <c r="I72" i="36"/>
  <c r="I71" i="36"/>
  <c r="I70" i="36"/>
  <c r="I69" i="36"/>
  <c r="I68" i="36"/>
  <c r="I67" i="36"/>
  <c r="I66" i="36"/>
  <c r="I65" i="36"/>
  <c r="I64" i="36"/>
  <c r="I63" i="36"/>
  <c r="I62" i="36"/>
  <c r="I61" i="36"/>
  <c r="I60" i="36"/>
  <c r="I59" i="36"/>
  <c r="I58" i="36"/>
  <c r="I57" i="36"/>
  <c r="I56" i="36"/>
  <c r="I55" i="36"/>
  <c r="I54" i="36"/>
  <c r="I53" i="36"/>
  <c r="I52" i="36"/>
  <c r="I51" i="36"/>
  <c r="I50" i="36"/>
  <c r="I49" i="36"/>
  <c r="I48" i="36"/>
  <c r="I47" i="36"/>
  <c r="I46" i="36"/>
  <c r="I45" i="36"/>
  <c r="I44" i="36"/>
  <c r="I43" i="36"/>
  <c r="I42" i="36"/>
  <c r="I41" i="36"/>
  <c r="I40" i="36"/>
  <c r="I39" i="36"/>
  <c r="I38" i="36"/>
  <c r="I37" i="36"/>
  <c r="I36" i="36"/>
  <c r="I35" i="36"/>
  <c r="I34" i="36"/>
  <c r="I33" i="36"/>
  <c r="I32" i="36"/>
  <c r="I31" i="36"/>
  <c r="I30" i="36"/>
  <c r="I29" i="36"/>
  <c r="I28" i="36"/>
  <c r="I27" i="36"/>
  <c r="I26" i="36"/>
  <c r="I25" i="36"/>
  <c r="B7" i="36"/>
  <c r="B6" i="36"/>
  <c r="B5" i="36"/>
  <c r="B2" i="36"/>
  <c r="B1" i="36"/>
  <c r="G146" i="35"/>
  <c r="G144" i="34"/>
  <c r="I152" i="35"/>
  <c r="I151" i="35"/>
  <c r="I150" i="35"/>
  <c r="I149" i="35"/>
  <c r="I148" i="35"/>
  <c r="I147" i="35"/>
  <c r="I145" i="35"/>
  <c r="I144" i="35"/>
  <c r="I143" i="35"/>
  <c r="I142" i="35"/>
  <c r="I141" i="35"/>
  <c r="I140" i="35"/>
  <c r="I139" i="35"/>
  <c r="I138" i="35"/>
  <c r="I137" i="35"/>
  <c r="I136" i="35"/>
  <c r="I135" i="35"/>
  <c r="I134" i="35"/>
  <c r="I133" i="35"/>
  <c r="I132" i="35"/>
  <c r="I131" i="35"/>
  <c r="I130" i="35"/>
  <c r="I129" i="35"/>
  <c r="I128" i="35"/>
  <c r="I127" i="35"/>
  <c r="I126" i="35"/>
  <c r="I125" i="35"/>
  <c r="I124" i="35"/>
  <c r="I123" i="35"/>
  <c r="I122" i="35"/>
  <c r="I121" i="35"/>
  <c r="I120" i="35"/>
  <c r="I119" i="35"/>
  <c r="I118" i="35"/>
  <c r="I117" i="35"/>
  <c r="I116" i="35"/>
  <c r="I115" i="35"/>
  <c r="I114" i="35"/>
  <c r="I113" i="35"/>
  <c r="I112" i="35"/>
  <c r="I111" i="35"/>
  <c r="I110" i="35"/>
  <c r="I109" i="35"/>
  <c r="I108" i="35"/>
  <c r="I107" i="35"/>
  <c r="I106" i="35"/>
  <c r="I105" i="35"/>
  <c r="I104" i="35"/>
  <c r="I103" i="35"/>
  <c r="I102" i="35"/>
  <c r="I101" i="35"/>
  <c r="I100" i="35"/>
  <c r="I99" i="35"/>
  <c r="I98" i="35"/>
  <c r="I97" i="35"/>
  <c r="I96" i="35"/>
  <c r="I95" i="35"/>
  <c r="I94" i="35"/>
  <c r="I93" i="35"/>
  <c r="I92" i="35"/>
  <c r="I91" i="35"/>
  <c r="I90" i="35"/>
  <c r="I89" i="35"/>
  <c r="I88" i="35"/>
  <c r="I87" i="35"/>
  <c r="I86" i="35"/>
  <c r="I85" i="35"/>
  <c r="I84" i="35"/>
  <c r="I83" i="35"/>
  <c r="I82" i="35"/>
  <c r="I81" i="35"/>
  <c r="I80" i="35"/>
  <c r="I79" i="35"/>
  <c r="I78" i="35"/>
  <c r="I77" i="35"/>
  <c r="I76" i="35"/>
  <c r="I75" i="35"/>
  <c r="I74" i="35"/>
  <c r="I73" i="35"/>
  <c r="I72" i="35"/>
  <c r="I71" i="35"/>
  <c r="I70" i="35"/>
  <c r="I69" i="35"/>
  <c r="I68" i="35"/>
  <c r="I67" i="35"/>
  <c r="I66" i="35"/>
  <c r="I65" i="35"/>
  <c r="I64" i="35"/>
  <c r="I63" i="35"/>
  <c r="I62" i="35"/>
  <c r="I61" i="35"/>
  <c r="I60" i="35"/>
  <c r="I59" i="35"/>
  <c r="I58" i="35"/>
  <c r="I57" i="35"/>
  <c r="I56" i="35"/>
  <c r="I55" i="35"/>
  <c r="I54" i="35"/>
  <c r="I53" i="35"/>
  <c r="I52"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B7" i="35"/>
  <c r="B6" i="35"/>
  <c r="B5" i="35"/>
  <c r="B2" i="35"/>
  <c r="B1" i="35"/>
  <c r="I150" i="34"/>
  <c r="I149" i="34"/>
  <c r="I148" i="34"/>
  <c r="I147" i="34"/>
  <c r="I146" i="34"/>
  <c r="I145" i="34"/>
  <c r="I143" i="34"/>
  <c r="I142" i="34"/>
  <c r="I141" i="34"/>
  <c r="I140" i="34"/>
  <c r="I139" i="34"/>
  <c r="I138" i="34"/>
  <c r="I137" i="34"/>
  <c r="I136" i="34"/>
  <c r="I135" i="34"/>
  <c r="I134" i="34"/>
  <c r="I133" i="34"/>
  <c r="I132" i="34"/>
  <c r="I131" i="34"/>
  <c r="I130" i="34"/>
  <c r="I129" i="34"/>
  <c r="I128" i="34"/>
  <c r="I127" i="34"/>
  <c r="I126" i="34"/>
  <c r="I125" i="34"/>
  <c r="I124" i="34"/>
  <c r="I123" i="34"/>
  <c r="I122" i="34"/>
  <c r="I121" i="34"/>
  <c r="I120" i="34"/>
  <c r="I119" i="34"/>
  <c r="I118" i="34"/>
  <c r="I117" i="34"/>
  <c r="I116" i="34"/>
  <c r="I115" i="34"/>
  <c r="I114" i="34"/>
  <c r="I113" i="34"/>
  <c r="I112" i="34"/>
  <c r="I111" i="34"/>
  <c r="I110" i="34"/>
  <c r="I109" i="34"/>
  <c r="I108" i="34"/>
  <c r="I107" i="34"/>
  <c r="I106" i="34"/>
  <c r="I105" i="34"/>
  <c r="I104" i="34"/>
  <c r="I103" i="34"/>
  <c r="I102" i="34"/>
  <c r="I101" i="34"/>
  <c r="I100" i="34"/>
  <c r="I99" i="34"/>
  <c r="I98" i="34"/>
  <c r="I97" i="34"/>
  <c r="I96" i="34"/>
  <c r="I95" i="34"/>
  <c r="I94" i="34"/>
  <c r="I93" i="34"/>
  <c r="I92" i="34"/>
  <c r="I91" i="34"/>
  <c r="I90" i="34"/>
  <c r="I89" i="34"/>
  <c r="I88" i="34"/>
  <c r="I87" i="34"/>
  <c r="I86" i="34"/>
  <c r="I85" i="34"/>
  <c r="I84" i="34"/>
  <c r="I83" i="34"/>
  <c r="I82" i="34"/>
  <c r="I81" i="34"/>
  <c r="I80" i="34"/>
  <c r="I79" i="34"/>
  <c r="I78" i="34"/>
  <c r="I77" i="34"/>
  <c r="I76" i="34"/>
  <c r="I75" i="34"/>
  <c r="I74" i="34"/>
  <c r="I73" i="34"/>
  <c r="I72" i="34"/>
  <c r="I71" i="34"/>
  <c r="I70" i="34"/>
  <c r="I69" i="34"/>
  <c r="I68" i="34"/>
  <c r="I67" i="34"/>
  <c r="I66" i="34"/>
  <c r="I65" i="34"/>
  <c r="I64" i="34"/>
  <c r="I63" i="34"/>
  <c r="I62" i="34"/>
  <c r="I61" i="34"/>
  <c r="I60" i="34"/>
  <c r="I59" i="34"/>
  <c r="I58" i="34"/>
  <c r="I57" i="34"/>
  <c r="I56" i="34"/>
  <c r="I55" i="34"/>
  <c r="I54" i="34"/>
  <c r="I53" i="34"/>
  <c r="I52" i="34"/>
  <c r="I51" i="34"/>
  <c r="I50" i="34"/>
  <c r="I49" i="34"/>
  <c r="I48" i="34"/>
  <c r="I47" i="34"/>
  <c r="I46" i="34"/>
  <c r="I45" i="34"/>
  <c r="I44" i="34"/>
  <c r="I43" i="34"/>
  <c r="I42" i="34"/>
  <c r="I41" i="34"/>
  <c r="I40" i="34"/>
  <c r="I39" i="34"/>
  <c r="I38" i="34"/>
  <c r="I37" i="34"/>
  <c r="I36" i="34"/>
  <c r="I35" i="34"/>
  <c r="I34" i="34"/>
  <c r="I33" i="34"/>
  <c r="I32" i="34"/>
  <c r="I31" i="34"/>
  <c r="I30" i="34"/>
  <c r="I29" i="34"/>
  <c r="I28" i="34"/>
  <c r="I27" i="34"/>
  <c r="I26" i="34"/>
  <c r="I25" i="34"/>
  <c r="B7" i="34"/>
  <c r="B6" i="34"/>
  <c r="B5" i="34"/>
  <c r="B2" i="34"/>
  <c r="B1" i="34"/>
  <c r="I80" i="33"/>
  <c r="I75" i="33"/>
  <c r="I59" i="33"/>
  <c r="I70" i="33"/>
  <c r="I65" i="33"/>
  <c r="I37" i="33"/>
  <c r="I38" i="33"/>
  <c r="I39" i="33"/>
  <c r="I40" i="33"/>
  <c r="I41" i="33"/>
  <c r="I42" i="33"/>
  <c r="I43" i="33"/>
  <c r="I44" i="33"/>
  <c r="I45" i="33"/>
  <c r="I46" i="33"/>
  <c r="I47" i="33"/>
  <c r="I48" i="33"/>
  <c r="I49" i="33"/>
  <c r="I50" i="33"/>
  <c r="I51" i="33"/>
  <c r="I52" i="33"/>
  <c r="I53" i="33"/>
  <c r="I54" i="33"/>
  <c r="I55" i="33"/>
  <c r="I56" i="33"/>
  <c r="I57" i="33"/>
  <c r="I58" i="33"/>
  <c r="I60" i="33"/>
  <c r="I61" i="33"/>
  <c r="I62" i="33"/>
  <c r="I63" i="33"/>
  <c r="I64" i="33"/>
  <c r="I66" i="33"/>
  <c r="I67" i="33"/>
  <c r="I68" i="33"/>
  <c r="I69" i="33"/>
  <c r="I71" i="33"/>
  <c r="I72" i="33"/>
  <c r="I73" i="33"/>
  <c r="I74" i="33"/>
  <c r="I76" i="33"/>
  <c r="I77" i="33"/>
  <c r="I78" i="33"/>
  <c r="I79"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25" i="33"/>
  <c r="I26" i="33"/>
  <c r="I27" i="33"/>
  <c r="I28" i="33"/>
  <c r="I29" i="33"/>
  <c r="I30" i="33"/>
  <c r="I31" i="33"/>
  <c r="I32" i="33"/>
  <c r="I33" i="33"/>
  <c r="I34" i="33"/>
  <c r="I35" i="33"/>
  <c r="I25" i="23"/>
  <c r="I26" i="23"/>
  <c r="I27" i="23"/>
  <c r="I28" i="23"/>
  <c r="I29" i="23"/>
  <c r="I30" i="23"/>
  <c r="I31" i="23"/>
  <c r="I32" i="23"/>
  <c r="I33" i="23"/>
  <c r="I34" i="23"/>
  <c r="I35" i="23"/>
  <c r="I36" i="23"/>
  <c r="I37" i="23"/>
  <c r="I38" i="23"/>
  <c r="I39" i="23"/>
  <c r="I40" i="23"/>
  <c r="I41" i="23"/>
  <c r="I42" i="23"/>
  <c r="I43" i="23"/>
  <c r="I44" i="23"/>
  <c r="I45" i="23"/>
  <c r="I46" i="23"/>
  <c r="I47" i="23"/>
  <c r="I48" i="23"/>
  <c r="I49" i="23"/>
  <c r="I50" i="23"/>
  <c r="I51" i="23"/>
  <c r="I52" i="23"/>
  <c r="I53" i="23"/>
  <c r="I54" i="23"/>
  <c r="I55" i="23"/>
  <c r="I56" i="23"/>
  <c r="I57" i="23"/>
  <c r="I58" i="23"/>
  <c r="I59" i="23"/>
  <c r="I60" i="23"/>
  <c r="I61" i="23"/>
  <c r="I62" i="23"/>
  <c r="I63" i="23"/>
  <c r="I64" i="23"/>
  <c r="I65" i="23"/>
  <c r="I66" i="23"/>
  <c r="I67" i="23"/>
  <c r="I68" i="23"/>
  <c r="I69" i="23"/>
  <c r="I70" i="23"/>
  <c r="I71" i="23"/>
  <c r="I72" i="23"/>
  <c r="I73" i="23"/>
  <c r="I74" i="23"/>
  <c r="I75" i="23"/>
  <c r="I76" i="23"/>
  <c r="I77" i="23"/>
  <c r="I78" i="23"/>
  <c r="I79" i="23"/>
  <c r="I80" i="23"/>
  <c r="I81" i="23"/>
  <c r="I82" i="23"/>
  <c r="I83" i="23"/>
  <c r="I84" i="23"/>
  <c r="I85" i="23"/>
  <c r="I86" i="23"/>
  <c r="I87" i="23"/>
  <c r="I88" i="23"/>
  <c r="I89" i="23"/>
  <c r="I90" i="23"/>
  <c r="I91" i="23"/>
  <c r="I92" i="23"/>
  <c r="I93" i="23"/>
  <c r="I94" i="23"/>
  <c r="I95" i="23"/>
  <c r="I96" i="23"/>
  <c r="I97" i="23"/>
  <c r="I98" i="23"/>
  <c r="I99" i="23"/>
  <c r="I100" i="23"/>
  <c r="I101" i="23"/>
  <c r="I102" i="23"/>
  <c r="I103" i="23"/>
  <c r="I104" i="23"/>
  <c r="I105" i="23"/>
  <c r="I106" i="23"/>
  <c r="I107" i="23"/>
  <c r="I108" i="23"/>
  <c r="I109" i="23"/>
  <c r="I110" i="23"/>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25" i="30"/>
  <c r="I26" i="30"/>
  <c r="I27" i="30"/>
  <c r="I28" i="30"/>
  <c r="I29" i="30"/>
  <c r="I30" i="30"/>
  <c r="I31" i="30"/>
  <c r="I32" i="30"/>
  <c r="I33" i="30"/>
  <c r="I34" i="30"/>
  <c r="I35" i="30"/>
  <c r="I36" i="30"/>
  <c r="I37" i="30"/>
  <c r="I38" i="30"/>
  <c r="I39" i="30"/>
  <c r="I40" i="30"/>
  <c r="I41" i="30"/>
  <c r="I42" i="30"/>
  <c r="I43" i="30"/>
  <c r="I44" i="30"/>
  <c r="I45" i="30"/>
  <c r="I46" i="30"/>
  <c r="I47" i="30"/>
  <c r="I48" i="30"/>
  <c r="I49" i="30"/>
  <c r="I50" i="30"/>
  <c r="I51" i="30"/>
  <c r="I52" i="30"/>
  <c r="I53" i="30"/>
  <c r="I54" i="30"/>
  <c r="I55" i="30"/>
  <c r="I56" i="30"/>
  <c r="I57" i="30"/>
  <c r="I58" i="30"/>
  <c r="I59" i="30"/>
  <c r="I60" i="30"/>
  <c r="I61" i="30"/>
  <c r="I62" i="30"/>
  <c r="I63" i="30"/>
  <c r="I64" i="30"/>
  <c r="I65" i="30"/>
  <c r="I66" i="30"/>
  <c r="I67" i="30"/>
  <c r="I68" i="30"/>
  <c r="I69" i="30"/>
  <c r="I70" i="30"/>
  <c r="I71" i="30"/>
  <c r="I72" i="30"/>
  <c r="I73" i="30"/>
  <c r="I74" i="30"/>
  <c r="I75" i="30"/>
  <c r="I76" i="30"/>
  <c r="I77" i="30"/>
  <c r="I78" i="30"/>
  <c r="I79" i="30"/>
  <c r="I80" i="30"/>
  <c r="I81" i="30"/>
  <c r="I82" i="30"/>
  <c r="I83" i="30"/>
  <c r="I84" i="30"/>
  <c r="I85" i="30"/>
  <c r="I86" i="30"/>
  <c r="I87" i="30"/>
  <c r="I88" i="30"/>
  <c r="I89" i="30"/>
  <c r="I90" i="30"/>
  <c r="I91" i="30"/>
  <c r="I92" i="30"/>
  <c r="I93" i="30"/>
  <c r="I94" i="30"/>
  <c r="I95" i="30"/>
  <c r="I96" i="30"/>
  <c r="I97" i="30"/>
  <c r="I98" i="30"/>
  <c r="I99" i="30"/>
  <c r="I100" i="30"/>
  <c r="I101" i="30"/>
  <c r="I102" i="30"/>
  <c r="I103" i="30"/>
  <c r="I104" i="30"/>
  <c r="I105" i="30"/>
  <c r="I106" i="30"/>
  <c r="I107" i="30"/>
  <c r="I108" i="30"/>
  <c r="I109" i="30"/>
  <c r="I110" i="30"/>
  <c r="I111" i="30"/>
  <c r="I112" i="30"/>
  <c r="I113" i="30"/>
  <c r="I114" i="30"/>
  <c r="I115" i="30"/>
  <c r="I116" i="30"/>
  <c r="I117" i="30"/>
  <c r="I118" i="30"/>
  <c r="I119" i="30"/>
  <c r="I120" i="30"/>
  <c r="I121" i="30"/>
  <c r="I122" i="30"/>
  <c r="I123" i="30"/>
  <c r="I124" i="30"/>
  <c r="I125" i="30"/>
  <c r="I126" i="30"/>
  <c r="I127" i="30"/>
  <c r="I128" i="30"/>
  <c r="I129" i="30"/>
  <c r="I130" i="30"/>
  <c r="I131" i="30"/>
  <c r="I132" i="30"/>
  <c r="I133" i="30"/>
  <c r="I134" i="30"/>
  <c r="I135" i="30"/>
  <c r="I136" i="30"/>
  <c r="I137" i="30"/>
  <c r="I138" i="30"/>
  <c r="I139" i="30"/>
  <c r="I140" i="30"/>
  <c r="I141" i="30"/>
  <c r="I142" i="30"/>
  <c r="I143" i="30"/>
  <c r="I144" i="30"/>
  <c r="I145" i="30"/>
  <c r="I146" i="30"/>
  <c r="I147" i="30"/>
  <c r="I148" i="30"/>
  <c r="G33" i="19"/>
  <c r="G26" i="19"/>
  <c r="G27" i="19"/>
  <c r="G28" i="19"/>
  <c r="G29" i="19"/>
  <c r="G30" i="19"/>
  <c r="G31" i="19"/>
  <c r="G32" i="19"/>
  <c r="G25" i="19"/>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24" i="25"/>
  <c r="I25" i="25"/>
  <c r="I26" i="25"/>
  <c r="I27" i="25"/>
  <c r="I28" i="25"/>
  <c r="I29" i="25"/>
  <c r="I30" i="25"/>
  <c r="I31" i="25"/>
  <c r="I32" i="25"/>
  <c r="I33" i="25"/>
  <c r="I34" i="25"/>
  <c r="I35" i="25"/>
  <c r="I36" i="25"/>
  <c r="I37" i="25"/>
  <c r="I38" i="25"/>
  <c r="I39" i="25"/>
  <c r="I40" i="25"/>
  <c r="I41" i="25"/>
  <c r="I42" i="25"/>
  <c r="I43" i="25"/>
  <c r="I44" i="25"/>
  <c r="I45" i="25"/>
  <c r="I46" i="25"/>
  <c r="I47" i="25"/>
  <c r="I48" i="25"/>
  <c r="I49" i="25"/>
  <c r="I50" i="25"/>
  <c r="I51" i="25"/>
  <c r="I52" i="25"/>
  <c r="I53" i="25"/>
  <c r="I54" i="25"/>
  <c r="I55" i="25"/>
  <c r="I56" i="25"/>
  <c r="I57" i="25"/>
  <c r="I58" i="25"/>
  <c r="I59" i="25"/>
  <c r="I60" i="25"/>
  <c r="I61" i="25"/>
  <c r="I62" i="25"/>
  <c r="I63" i="25"/>
  <c r="I64" i="25"/>
  <c r="I65" i="25"/>
  <c r="I66" i="25"/>
  <c r="I67" i="25"/>
  <c r="I68" i="25"/>
  <c r="I69" i="25"/>
  <c r="I70" i="25"/>
  <c r="I71" i="25"/>
  <c r="I72" i="25"/>
  <c r="I73" i="25"/>
  <c r="I74" i="25"/>
  <c r="I75" i="25"/>
  <c r="I76" i="25"/>
  <c r="I77" i="25"/>
  <c r="I78" i="25"/>
  <c r="I79" i="25"/>
  <c r="I80" i="25"/>
  <c r="I81" i="25"/>
  <c r="I82" i="25"/>
  <c r="I83" i="25"/>
  <c r="I84" i="25"/>
  <c r="I85" i="25"/>
  <c r="I86" i="25"/>
  <c r="I87" i="25"/>
  <c r="I88" i="25"/>
  <c r="I89" i="25"/>
  <c r="I90" i="25"/>
  <c r="I91" i="25"/>
  <c r="I92" i="25"/>
  <c r="I93" i="25"/>
  <c r="I94" i="25"/>
  <c r="I95" i="25"/>
  <c r="I96" i="25"/>
  <c r="I97" i="25"/>
  <c r="I98" i="25"/>
  <c r="I99" i="25"/>
  <c r="I100" i="25"/>
  <c r="I101" i="25"/>
  <c r="I102" i="25"/>
  <c r="I103" i="25"/>
  <c r="I104" i="25"/>
  <c r="I105" i="25"/>
  <c r="I106" i="25"/>
  <c r="I107" i="25"/>
  <c r="I108" i="25"/>
  <c r="I109" i="25"/>
  <c r="I110" i="25"/>
  <c r="I111" i="25"/>
  <c r="I112" i="25"/>
  <c r="I113" i="25"/>
  <c r="I114" i="25"/>
  <c r="I115" i="25"/>
  <c r="I116" i="25"/>
  <c r="I117" i="25"/>
  <c r="I118" i="25"/>
  <c r="I119" i="25"/>
  <c r="I120" i="25"/>
  <c r="I121" i="25"/>
  <c r="I122" i="25"/>
  <c r="I123" i="25"/>
  <c r="I124" i="25"/>
  <c r="I125" i="25"/>
  <c r="I126" i="25"/>
  <c r="I127" i="25"/>
  <c r="I128" i="25"/>
  <c r="I129" i="25"/>
  <c r="I130" i="25"/>
  <c r="I131" i="25"/>
  <c r="I132" i="25"/>
  <c r="I133" i="25"/>
  <c r="I134" i="25"/>
  <c r="I135" i="25"/>
  <c r="I136" i="25"/>
  <c r="I137" i="25"/>
  <c r="I138" i="25"/>
  <c r="I139" i="25"/>
  <c r="I140" i="25"/>
  <c r="I141" i="25"/>
  <c r="I142" i="25"/>
  <c r="I143" i="25"/>
  <c r="I144" i="25"/>
  <c r="I145" i="25"/>
  <c r="I146" i="25"/>
  <c r="I147" i="25"/>
  <c r="I148" i="25"/>
  <c r="I149" i="25"/>
  <c r="I150" i="25"/>
  <c r="I151" i="25"/>
  <c r="I152" i="25"/>
  <c r="I153" i="25"/>
  <c r="I154" i="25"/>
  <c r="I155" i="25"/>
  <c r="I156" i="25"/>
  <c r="I157" i="25"/>
  <c r="I158" i="25"/>
  <c r="I159" i="25"/>
  <c r="I160" i="25"/>
  <c r="I161" i="25"/>
  <c r="I162" i="25"/>
  <c r="I163" i="25"/>
  <c r="I164" i="25"/>
  <c r="I165" i="25"/>
  <c r="I166" i="25"/>
  <c r="I167" i="25"/>
  <c r="I168" i="25"/>
  <c r="I169" i="25"/>
  <c r="I170" i="25"/>
  <c r="I171" i="25"/>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I219" i="27"/>
  <c r="I220" i="27"/>
  <c r="I221" i="27"/>
  <c r="I222" i="27"/>
  <c r="I223" i="27"/>
  <c r="I224" i="27"/>
  <c r="I225" i="27"/>
  <c r="I226" i="27"/>
  <c r="I227" i="27"/>
  <c r="I228" i="27"/>
  <c r="I229" i="27"/>
  <c r="I230" i="27"/>
  <c r="I231" i="27"/>
  <c r="I30" i="10"/>
  <c r="I31" i="10"/>
  <c r="I32" i="10"/>
  <c r="I33" i="10"/>
  <c r="I34" i="10"/>
  <c r="I35" i="10"/>
  <c r="I36" i="10"/>
  <c r="I37" i="10"/>
  <c r="I38" i="10"/>
  <c r="I39" i="10"/>
  <c r="I40" i="10"/>
  <c r="I41" i="10"/>
  <c r="I42" i="10"/>
  <c r="I43" i="10"/>
  <c r="I44" i="10"/>
  <c r="I45" i="10"/>
  <c r="I46" i="10"/>
  <c r="I47" i="10"/>
  <c r="I48" i="10"/>
  <c r="I49" i="10"/>
  <c r="I50" i="10"/>
  <c r="I51" i="10"/>
  <c r="I52" i="10"/>
  <c r="I56" i="10"/>
  <c r="I57" i="10"/>
  <c r="I58" i="10"/>
  <c r="I59" i="10"/>
  <c r="I60" i="10"/>
  <c r="I61"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110" i="10"/>
  <c r="I111" i="10"/>
  <c r="I112" i="10"/>
  <c r="I113" i="10"/>
  <c r="I114" i="10"/>
  <c r="I115" i="10"/>
  <c r="I116" i="10"/>
  <c r="I117" i="10"/>
  <c r="I118" i="10"/>
  <c r="I119" i="10"/>
  <c r="I120" i="10"/>
  <c r="I121" i="10"/>
  <c r="I122" i="10"/>
  <c r="I123" i="10"/>
  <c r="I124" i="10"/>
  <c r="I125" i="10"/>
  <c r="I126" i="10"/>
  <c r="I127" i="10"/>
  <c r="I128" i="10"/>
  <c r="I129"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200" i="10"/>
  <c r="I201" i="10"/>
  <c r="I202" i="10"/>
  <c r="I203" i="10"/>
  <c r="I204" i="10"/>
  <c r="I205" i="10"/>
  <c r="I206" i="10"/>
  <c r="I207" i="10"/>
  <c r="I208" i="10"/>
  <c r="I209" i="10"/>
  <c r="I210" i="10"/>
  <c r="I211" i="10"/>
  <c r="I212" i="10"/>
  <c r="I213" i="10"/>
  <c r="I214" i="10"/>
  <c r="I215" i="10"/>
  <c r="I216" i="10"/>
  <c r="I217" i="10"/>
  <c r="I218" i="10"/>
  <c r="I219" i="10"/>
  <c r="I220" i="10"/>
  <c r="I221" i="10"/>
  <c r="I222" i="10"/>
  <c r="I223" i="10"/>
  <c r="I224" i="10"/>
  <c r="I225" i="10"/>
  <c r="I226" i="10"/>
  <c r="I227" i="10"/>
  <c r="I228" i="10"/>
  <c r="I229" i="10"/>
  <c r="I230" i="10"/>
  <c r="I231" i="10"/>
  <c r="I232" i="10"/>
  <c r="I233" i="10"/>
  <c r="I234" i="10"/>
  <c r="I235" i="10"/>
  <c r="I236" i="10"/>
  <c r="I237" i="10"/>
  <c r="I238" i="10"/>
  <c r="I239" i="10"/>
  <c r="I240" i="10"/>
  <c r="I241" i="10"/>
  <c r="I242" i="10"/>
  <c r="I243" i="10"/>
  <c r="I244" i="10"/>
  <c r="I245" i="10"/>
  <c r="I246" i="10"/>
  <c r="I247" i="10"/>
  <c r="I248" i="10"/>
  <c r="I249" i="10"/>
  <c r="I250" i="10"/>
  <c r="I251" i="10"/>
  <c r="I252" i="10"/>
  <c r="I253" i="10"/>
  <c r="I254" i="10"/>
  <c r="I255" i="10"/>
  <c r="I256" i="10"/>
  <c r="I257" i="10"/>
  <c r="I258" i="10"/>
  <c r="I259" i="10"/>
  <c r="I260" i="10"/>
  <c r="I261" i="10"/>
  <c r="I262" i="10"/>
  <c r="I263" i="10"/>
  <c r="I264" i="10"/>
  <c r="I265" i="10"/>
  <c r="I266" i="10"/>
  <c r="I267" i="10"/>
  <c r="I268" i="10"/>
  <c r="I269" i="10"/>
  <c r="I270" i="10"/>
  <c r="I271" i="10"/>
  <c r="I272" i="10"/>
  <c r="I273" i="10"/>
  <c r="I274" i="10"/>
  <c r="I275" i="10"/>
  <c r="I276" i="10"/>
  <c r="I277" i="10"/>
  <c r="I278" i="10"/>
  <c r="I279" i="10"/>
  <c r="I280" i="10"/>
  <c r="I281" i="10"/>
  <c r="I282" i="10"/>
  <c r="I283" i="10"/>
  <c r="I284" i="10"/>
  <c r="I285" i="10"/>
  <c r="I286" i="10"/>
  <c r="I287" i="10"/>
  <c r="I288" i="10"/>
  <c r="I289" i="10"/>
  <c r="I290" i="10"/>
  <c r="I291" i="10"/>
  <c r="I292" i="10"/>
  <c r="I293" i="10"/>
  <c r="I294" i="10"/>
  <c r="I295" i="10"/>
  <c r="I296" i="10"/>
  <c r="I297" i="10"/>
  <c r="I298" i="10"/>
  <c r="I299" i="10"/>
  <c r="I300" i="10"/>
  <c r="I301" i="10"/>
  <c r="I302" i="10"/>
  <c r="I303" i="10"/>
  <c r="I304" i="10"/>
  <c r="I305" i="10"/>
  <c r="I306" i="10"/>
  <c r="I307" i="10"/>
  <c r="I308" i="10"/>
  <c r="I309" i="10"/>
  <c r="I310" i="10"/>
  <c r="I311" i="10"/>
  <c r="I312" i="10"/>
  <c r="I313" i="10"/>
  <c r="I314" i="10"/>
  <c r="I315" i="10"/>
  <c r="I316" i="10"/>
  <c r="I317" i="10"/>
  <c r="I318" i="10"/>
  <c r="I319" i="10"/>
  <c r="I320" i="10"/>
  <c r="I321" i="10"/>
  <c r="I322" i="10"/>
  <c r="I323" i="10"/>
  <c r="I324" i="10"/>
  <c r="I325" i="10"/>
  <c r="I326" i="10"/>
  <c r="I327" i="10"/>
  <c r="I328" i="10"/>
  <c r="I329" i="10"/>
  <c r="I330" i="10"/>
  <c r="I331" i="10"/>
  <c r="I332" i="10"/>
  <c r="I333" i="10"/>
  <c r="I334" i="10"/>
  <c r="I335" i="10"/>
  <c r="I336" i="10"/>
  <c r="I337" i="10"/>
  <c r="I338" i="10"/>
  <c r="I339" i="10"/>
  <c r="I340" i="10"/>
  <c r="I341" i="10"/>
  <c r="I342" i="10"/>
  <c r="I343" i="10"/>
  <c r="I344" i="10"/>
  <c r="I345" i="10"/>
  <c r="I346" i="10"/>
  <c r="I347" i="10"/>
  <c r="I348" i="10"/>
  <c r="I349" i="10"/>
  <c r="I350" i="10"/>
  <c r="I351" i="10"/>
  <c r="I352" i="10"/>
  <c r="I353" i="10"/>
  <c r="I354" i="10"/>
  <c r="I355" i="10"/>
  <c r="I356" i="10"/>
  <c r="I357" i="10"/>
  <c r="I358" i="10"/>
  <c r="I359" i="10"/>
  <c r="I360" i="10"/>
  <c r="I361" i="10"/>
  <c r="I362" i="10"/>
  <c r="I363" i="10"/>
  <c r="I364" i="10"/>
  <c r="I365" i="10"/>
  <c r="I366" i="10"/>
  <c r="I367" i="10"/>
  <c r="I368" i="10"/>
  <c r="I369" i="10"/>
  <c r="I370" i="10"/>
  <c r="I371" i="10"/>
  <c r="I372" i="10"/>
  <c r="I373" i="10"/>
  <c r="I374" i="10"/>
  <c r="I375" i="10"/>
  <c r="I376" i="10"/>
  <c r="I377" i="10"/>
  <c r="I378" i="10"/>
  <c r="I379" i="10"/>
  <c r="I380" i="10"/>
  <c r="I381" i="10"/>
  <c r="I382" i="10"/>
  <c r="I383" i="10"/>
  <c r="I384" i="10"/>
  <c r="I385" i="10"/>
  <c r="I386" i="10"/>
  <c r="I387" i="10"/>
  <c r="I388" i="10"/>
  <c r="I389" i="10"/>
  <c r="I390" i="10"/>
  <c r="I391" i="10"/>
  <c r="I392" i="10"/>
  <c r="I393" i="10"/>
  <c r="I394" i="10"/>
  <c r="I395" i="10"/>
  <c r="I396" i="10"/>
  <c r="I397" i="10"/>
  <c r="I398" i="10"/>
  <c r="I399" i="10"/>
  <c r="I400" i="10"/>
  <c r="I401" i="10"/>
  <c r="I402" i="10"/>
  <c r="I403" i="10"/>
  <c r="I404" i="10"/>
  <c r="I405" i="10"/>
  <c r="I406" i="10"/>
  <c r="I407" i="10"/>
  <c r="I408" i="10"/>
  <c r="I409" i="10"/>
  <c r="I410" i="10"/>
  <c r="I411" i="10"/>
  <c r="I412" i="10"/>
  <c r="I413" i="10"/>
  <c r="I414" i="10"/>
  <c r="I415" i="10"/>
  <c r="I416" i="10"/>
  <c r="I417" i="10"/>
  <c r="I418" i="10"/>
  <c r="I419" i="10"/>
  <c r="I420" i="10"/>
  <c r="I421" i="10"/>
  <c r="I422" i="10"/>
  <c r="I423" i="10"/>
  <c r="I424" i="10"/>
  <c r="I425" i="10"/>
  <c r="I426" i="10"/>
  <c r="I427" i="10"/>
  <c r="I428" i="10"/>
  <c r="I429" i="10"/>
  <c r="I430" i="10"/>
  <c r="I431" i="10"/>
  <c r="I432" i="10"/>
  <c r="I433" i="10"/>
  <c r="I434" i="10"/>
  <c r="I435" i="10"/>
  <c r="I436" i="10"/>
  <c r="I437" i="10"/>
  <c r="I438" i="10"/>
  <c r="I439" i="10"/>
  <c r="I440" i="10"/>
  <c r="I441" i="10"/>
  <c r="I442" i="10"/>
  <c r="I443" i="10"/>
  <c r="I444" i="10"/>
  <c r="I445" i="10"/>
  <c r="I446" i="10"/>
  <c r="I447" i="10"/>
  <c r="I448" i="10"/>
  <c r="I449" i="10"/>
  <c r="I450" i="10"/>
  <c r="I451" i="10"/>
  <c r="I452" i="10"/>
  <c r="I453" i="10"/>
  <c r="I454" i="10"/>
  <c r="I455" i="10"/>
  <c r="I456" i="10"/>
  <c r="I457" i="10"/>
  <c r="I458" i="10"/>
  <c r="I459" i="10"/>
  <c r="I460" i="10"/>
  <c r="I461" i="10"/>
  <c r="I462" i="10"/>
  <c r="I463" i="10"/>
  <c r="I464" i="10"/>
  <c r="I465" i="10"/>
  <c r="I466" i="10"/>
  <c r="I467" i="10"/>
  <c r="I468" i="10"/>
  <c r="I469" i="10"/>
  <c r="I470" i="10"/>
  <c r="I471" i="10"/>
  <c r="I472" i="10"/>
  <c r="I473" i="10"/>
  <c r="I474" i="10"/>
  <c r="I475" i="10"/>
  <c r="I476" i="10"/>
  <c r="I477" i="10"/>
  <c r="I478" i="10"/>
  <c r="I479" i="10"/>
  <c r="I480" i="10"/>
  <c r="I481" i="10"/>
  <c r="I482" i="10"/>
  <c r="I483" i="10"/>
  <c r="I484" i="10"/>
  <c r="I485" i="10"/>
  <c r="I486" i="10"/>
  <c r="I487" i="10"/>
  <c r="I488" i="10"/>
  <c r="I489" i="10"/>
  <c r="I490" i="10"/>
  <c r="I491" i="10"/>
  <c r="I492" i="10"/>
  <c r="I493" i="10"/>
  <c r="I494" i="10"/>
  <c r="I495" i="10"/>
  <c r="I496" i="10"/>
  <c r="I497" i="10"/>
  <c r="I498" i="10"/>
  <c r="I499" i="10"/>
  <c r="I500" i="10"/>
  <c r="I501" i="10"/>
  <c r="I502" i="10"/>
  <c r="I503" i="10"/>
  <c r="I504" i="10"/>
  <c r="I505" i="10"/>
  <c r="I506" i="10"/>
  <c r="I507" i="10"/>
  <c r="I508" i="10"/>
  <c r="I509" i="10"/>
  <c r="I510" i="10"/>
  <c r="I511" i="10"/>
  <c r="I512" i="10"/>
  <c r="I513" i="10"/>
  <c r="I514" i="10"/>
  <c r="I515" i="10"/>
  <c r="I516" i="10"/>
  <c r="I517" i="10"/>
  <c r="I518" i="10"/>
  <c r="I519" i="10"/>
  <c r="I520" i="10"/>
  <c r="I521" i="10"/>
  <c r="I522" i="10"/>
  <c r="I523" i="10"/>
  <c r="I524" i="10"/>
  <c r="I525" i="10"/>
  <c r="I526" i="10"/>
  <c r="I527" i="10"/>
  <c r="I528" i="10"/>
  <c r="I529" i="10"/>
  <c r="I530" i="10"/>
  <c r="I531" i="10"/>
  <c r="I532" i="10"/>
  <c r="I533" i="10"/>
  <c r="I534" i="10"/>
  <c r="I535" i="10"/>
  <c r="I536" i="10"/>
  <c r="I537" i="10"/>
  <c r="I538" i="10"/>
  <c r="I539" i="10"/>
  <c r="I540" i="10"/>
  <c r="I541" i="10"/>
  <c r="I542" i="10"/>
  <c r="I543" i="10"/>
  <c r="I544" i="10"/>
  <c r="I545" i="10"/>
  <c r="I546" i="10"/>
  <c r="I547" i="10"/>
  <c r="I548" i="10"/>
  <c r="I549" i="10"/>
  <c r="I550" i="10"/>
  <c r="I551" i="10"/>
  <c r="I552" i="10"/>
  <c r="I553" i="10"/>
  <c r="I554" i="10"/>
  <c r="I555" i="10"/>
  <c r="I556" i="10"/>
  <c r="I557" i="10"/>
  <c r="I558" i="10"/>
  <c r="I559" i="10"/>
  <c r="I29" i="10"/>
  <c r="G407" i="10"/>
  <c r="G413" i="10"/>
  <c r="J293" i="10"/>
  <c r="J300" i="10" s="1"/>
  <c r="J307" i="10" s="1"/>
  <c r="I36" i="33"/>
  <c r="B7" i="33"/>
  <c r="B6" i="33"/>
  <c r="B5" i="33"/>
  <c r="B2" i="33"/>
  <c r="B1" i="33"/>
  <c r="I151" i="30"/>
  <c r="I150" i="30"/>
  <c r="I149" i="30"/>
  <c r="B7" i="30"/>
  <c r="B6" i="30"/>
  <c r="B5" i="30"/>
  <c r="B2" i="30"/>
  <c r="B1" i="30"/>
  <c r="I147" i="5"/>
  <c r="I185" i="4"/>
  <c r="G115" i="10"/>
  <c r="G73" i="10"/>
  <c r="I235" i="27"/>
  <c r="I233" i="27"/>
  <c r="I232" i="27"/>
  <c r="B7" i="27"/>
  <c r="B6" i="27"/>
  <c r="B5" i="27"/>
  <c r="B2" i="27"/>
  <c r="B1" i="27"/>
  <c r="E37" i="10"/>
  <c r="I176" i="25"/>
  <c r="I174" i="25"/>
  <c r="I173" i="25"/>
  <c r="I172" i="25"/>
  <c r="B7" i="25"/>
  <c r="B6" i="25"/>
  <c r="B5" i="25"/>
  <c r="B2" i="25"/>
  <c r="B1" i="25"/>
  <c r="I111" i="23"/>
  <c r="B7" i="23"/>
  <c r="B6" i="23"/>
  <c r="B5" i="23"/>
  <c r="B2" i="23"/>
  <c r="B1" i="23"/>
  <c r="B2" i="19"/>
  <c r="B7" i="19"/>
  <c r="B6" i="19"/>
  <c r="B5" i="19"/>
  <c r="B7" i="5"/>
  <c r="B6" i="5"/>
  <c r="B5" i="5"/>
  <c r="B7" i="4"/>
  <c r="B6" i="4"/>
  <c r="B5" i="4"/>
  <c r="B7" i="10"/>
  <c r="B6" i="10"/>
  <c r="B5" i="10"/>
  <c r="A7" i="21"/>
  <c r="A6" i="21"/>
  <c r="A5" i="21"/>
  <c r="B1" i="19"/>
  <c r="B2" i="5"/>
  <c r="B1" i="5"/>
  <c r="B2" i="4"/>
  <c r="B1" i="4"/>
  <c r="B2" i="10"/>
  <c r="B1" i="10"/>
  <c r="A2" i="21"/>
  <c r="A1" i="21"/>
  <c r="I148" i="5"/>
  <c r="I149" i="5"/>
  <c r="I186" i="4"/>
  <c r="I187" i="4"/>
  <c r="I189" i="4"/>
  <c r="I25" i="4"/>
  <c r="I113" i="33" l="1"/>
  <c r="E29" i="21" s="1"/>
  <c r="I154" i="35"/>
  <c r="E37" i="21" s="1"/>
  <c r="I113" i="23"/>
  <c r="E27" i="21" s="1"/>
  <c r="I114" i="37"/>
  <c r="E41" i="21" s="1"/>
  <c r="I177" i="38"/>
  <c r="E33" i="21" s="1"/>
  <c r="I153" i="30"/>
  <c r="E25" i="21" s="1"/>
  <c r="I151" i="5"/>
  <c r="E23" i="21" s="1"/>
  <c r="I177" i="25"/>
  <c r="E21" i="21" s="1"/>
  <c r="G34" i="19"/>
  <c r="E43" i="21" s="1"/>
  <c r="I152" i="34"/>
  <c r="E35" i="21" s="1"/>
  <c r="I114" i="36"/>
  <c r="E39" i="21" s="1"/>
  <c r="I62" i="10"/>
  <c r="I560" i="10" s="1"/>
  <c r="E17" i="21" s="1"/>
  <c r="I172" i="27"/>
  <c r="I236" i="27" s="1"/>
  <c r="E19" i="21" s="1"/>
  <c r="F139" i="4"/>
  <c r="I139" i="4" s="1"/>
  <c r="I190" i="4" s="1"/>
  <c r="E31" i="21" s="1"/>
  <c r="B74" i="33"/>
  <c r="B91" i="30"/>
  <c r="B433" i="10"/>
  <c r="B115" i="27"/>
  <c r="B53" i="4"/>
  <c r="B463" i="10"/>
  <c r="B61" i="36"/>
  <c r="B66" i="4"/>
  <c r="B97" i="34"/>
  <c r="B25" i="38"/>
  <c r="B117" i="10"/>
  <c r="B102" i="27"/>
  <c r="B118" i="30"/>
  <c r="B137" i="25"/>
  <c r="B79" i="36"/>
  <c r="B159" i="25"/>
  <c r="B93" i="34"/>
  <c r="B123" i="30"/>
  <c r="B58" i="5"/>
  <c r="B29" i="36"/>
  <c r="B27" i="4"/>
  <c r="B69" i="37"/>
  <c r="B390" i="10"/>
  <c r="B145" i="27"/>
  <c r="B63" i="5"/>
  <c r="B146" i="27"/>
  <c r="B140" i="30"/>
  <c r="B88" i="4"/>
  <c r="B170" i="27"/>
  <c r="B100" i="30"/>
  <c r="B105" i="25"/>
  <c r="B139" i="25"/>
  <c r="B130" i="25"/>
  <c r="B84" i="30"/>
  <c r="B201" i="27"/>
  <c r="B36" i="10"/>
  <c r="B66" i="30"/>
  <c r="B101" i="36"/>
  <c r="B129" i="30"/>
  <c r="B62" i="23"/>
  <c r="B43" i="10"/>
  <c r="B93" i="25"/>
  <c r="B93" i="5"/>
  <c r="B81" i="33"/>
  <c r="B61" i="34"/>
  <c r="B196" i="10"/>
  <c r="B180" i="4"/>
  <c r="B210" i="27"/>
  <c r="B126" i="34"/>
  <c r="B52" i="27"/>
  <c r="B36" i="37"/>
  <c r="B85" i="5"/>
  <c r="B117" i="25"/>
  <c r="B27" i="33"/>
  <c r="B447" i="10"/>
  <c r="B181" i="4"/>
  <c r="B36" i="4"/>
  <c r="B25" i="36"/>
  <c r="B92" i="30"/>
  <c r="B145" i="5"/>
  <c r="B86" i="34"/>
  <c r="B28" i="36"/>
  <c r="B424" i="10"/>
  <c r="B58" i="10"/>
  <c r="B207" i="27"/>
  <c r="B125" i="38"/>
  <c r="B461" i="10"/>
  <c r="B72" i="23"/>
  <c r="B90" i="25"/>
  <c r="B39" i="34"/>
  <c r="B48" i="5"/>
  <c r="B84" i="4"/>
  <c r="B56" i="4"/>
  <c r="B41" i="33"/>
  <c r="B109" i="36"/>
  <c r="B49" i="30"/>
  <c r="B78" i="10"/>
  <c r="B81" i="37"/>
  <c r="B103" i="38"/>
  <c r="B67" i="4"/>
  <c r="B526" i="10"/>
  <c r="B166" i="27"/>
  <c r="B63" i="34"/>
  <c r="B53" i="27"/>
  <c r="B110" i="25"/>
  <c r="B125" i="25"/>
  <c r="B68" i="23"/>
  <c r="B103" i="30"/>
  <c r="B110" i="27"/>
  <c r="B56" i="5"/>
  <c r="B105" i="38"/>
  <c r="B26" i="33"/>
  <c r="B116" i="25"/>
  <c r="B108" i="36"/>
  <c r="B543" i="10"/>
  <c r="B515" i="10"/>
  <c r="B81" i="25"/>
  <c r="B175" i="10"/>
  <c r="B73" i="5"/>
  <c r="B91" i="34"/>
  <c r="B74" i="38"/>
  <c r="B123" i="34"/>
  <c r="B84" i="38"/>
  <c r="B459" i="10"/>
  <c r="B178" i="27"/>
  <c r="B108" i="5"/>
  <c r="B506" i="10"/>
  <c r="B147" i="25"/>
  <c r="B92" i="34"/>
  <c r="B333" i="10"/>
  <c r="B148" i="34"/>
  <c r="B106" i="34"/>
  <c r="B77" i="35"/>
  <c r="B85" i="34"/>
  <c r="B111" i="30"/>
  <c r="B128" i="5"/>
  <c r="B62" i="34"/>
  <c r="B101" i="5"/>
  <c r="B381" i="10"/>
  <c r="B431" i="10"/>
  <c r="B57" i="33"/>
  <c r="B111" i="33"/>
  <c r="B32" i="33"/>
  <c r="B176" i="10"/>
  <c r="B76" i="27"/>
  <c r="B105" i="4"/>
  <c r="B66" i="38"/>
  <c r="B43" i="23"/>
  <c r="B47" i="23"/>
  <c r="B150" i="38"/>
  <c r="B39" i="33"/>
  <c r="B156" i="27"/>
  <c r="B48" i="36"/>
  <c r="B66" i="23"/>
  <c r="B93" i="27"/>
  <c r="B198" i="27"/>
  <c r="B307" i="10"/>
  <c r="B108" i="38"/>
  <c r="B125" i="27"/>
  <c r="B63" i="37"/>
  <c r="B448" i="10"/>
  <c r="B72" i="35"/>
  <c r="B128" i="30"/>
  <c r="B76" i="35"/>
  <c r="B67" i="34"/>
  <c r="B38" i="33"/>
  <c r="B84" i="34"/>
  <c r="B107" i="33"/>
  <c r="B50" i="4"/>
  <c r="B109" i="4"/>
  <c r="B75" i="23"/>
  <c r="B87" i="4"/>
  <c r="B50" i="30"/>
  <c r="B27" i="37"/>
  <c r="B81" i="27"/>
  <c r="B187" i="10"/>
  <c r="B61" i="5"/>
  <c r="B122" i="38"/>
  <c r="B42" i="23"/>
  <c r="B101" i="30"/>
  <c r="B108" i="30"/>
  <c r="B131" i="30"/>
  <c r="B112" i="5"/>
  <c r="B138" i="27"/>
  <c r="B97" i="36"/>
  <c r="B73" i="37"/>
  <c r="B142" i="5"/>
  <c r="B31" i="35"/>
  <c r="B89" i="36"/>
  <c r="B48" i="33"/>
  <c r="B92" i="37"/>
  <c r="B212" i="27"/>
  <c r="B48" i="35"/>
  <c r="B230" i="27"/>
  <c r="B91" i="38"/>
  <c r="B93" i="36"/>
  <c r="B129" i="27"/>
  <c r="B91" i="4"/>
  <c r="B44" i="10"/>
  <c r="B36" i="35"/>
  <c r="B74" i="23"/>
  <c r="B72" i="33"/>
  <c r="B94" i="30"/>
  <c r="B71" i="23"/>
  <c r="B147" i="27"/>
  <c r="B113" i="4"/>
  <c r="B88" i="5"/>
  <c r="B419" i="10"/>
  <c r="B143" i="35"/>
  <c r="B113" i="35"/>
  <c r="B105" i="27"/>
  <c r="B174" i="25"/>
  <c r="B52" i="37"/>
  <c r="B65" i="33"/>
  <c r="B48" i="37"/>
  <c r="B149" i="30"/>
  <c r="B101" i="34"/>
  <c r="B175" i="38"/>
  <c r="B69" i="27"/>
  <c r="B171" i="4"/>
  <c r="B483" i="10"/>
  <c r="B46" i="30"/>
  <c r="B66" i="27"/>
  <c r="B32" i="25"/>
  <c r="B25" i="27"/>
  <c r="B168" i="4"/>
  <c r="B95" i="4"/>
  <c r="B74" i="37"/>
  <c r="B547" i="10"/>
  <c r="B75" i="35"/>
  <c r="B59" i="38"/>
  <c r="B157" i="27"/>
  <c r="B34" i="5"/>
  <c r="B37" i="27"/>
  <c r="B96" i="36"/>
  <c r="B65" i="34"/>
  <c r="B75" i="37"/>
  <c r="B69" i="38"/>
  <c r="B124" i="27"/>
  <c r="B29" i="33"/>
  <c r="B125" i="30"/>
  <c r="B69" i="10"/>
  <c r="B135" i="35"/>
  <c r="B69" i="30"/>
  <c r="B186" i="10"/>
  <c r="B109" i="35"/>
  <c r="B452" i="10"/>
  <c r="B66" i="33"/>
  <c r="B61" i="38"/>
  <c r="B112" i="34"/>
  <c r="B102" i="5"/>
  <c r="B42" i="34"/>
  <c r="B223" i="27"/>
  <c r="B97" i="37"/>
  <c r="B162" i="38"/>
  <c r="B43" i="27"/>
  <c r="B118" i="4"/>
  <c r="B91" i="36"/>
  <c r="B116" i="38"/>
  <c r="B59" i="4"/>
  <c r="B109" i="27"/>
  <c r="B146" i="25"/>
  <c r="B67" i="25"/>
  <c r="B86" i="33"/>
  <c r="B73" i="33"/>
  <c r="B70" i="30"/>
  <c r="B34" i="30"/>
  <c r="B89" i="35"/>
  <c r="B68" i="37"/>
  <c r="B59" i="36"/>
  <c r="B71" i="37"/>
  <c r="B151" i="30"/>
  <c r="B184" i="27"/>
  <c r="B442" i="10"/>
  <c r="B41" i="27"/>
  <c r="B177" i="4"/>
  <c r="B46" i="5"/>
  <c r="B115" i="35"/>
  <c r="B58" i="33"/>
  <c r="B105" i="37"/>
  <c r="B109" i="38"/>
  <c r="B206" i="27"/>
  <c r="B540" i="10"/>
  <c r="B83" i="5"/>
  <c r="B137" i="38"/>
  <c r="B48" i="34"/>
  <c r="B410" i="10"/>
  <c r="B95" i="5"/>
  <c r="B121" i="35"/>
  <c r="B428" i="10"/>
  <c r="B60" i="25"/>
  <c r="B25" i="30"/>
  <c r="B102" i="34"/>
  <c r="B37" i="5"/>
  <c r="B469" i="10"/>
  <c r="B208" i="10"/>
  <c r="B161" i="38"/>
  <c r="B206" i="10"/>
  <c r="B49" i="5"/>
  <c r="B98" i="5"/>
  <c r="B102" i="35"/>
  <c r="B165" i="4"/>
  <c r="B349" i="10"/>
  <c r="B86" i="38"/>
  <c r="B35" i="35"/>
  <c r="B55" i="37"/>
  <c r="B437" i="10"/>
  <c r="B143" i="5"/>
  <c r="B27" i="38"/>
  <c r="B134" i="38"/>
  <c r="B112" i="27"/>
  <c r="B96" i="37"/>
  <c r="B167" i="38"/>
  <c r="B38" i="37"/>
  <c r="B159" i="27"/>
  <c r="B131" i="34"/>
  <c r="B153" i="25"/>
  <c r="B79" i="23"/>
  <c r="B49" i="33"/>
  <c r="B72" i="4"/>
  <c r="B178" i="4"/>
  <c r="B46" i="4"/>
  <c r="B152" i="38"/>
  <c r="B50" i="5"/>
  <c r="B128" i="34"/>
  <c r="B48" i="4"/>
  <c r="B224" i="27"/>
  <c r="B30" i="33"/>
  <c r="B413" i="10"/>
  <c r="B112" i="36"/>
  <c r="B60" i="27"/>
  <c r="B80" i="37"/>
  <c r="B183" i="27"/>
  <c r="B72" i="36"/>
  <c r="B25" i="25"/>
  <c r="B75" i="4"/>
  <c r="B217" i="27"/>
  <c r="B101" i="33"/>
  <c r="B68" i="33"/>
  <c r="B87" i="5"/>
  <c r="B167" i="4"/>
  <c r="B40" i="27"/>
  <c r="B111" i="34"/>
  <c r="B37" i="33"/>
  <c r="B90" i="38"/>
  <c r="B27" i="23"/>
  <c r="B116" i="30"/>
  <c r="B89" i="4"/>
  <c r="B62" i="38"/>
  <c r="B104" i="33"/>
  <c r="B92" i="35"/>
  <c r="B162" i="27"/>
  <c r="B109" i="5"/>
  <c r="B114" i="38"/>
  <c r="B130" i="30"/>
  <c r="B58" i="35"/>
  <c r="B100" i="34"/>
  <c r="B64" i="37"/>
  <c r="B460" i="10"/>
  <c r="B527" i="10"/>
  <c r="B25" i="33"/>
  <c r="B148" i="30"/>
  <c r="B95" i="34"/>
  <c r="B143" i="27"/>
  <c r="B144" i="4"/>
  <c r="B31" i="4"/>
  <c r="B77" i="33"/>
  <c r="B67" i="35"/>
  <c r="B55" i="4"/>
  <c r="B89" i="30"/>
  <c r="B29" i="5"/>
  <c r="B71" i="36"/>
  <c r="B74" i="27"/>
  <c r="B58" i="23"/>
  <c r="B39" i="4"/>
  <c r="B49" i="23"/>
  <c r="B58" i="30"/>
  <c r="B87" i="33"/>
  <c r="B166" i="38"/>
  <c r="B88" i="38"/>
  <c r="B37" i="36"/>
  <c r="B52" i="25"/>
  <c r="B27" i="35"/>
  <c r="B98" i="25"/>
  <c r="B80" i="33"/>
  <c r="B66" i="5"/>
  <c r="B78" i="33"/>
  <c r="B96" i="27"/>
  <c r="B80" i="38"/>
  <c r="B59" i="23"/>
  <c r="B96" i="38"/>
  <c r="B124" i="35"/>
  <c r="B28" i="38"/>
  <c r="B88" i="23"/>
  <c r="B42" i="38"/>
  <c r="B228" i="27"/>
  <c r="B41" i="38"/>
  <c r="B45" i="25"/>
  <c r="B79" i="30"/>
  <c r="B39" i="5"/>
  <c r="B174" i="38"/>
  <c r="B144" i="38"/>
  <c r="B93" i="35"/>
  <c r="B210" i="10"/>
  <c r="B132" i="35"/>
  <c r="B54" i="36"/>
  <c r="B172" i="25"/>
  <c r="B371" i="10"/>
  <c r="B471" i="10"/>
  <c r="B46" i="27"/>
  <c r="B114" i="10"/>
  <c r="B539" i="10"/>
  <c r="B149" i="5"/>
  <c r="B73" i="38"/>
  <c r="B420" i="10"/>
  <c r="B72" i="37"/>
  <c r="B88" i="27"/>
  <c r="B34" i="36"/>
  <c r="B31" i="37"/>
  <c r="B89" i="33"/>
  <c r="B57" i="34"/>
  <c r="B114" i="27"/>
  <c r="B110" i="10"/>
  <c r="B104" i="25"/>
  <c r="B76" i="25"/>
  <c r="B367" i="10"/>
  <c r="B119" i="34"/>
  <c r="B37" i="38"/>
  <c r="B60" i="38"/>
  <c r="B145" i="4"/>
  <c r="B147" i="38"/>
  <c r="B98" i="37"/>
  <c r="B533" i="10"/>
  <c r="B218" i="27"/>
  <c r="B136" i="34"/>
  <c r="B76" i="38"/>
  <c r="B75" i="25"/>
  <c r="B160" i="27"/>
  <c r="B158" i="27"/>
  <c r="B27" i="36"/>
  <c r="B85" i="27"/>
  <c r="B61" i="30"/>
  <c r="B40" i="4"/>
  <c r="B137" i="5"/>
  <c r="B513" i="10"/>
  <c r="B114" i="34"/>
  <c r="B528" i="10"/>
  <c r="B57" i="27"/>
  <c r="B111" i="38"/>
  <c r="B51" i="27"/>
  <c r="B68" i="35"/>
  <c r="B91" i="37"/>
  <c r="B71" i="33"/>
  <c r="B123" i="5"/>
  <c r="B99" i="30"/>
  <c r="B502" i="10"/>
  <c r="B90" i="35"/>
  <c r="B54" i="34"/>
  <c r="B100" i="37"/>
  <c r="B129" i="4"/>
  <c r="B40" i="37"/>
  <c r="B57" i="10"/>
  <c r="B32" i="30"/>
  <c r="B27" i="30"/>
  <c r="B28" i="27"/>
  <c r="B171" i="25"/>
  <c r="B432" i="10"/>
  <c r="B28" i="34"/>
  <c r="B65" i="4"/>
  <c r="B552" i="10"/>
  <c r="B75" i="5"/>
  <c r="B111" i="25"/>
  <c r="B154" i="27"/>
  <c r="B190" i="27"/>
  <c r="B129" i="34"/>
  <c r="B68" i="38"/>
  <c r="B56" i="27"/>
  <c r="B110" i="38"/>
  <c r="B34" i="25"/>
  <c r="B37" i="30"/>
  <c r="B65" i="27"/>
  <c r="B91" i="23"/>
  <c r="B73" i="35"/>
  <c r="B133" i="35"/>
  <c r="B520" i="10"/>
  <c r="B61" i="23"/>
  <c r="B115" i="30"/>
  <c r="B135" i="30"/>
  <c r="B211" i="27"/>
  <c r="B518" i="10"/>
  <c r="B67" i="36"/>
  <c r="B141" i="25"/>
  <c r="B191" i="27"/>
  <c r="B112" i="25"/>
  <c r="B92" i="25"/>
  <c r="B144" i="25"/>
  <c r="B48" i="23"/>
  <c r="B94" i="33"/>
  <c r="B103" i="23"/>
  <c r="B32" i="34"/>
  <c r="B113" i="38"/>
  <c r="B85" i="37"/>
  <c r="B115" i="25"/>
  <c r="B39" i="36"/>
  <c r="B40" i="30"/>
  <c r="B68" i="34"/>
  <c r="B116" i="27"/>
  <c r="B32" i="37"/>
  <c r="B80" i="4"/>
  <c r="B141" i="4"/>
  <c r="B127" i="25"/>
  <c r="B95" i="27"/>
  <c r="B65" i="25"/>
  <c r="B454" i="10"/>
  <c r="B90" i="27"/>
  <c r="B37" i="37"/>
  <c r="B47" i="25"/>
  <c r="B36" i="30"/>
  <c r="B52" i="34"/>
  <c r="B93" i="4"/>
  <c r="B33" i="35"/>
  <c r="B66" i="36"/>
  <c r="B212" i="10"/>
  <c r="B105" i="34"/>
  <c r="B109" i="30"/>
  <c r="B85" i="4"/>
  <c r="B74" i="5"/>
  <c r="B175" i="4"/>
  <c r="B45" i="5"/>
  <c r="B42" i="5"/>
  <c r="B53" i="33"/>
  <c r="B84" i="25"/>
  <c r="B49" i="10"/>
  <c r="B42" i="35"/>
  <c r="B92" i="38"/>
  <c r="B76" i="5"/>
  <c r="B44" i="36"/>
  <c r="B159" i="4"/>
  <c r="B70" i="37"/>
  <c r="B104" i="36"/>
  <c r="B200" i="27"/>
  <c r="B40" i="10"/>
  <c r="B57" i="37"/>
  <c r="B48" i="30"/>
  <c r="B72" i="30"/>
  <c r="B65" i="30"/>
  <c r="B36" i="5"/>
  <c r="B122" i="30"/>
  <c r="B133" i="5"/>
  <c r="B136" i="38"/>
  <c r="B60" i="36"/>
  <c r="B48" i="25"/>
  <c r="B525" i="10"/>
  <c r="B30" i="10"/>
  <c r="B109" i="25"/>
  <c r="B92" i="23"/>
  <c r="B135" i="34"/>
  <c r="B551" i="10"/>
  <c r="B98" i="34"/>
  <c r="B26" i="25"/>
  <c r="B135" i="38"/>
  <c r="B538" i="10"/>
  <c r="B62" i="37"/>
  <c r="B118" i="34"/>
  <c r="B150" i="34"/>
  <c r="B46" i="34"/>
  <c r="B64" i="35"/>
  <c r="B43" i="33"/>
  <c r="B124" i="4"/>
  <c r="B54" i="33"/>
  <c r="B145" i="25"/>
  <c r="B31" i="33"/>
  <c r="B70" i="27"/>
  <c r="B70" i="25"/>
  <c r="B68" i="25"/>
  <c r="B67" i="5"/>
  <c r="B76" i="34"/>
  <c r="B171" i="38"/>
  <c r="B40" i="23"/>
  <c r="B88" i="35"/>
  <c r="B72" i="38"/>
  <c r="B96" i="33"/>
  <c r="B60" i="4"/>
  <c r="B79" i="27"/>
  <c r="B96" i="4"/>
  <c r="B81" i="34"/>
  <c r="B153" i="4"/>
  <c r="B199" i="10"/>
  <c r="B49" i="35"/>
  <c r="B52" i="33"/>
  <c r="B195" i="27"/>
  <c r="B57" i="23"/>
  <c r="B43" i="30"/>
  <c r="B193" i="10"/>
  <c r="B56" i="38"/>
  <c r="B60" i="37"/>
  <c r="B41" i="23"/>
  <c r="B138" i="25"/>
  <c r="B58" i="38"/>
  <c r="B45" i="10"/>
  <c r="B177" i="27"/>
  <c r="B108" i="34"/>
  <c r="B204" i="27"/>
  <c r="B98" i="23"/>
  <c r="B100" i="27"/>
  <c r="B63" i="30"/>
  <c r="B103" i="36"/>
  <c r="B148" i="27"/>
  <c r="B162" i="25"/>
  <c r="B122" i="5"/>
  <c r="B207" i="10"/>
  <c r="B133" i="4"/>
  <c r="B54" i="35"/>
  <c r="B393" i="10"/>
  <c r="B222" i="27"/>
  <c r="B143" i="4"/>
  <c r="B81" i="30"/>
  <c r="B105" i="36"/>
  <c r="B456" i="10"/>
  <c r="B83" i="27"/>
  <c r="B191" i="10"/>
  <c r="B286" i="10"/>
  <c r="B103" i="37"/>
  <c r="B33" i="5"/>
  <c r="B34" i="23"/>
  <c r="B227" i="27"/>
  <c r="B39" i="35"/>
  <c r="B189" i="27"/>
  <c r="B45" i="27"/>
  <c r="B102" i="38"/>
  <c r="B125" i="34"/>
  <c r="B412" i="10"/>
  <c r="B127" i="4"/>
  <c r="B59" i="33"/>
  <c r="B93" i="23"/>
  <c r="B446" i="10"/>
  <c r="B129" i="5"/>
  <c r="B205" i="27"/>
  <c r="B220" i="27"/>
  <c r="B537" i="10"/>
  <c r="B103" i="33"/>
  <c r="B113" i="5"/>
  <c r="B70" i="23"/>
  <c r="B101" i="27"/>
  <c r="B100" i="4"/>
  <c r="B35" i="4"/>
  <c r="B150" i="35"/>
  <c r="B105" i="5"/>
  <c r="B139" i="38"/>
  <c r="B150" i="4"/>
  <c r="B120" i="38"/>
  <c r="B334" i="10"/>
  <c r="B27" i="34"/>
  <c r="B32" i="4"/>
  <c r="B79" i="37"/>
  <c r="B117" i="38"/>
  <c r="B47" i="10"/>
  <c r="B89" i="5"/>
  <c r="B140" i="27"/>
  <c r="B534" i="10"/>
  <c r="B64" i="33"/>
  <c r="B80" i="5"/>
  <c r="B44" i="25"/>
  <c r="B87" i="25"/>
  <c r="B133" i="30"/>
  <c r="B100" i="33"/>
  <c r="B167" i="25"/>
  <c r="B35" i="5"/>
  <c r="B30" i="30"/>
  <c r="B121" i="34"/>
  <c r="B127" i="10"/>
  <c r="B75" i="30"/>
  <c r="B70" i="36"/>
  <c r="B68" i="27"/>
  <c r="B137" i="4"/>
  <c r="B36" i="23"/>
  <c r="B73" i="10"/>
  <c r="B80" i="30"/>
  <c r="B97" i="30"/>
  <c r="B82" i="36"/>
  <c r="B50" i="34"/>
  <c r="B56" i="30"/>
  <c r="B58" i="34"/>
  <c r="B29" i="10"/>
  <c r="B59" i="25"/>
  <c r="B86" i="36"/>
  <c r="B39" i="25"/>
  <c r="B36" i="27"/>
  <c r="B143" i="30"/>
  <c r="B54" i="30"/>
  <c r="B55" i="34"/>
  <c r="B122" i="34"/>
  <c r="B83" i="35"/>
  <c r="B95" i="35"/>
  <c r="B103" i="27"/>
  <c r="B30" i="35"/>
  <c r="B60" i="23"/>
  <c r="B109" i="23"/>
  <c r="B29" i="38"/>
  <c r="B233" i="27"/>
  <c r="B96" i="35"/>
  <c r="B114" i="30"/>
  <c r="B40" i="36"/>
  <c r="B79" i="35"/>
  <c r="B78" i="27"/>
  <c r="B81" i="35"/>
  <c r="B70" i="4"/>
  <c r="B103" i="5"/>
  <c r="B55" i="5"/>
  <c r="B52" i="35"/>
  <c r="B407" i="10"/>
  <c r="B25" i="37"/>
  <c r="B524" i="10"/>
  <c r="B110" i="36"/>
  <c r="B139" i="34"/>
  <c r="B353" i="10"/>
  <c r="B141" i="38"/>
  <c r="B180" i="10"/>
  <c r="B514" i="10"/>
  <c r="B86" i="5"/>
  <c r="B548" i="10"/>
  <c r="B107" i="27"/>
  <c r="B127" i="5"/>
  <c r="B40" i="34"/>
  <c r="B98" i="4"/>
  <c r="B362" i="10"/>
  <c r="B82" i="30"/>
  <c r="B71" i="4"/>
  <c r="B65" i="23"/>
  <c r="B72" i="34"/>
  <c r="B25" i="23"/>
  <c r="B101" i="37"/>
  <c r="B29" i="23"/>
  <c r="B41" i="25"/>
  <c r="B52" i="10"/>
  <c r="B139" i="27"/>
  <c r="B87" i="35"/>
  <c r="B94" i="34"/>
  <c r="B58" i="25"/>
  <c r="B66" i="25"/>
  <c r="B135" i="25"/>
  <c r="B99" i="25"/>
  <c r="B82" i="38"/>
  <c r="B363" i="10"/>
  <c r="B90" i="4"/>
  <c r="B94" i="5"/>
  <c r="B69" i="5"/>
  <c r="B532" i="10"/>
  <c r="B106" i="38"/>
  <c r="B85" i="33"/>
  <c r="B85" i="35"/>
  <c r="B544" i="10"/>
  <c r="B397" i="10"/>
  <c r="B115" i="4"/>
  <c r="B30" i="37"/>
  <c r="B134" i="27"/>
  <c r="B31" i="5"/>
  <c r="B470" i="10"/>
  <c r="B195" i="10"/>
  <c r="B144" i="30"/>
  <c r="B123" i="25"/>
  <c r="B59" i="27"/>
  <c r="B50" i="25"/>
  <c r="B129" i="38"/>
  <c r="B530" i="10"/>
  <c r="B176" i="27"/>
  <c r="B82" i="34"/>
  <c r="B74" i="34"/>
  <c r="B38" i="23"/>
  <c r="B546" i="10"/>
  <c r="B89" i="23"/>
  <c r="B174" i="4"/>
  <c r="B115" i="10"/>
  <c r="B25" i="5"/>
  <c r="B33" i="27"/>
  <c r="B494" i="10"/>
  <c r="B78" i="37"/>
  <c r="B146" i="34"/>
  <c r="B113" i="25"/>
  <c r="B87" i="30"/>
  <c r="B173" i="10"/>
  <c r="B120" i="30"/>
  <c r="B414" i="10"/>
  <c r="B143" i="25"/>
  <c r="B103" i="25"/>
  <c r="B86" i="23"/>
  <c r="B45" i="33"/>
  <c r="B28" i="23"/>
  <c r="B47" i="5"/>
  <c r="B118" i="25"/>
  <c r="B106" i="5"/>
  <c r="B36" i="25"/>
  <c r="B498" i="10"/>
  <c r="B75" i="33"/>
  <c r="B26" i="37"/>
  <c r="B138" i="35"/>
  <c r="B113" i="30"/>
  <c r="B48" i="10"/>
  <c r="B79" i="38"/>
  <c r="B107" i="38"/>
  <c r="B60" i="35"/>
  <c r="B127" i="35"/>
  <c r="B76" i="33"/>
  <c r="B86" i="35"/>
  <c r="B114" i="4"/>
  <c r="B94" i="25"/>
  <c r="B149" i="4"/>
  <c r="B128" i="27"/>
  <c r="B133" i="27"/>
  <c r="B45" i="4"/>
  <c r="B92" i="36"/>
  <c r="B111" i="27"/>
  <c r="B67" i="38"/>
  <c r="B54" i="38"/>
  <c r="B53" i="37"/>
  <c r="B50" i="23"/>
  <c r="B50" i="10"/>
  <c r="B52" i="5"/>
  <c r="B47" i="37"/>
  <c r="B35" i="34"/>
  <c r="B90" i="30"/>
  <c r="B139" i="5"/>
  <c r="B78" i="36"/>
  <c r="B157" i="38"/>
  <c r="B46" i="25"/>
  <c r="B110" i="30"/>
  <c r="B107" i="34"/>
  <c r="B47" i="34"/>
  <c r="B60" i="33"/>
  <c r="B74" i="36"/>
  <c r="B100" i="38"/>
  <c r="B97" i="35"/>
  <c r="B190" i="10"/>
  <c r="B70" i="34"/>
  <c r="B61" i="4"/>
  <c r="B27" i="10"/>
  <c r="B409" i="10"/>
  <c r="B51" i="35"/>
  <c r="B155" i="4"/>
  <c r="B51" i="23"/>
  <c r="B73" i="23"/>
  <c r="B504" i="10"/>
  <c r="B31" i="27"/>
  <c r="B104" i="35"/>
  <c r="B131" i="38"/>
  <c r="B147" i="4"/>
  <c r="B77" i="37"/>
  <c r="B173" i="4"/>
  <c r="B119" i="10"/>
  <c r="B57" i="4"/>
  <c r="B145" i="30"/>
  <c r="B91" i="27"/>
  <c r="B28" i="33"/>
  <c r="B116" i="4"/>
  <c r="B119" i="30"/>
  <c r="B78" i="30"/>
  <c r="B162" i="4"/>
  <c r="B512" i="10"/>
  <c r="B30" i="5"/>
  <c r="B181" i="27"/>
  <c r="B40" i="5"/>
  <c r="B50" i="36"/>
  <c r="B74" i="25"/>
  <c r="B32" i="5"/>
  <c r="B57" i="5"/>
  <c r="B451" i="10"/>
  <c r="B161" i="4"/>
  <c r="B63" i="33"/>
  <c r="B88" i="33"/>
  <c r="B74" i="35"/>
  <c r="B45" i="34"/>
  <c r="B54" i="37"/>
  <c r="B86" i="37"/>
  <c r="B125" i="4"/>
  <c r="B55" i="35"/>
  <c r="B418" i="10"/>
  <c r="B114" i="35"/>
  <c r="B112" i="38"/>
  <c r="B109" i="33"/>
  <c r="B59" i="34"/>
  <c r="B125" i="35"/>
  <c r="B43" i="5"/>
  <c r="B187" i="27"/>
  <c r="B98" i="36"/>
  <c r="B151" i="25"/>
  <c r="B430" i="10"/>
  <c r="B66" i="35"/>
  <c r="B60" i="34"/>
  <c r="B425" i="10"/>
  <c r="B40" i="33"/>
  <c r="B137" i="34"/>
  <c r="B44" i="33"/>
  <c r="B208" i="27"/>
  <c r="B37" i="10"/>
  <c r="B449" i="10"/>
  <c r="B144" i="34"/>
  <c r="B96" i="23"/>
  <c r="B76" i="37"/>
  <c r="B118" i="5"/>
  <c r="B509" i="10"/>
  <c r="B118" i="35"/>
  <c r="B30" i="27"/>
  <c r="B108" i="25"/>
  <c r="B144" i="35"/>
  <c r="B100" i="23"/>
  <c r="B107" i="23"/>
  <c r="B59" i="30"/>
  <c r="B111" i="5"/>
  <c r="B75" i="36"/>
  <c r="B106" i="36"/>
  <c r="B343" i="10"/>
  <c r="B88" i="37"/>
  <c r="B99" i="27"/>
  <c r="B37" i="23"/>
  <c r="B28" i="10"/>
  <c r="B62" i="36"/>
  <c r="B185" i="27"/>
  <c r="B132" i="4"/>
  <c r="B118" i="38"/>
  <c r="B96" i="5"/>
  <c r="B50" i="38"/>
  <c r="B63" i="38"/>
  <c r="B55" i="23"/>
  <c r="B34" i="34"/>
  <c r="B172" i="38"/>
  <c r="B107" i="25"/>
  <c r="B136" i="25"/>
  <c r="B160" i="4"/>
  <c r="B176" i="4"/>
  <c r="B41" i="36"/>
  <c r="B553" i="10"/>
  <c r="B106" i="27"/>
  <c r="B126" i="30"/>
  <c r="B216" i="10"/>
  <c r="B146" i="35"/>
  <c r="B103" i="34"/>
  <c r="B535" i="10"/>
  <c r="B75" i="38"/>
  <c r="B106" i="4"/>
  <c r="B82" i="4"/>
  <c r="B147" i="34"/>
  <c r="B35" i="27"/>
  <c r="B28" i="5"/>
  <c r="B86" i="25"/>
  <c r="B122" i="35"/>
  <c r="B81" i="23"/>
  <c r="B192" i="27"/>
  <c r="B416" i="10"/>
  <c r="B92" i="33"/>
  <c r="B202" i="10"/>
  <c r="B93" i="33"/>
  <c r="B57" i="36"/>
  <c r="B46" i="33"/>
  <c r="B112" i="10"/>
  <c r="B116" i="10"/>
  <c r="B550" i="10"/>
  <c r="B516" i="10"/>
  <c r="B141" i="27"/>
  <c r="B131" i="5"/>
  <c r="B132" i="38"/>
  <c r="B91" i="5"/>
  <c r="B156" i="25"/>
  <c r="B139" i="30"/>
  <c r="B401" i="10"/>
  <c r="B80" i="23"/>
  <c r="B44" i="23"/>
  <c r="B62" i="33"/>
  <c r="B73" i="36"/>
  <c r="B71" i="27"/>
  <c r="B161" i="25"/>
  <c r="B81" i="10"/>
  <c r="B67" i="27"/>
  <c r="B130" i="38"/>
  <c r="B146" i="5"/>
  <c r="B147" i="5"/>
  <c r="B137" i="35"/>
  <c r="B87" i="38"/>
  <c r="B78" i="23"/>
  <c r="B34" i="27"/>
  <c r="B136" i="5"/>
  <c r="B148" i="38"/>
  <c r="B41" i="37"/>
  <c r="B71" i="30"/>
  <c r="B58" i="37"/>
  <c r="B63" i="36"/>
  <c r="B84" i="5"/>
  <c r="B108" i="35"/>
  <c r="B30" i="4"/>
  <c r="B192" i="10"/>
  <c r="B141" i="5"/>
  <c r="B45" i="23"/>
  <c r="B64" i="25"/>
  <c r="B126" i="4"/>
  <c r="B415" i="10"/>
  <c r="B76" i="36"/>
  <c r="B104" i="23"/>
  <c r="B112" i="4"/>
  <c r="B75" i="27"/>
  <c r="B51" i="37"/>
  <c r="B40" i="38"/>
  <c r="B97" i="5"/>
  <c r="B38" i="27"/>
  <c r="B71" i="5"/>
  <c r="B34" i="4"/>
  <c r="B25" i="34"/>
  <c r="B25" i="35"/>
  <c r="B140" i="25"/>
  <c r="B31" i="25"/>
  <c r="B43" i="25"/>
  <c r="B123" i="4"/>
  <c r="B66" i="34"/>
  <c r="B67" i="33"/>
  <c r="B102" i="30"/>
  <c r="B163" i="25"/>
  <c r="B145" i="35"/>
  <c r="B26" i="36"/>
  <c r="B87" i="34"/>
  <c r="B50" i="33"/>
  <c r="B111" i="23"/>
  <c r="B109" i="34"/>
  <c r="B300" i="10"/>
  <c r="B48" i="38"/>
  <c r="B89" i="27"/>
  <c r="B91" i="33"/>
  <c r="B84" i="27"/>
  <c r="B138" i="34"/>
  <c r="B87" i="37"/>
  <c r="B82" i="33"/>
  <c r="B55" i="36"/>
  <c r="B183" i="10"/>
  <c r="B357" i="10"/>
  <c r="B112" i="37"/>
  <c r="B47" i="36"/>
  <c r="B46" i="37"/>
  <c r="B73" i="25"/>
  <c r="B77" i="36"/>
  <c r="B204" i="10"/>
  <c r="B38" i="4"/>
  <c r="B38" i="25"/>
  <c r="B47" i="4"/>
  <c r="B39" i="23"/>
  <c r="B62" i="25"/>
  <c r="B28" i="25"/>
  <c r="B84" i="35"/>
  <c r="B510" i="10"/>
  <c r="B348" i="10"/>
  <c r="B78" i="34"/>
  <c r="B86" i="4"/>
  <c r="B38" i="5"/>
  <c r="B179" i="27"/>
  <c r="B31" i="38"/>
  <c r="B95" i="30"/>
  <c r="B89" i="37"/>
  <c r="B542" i="10"/>
  <c r="B94" i="38"/>
  <c r="B149" i="27"/>
  <c r="B136" i="27"/>
  <c r="B101" i="35"/>
  <c r="B105" i="23"/>
  <c r="B202" i="27"/>
  <c r="B36" i="33"/>
  <c r="B158" i="25"/>
  <c r="B39" i="37"/>
  <c r="B128" i="35"/>
  <c r="B81" i="38"/>
  <c r="B47" i="38"/>
  <c r="B33" i="4"/>
  <c r="B391" i="10"/>
  <c r="B54" i="5"/>
  <c r="B47" i="33"/>
  <c r="B115" i="38"/>
  <c r="B42" i="25"/>
  <c r="B178" i="10"/>
  <c r="B121" i="5"/>
  <c r="B148" i="35"/>
  <c r="B32" i="36"/>
  <c r="B189" i="10"/>
  <c r="B43" i="35"/>
  <c r="B251" i="10"/>
  <c r="B186" i="27"/>
  <c r="B101" i="25"/>
  <c r="B83" i="34"/>
  <c r="B149" i="35"/>
  <c r="B508" i="10"/>
  <c r="B68" i="30"/>
  <c r="B130" i="34"/>
  <c r="B69" i="25"/>
  <c r="B41" i="4"/>
  <c r="B53" i="34"/>
  <c r="B175" i="25"/>
  <c r="B87" i="36"/>
  <c r="B37" i="34"/>
  <c r="B130" i="35"/>
  <c r="B38" i="36"/>
  <c r="B37" i="25"/>
  <c r="B493" i="10"/>
  <c r="B52" i="23"/>
  <c r="B109" i="37"/>
  <c r="B65" i="38"/>
  <c r="B53" i="35"/>
  <c r="B214" i="10"/>
  <c r="B173" i="27"/>
  <c r="B74" i="30"/>
  <c r="B39" i="27"/>
  <c r="B138" i="38"/>
  <c r="B165" i="27"/>
  <c r="B25" i="19"/>
  <c r="B150" i="27"/>
  <c r="B499" i="10"/>
  <c r="B58" i="27"/>
  <c r="B94" i="36"/>
  <c r="B314" i="10"/>
  <c r="B153" i="38"/>
  <c r="B78" i="25"/>
  <c r="B121" i="27"/>
  <c r="B164" i="4"/>
  <c r="B170" i="4"/>
  <c r="B408" i="10"/>
  <c r="B26" i="23"/>
  <c r="B79" i="25"/>
  <c r="B146" i="4"/>
  <c r="B29" i="27"/>
  <c r="B96" i="25"/>
  <c r="B453" i="10"/>
  <c r="B43" i="38"/>
  <c r="B180" i="27"/>
  <c r="B160" i="25"/>
  <c r="B54" i="23"/>
  <c r="B43" i="34"/>
  <c r="B92" i="5"/>
  <c r="B45" i="38"/>
  <c r="B64" i="4"/>
  <c r="B152" i="4"/>
  <c r="B105" i="33"/>
  <c r="B107" i="35"/>
  <c r="B85" i="23"/>
  <c r="B49" i="4"/>
  <c r="B172" i="4"/>
  <c r="B76" i="30"/>
  <c r="B27" i="27"/>
  <c r="B53" i="5"/>
  <c r="B72" i="5"/>
  <c r="B82" i="23"/>
  <c r="B85" i="36"/>
  <c r="B133" i="34"/>
  <c r="B45" i="37"/>
  <c r="B101" i="23"/>
  <c r="B490" i="10"/>
  <c r="B106" i="37"/>
  <c r="B81" i="36"/>
  <c r="B69" i="36"/>
  <c r="B107" i="30"/>
  <c r="B163" i="38"/>
  <c r="B194" i="27"/>
  <c r="B127" i="27"/>
  <c r="B185" i="4"/>
  <c r="B168" i="38"/>
  <c r="B541" i="10"/>
  <c r="B77" i="27"/>
  <c r="B29" i="30"/>
  <c r="B77" i="30"/>
  <c r="B47" i="30"/>
  <c r="B50" i="27"/>
  <c r="B79" i="34"/>
  <c r="B65" i="37"/>
  <c r="B42" i="30"/>
  <c r="B30" i="36"/>
  <c r="B53" i="23"/>
  <c r="B73" i="30"/>
  <c r="B57" i="30"/>
  <c r="B31" i="23"/>
  <c r="B70" i="38"/>
  <c r="B101" i="38"/>
  <c r="B67" i="23"/>
  <c r="B427" i="10"/>
  <c r="B226" i="27"/>
  <c r="B141" i="34"/>
  <c r="B39" i="30"/>
  <c r="B94" i="37"/>
  <c r="B167" i="27"/>
  <c r="B458" i="10"/>
  <c r="B104" i="38"/>
  <c r="B36" i="34"/>
  <c r="B40" i="25"/>
  <c r="B91" i="35"/>
  <c r="B79" i="33"/>
  <c r="B36" i="38"/>
  <c r="B78" i="5"/>
  <c r="B536" i="10"/>
  <c r="B38" i="30"/>
  <c r="B28" i="37"/>
  <c r="B51" i="4"/>
  <c r="B321" i="10"/>
  <c r="B131" i="27"/>
  <c r="B54" i="27"/>
  <c r="B140" i="38"/>
  <c r="B92" i="4"/>
  <c r="B151" i="38"/>
  <c r="B30" i="25"/>
  <c r="B107" i="4"/>
  <c r="B68" i="36"/>
  <c r="B90" i="5"/>
  <c r="B133" i="25"/>
  <c r="B126" i="27"/>
  <c r="B29" i="4"/>
  <c r="B58" i="36"/>
  <c r="B94" i="35"/>
  <c r="B86" i="30"/>
  <c r="B100" i="25"/>
  <c r="B57" i="35"/>
  <c r="B197" i="10"/>
  <c r="B127" i="30"/>
  <c r="B51" i="10"/>
  <c r="B88" i="34"/>
  <c r="B96" i="30"/>
  <c r="B32" i="35"/>
  <c r="B71" i="34"/>
  <c r="B77" i="10"/>
  <c r="B68" i="10"/>
  <c r="B98" i="33"/>
  <c r="B151" i="27"/>
  <c r="B511" i="10"/>
  <c r="B44" i="38"/>
  <c r="B44" i="37"/>
  <c r="B146" i="38"/>
  <c r="B46" i="38"/>
  <c r="B116" i="5"/>
  <c r="B98" i="30"/>
  <c r="B52" i="4"/>
  <c r="B83" i="37"/>
  <c r="B133" i="38"/>
  <c r="B558" i="10"/>
  <c r="B73" i="4"/>
  <c r="B29" i="37"/>
  <c r="B62" i="5"/>
  <c r="B130" i="27"/>
  <c r="B174" i="27"/>
  <c r="B38" i="10"/>
  <c r="B83" i="33"/>
  <c r="B131" i="25"/>
  <c r="B57" i="25"/>
  <c r="B137" i="30"/>
  <c r="B143" i="34"/>
  <c r="B97" i="33"/>
  <c r="B94" i="27"/>
  <c r="B74" i="10"/>
  <c r="B426" i="10"/>
  <c r="B25" i="4"/>
  <c r="B62" i="30"/>
  <c r="B462" i="10"/>
  <c r="B46" i="35"/>
  <c r="B57" i="38"/>
  <c r="B63" i="23"/>
  <c r="B164" i="38"/>
  <c r="B43" i="4"/>
  <c r="B30" i="34"/>
  <c r="B119" i="4"/>
  <c r="B556" i="10"/>
  <c r="B157" i="25"/>
  <c r="B56" i="35"/>
  <c r="B91" i="25"/>
  <c r="B221" i="27"/>
  <c r="B67" i="30"/>
  <c r="B117" i="34"/>
  <c r="B53" i="36"/>
  <c r="B231" i="27"/>
  <c r="B111" i="4"/>
  <c r="B96" i="34"/>
  <c r="B67" i="37"/>
  <c r="B85" i="38"/>
  <c r="B76" i="23"/>
  <c r="B32" i="10"/>
  <c r="B54" i="25"/>
  <c r="B124" i="30"/>
  <c r="B132" i="27"/>
  <c r="B443" i="10"/>
  <c r="B32" i="27"/>
  <c r="B554" i="10"/>
  <c r="B135" i="5"/>
  <c r="B77" i="34"/>
  <c r="B43" i="37"/>
  <c r="B70" i="5"/>
  <c r="B28" i="4"/>
  <c r="B63" i="4"/>
  <c r="B73" i="27"/>
  <c r="B169" i="25"/>
  <c r="B35" i="10"/>
  <c r="B152" i="27"/>
  <c r="B28" i="35"/>
  <c r="B65" i="36"/>
  <c r="B104" i="30"/>
  <c r="B127" i="38"/>
  <c r="B83" i="30"/>
  <c r="B42" i="27"/>
  <c r="B78" i="4"/>
  <c r="B39" i="38"/>
  <c r="B28" i="30"/>
  <c r="B182" i="10"/>
  <c r="B104" i="37"/>
  <c r="B88" i="25"/>
  <c r="B158" i="4"/>
  <c r="B93" i="30"/>
  <c r="B154" i="38"/>
  <c r="B103" i="35"/>
  <c r="B111" i="35"/>
  <c r="B49" i="34"/>
  <c r="B87" i="23"/>
  <c r="B122" i="27"/>
  <c r="B64" i="36"/>
  <c r="B111" i="10"/>
  <c r="B58" i="4"/>
  <c r="B49" i="27"/>
  <c r="B80" i="34"/>
  <c r="B140" i="35"/>
  <c r="B61" i="33"/>
  <c r="B73" i="34"/>
  <c r="B501" i="10"/>
  <c r="B100" i="35"/>
  <c r="B125" i="5"/>
  <c r="B127" i="34"/>
  <c r="B139" i="4"/>
  <c r="B42" i="37"/>
  <c r="B116" i="35"/>
  <c r="B142" i="34"/>
  <c r="B30" i="23"/>
  <c r="B445" i="10"/>
  <c r="B97" i="23"/>
  <c r="B64" i="27"/>
  <c r="B108" i="37"/>
  <c r="B123" i="35"/>
  <c r="B496" i="10"/>
  <c r="B38" i="35"/>
  <c r="B119" i="5"/>
  <c r="B59" i="35"/>
  <c r="B59" i="37"/>
  <c r="B37" i="4"/>
  <c r="B105" i="35"/>
  <c r="B156" i="4"/>
  <c r="B42" i="36"/>
  <c r="B121" i="4"/>
  <c r="B150" i="25"/>
  <c r="B80" i="25"/>
  <c r="B182" i="27"/>
  <c r="B188" i="27"/>
  <c r="B64" i="38"/>
  <c r="B54" i="4"/>
  <c r="B29" i="34"/>
  <c r="B211" i="10"/>
  <c r="B134" i="25"/>
  <c r="B119" i="35"/>
  <c r="B139" i="35"/>
  <c r="B55" i="25"/>
  <c r="B87" i="27"/>
  <c r="B47" i="27"/>
  <c r="B123" i="38"/>
  <c r="B126" i="35"/>
  <c r="B52" i="30"/>
  <c r="B88" i="30"/>
  <c r="B98" i="35"/>
  <c r="B61" i="35"/>
  <c r="B82" i="37"/>
  <c r="B55" i="30"/>
  <c r="B35" i="30"/>
  <c r="B33" i="30"/>
  <c r="B26" i="38"/>
  <c r="B214" i="27"/>
  <c r="B93" i="38"/>
  <c r="B81" i="4"/>
  <c r="B55" i="33"/>
  <c r="B69" i="4"/>
  <c r="B34" i="10"/>
  <c r="B34" i="35"/>
  <c r="B88" i="36"/>
  <c r="B70" i="35"/>
  <c r="B203" i="10"/>
  <c r="B75" i="10"/>
  <c r="B377" i="10"/>
  <c r="B83" i="36"/>
  <c r="B102" i="4"/>
  <c r="B147" i="30"/>
  <c r="B64" i="23"/>
  <c r="B51" i="30"/>
  <c r="B66" i="37"/>
  <c r="B121" i="30"/>
  <c r="B78" i="38"/>
  <c r="B120" i="25"/>
  <c r="B99" i="4"/>
  <c r="B134" i="4"/>
  <c r="B72" i="27"/>
  <c r="B138" i="30"/>
  <c r="B141" i="30"/>
  <c r="B85" i="25"/>
  <c r="B94" i="23"/>
  <c r="B130" i="5"/>
  <c r="B106" i="25"/>
  <c r="B124" i="38"/>
  <c r="B172" i="10"/>
  <c r="B159" i="38"/>
  <c r="B129" i="25"/>
  <c r="B123" i="27"/>
  <c r="B53" i="30"/>
  <c r="B31" i="36"/>
  <c r="B216" i="27"/>
  <c r="B495" i="10"/>
  <c r="B80" i="35"/>
  <c r="B120" i="5"/>
  <c r="B122" i="25"/>
  <c r="B72" i="25"/>
  <c r="B59" i="5"/>
  <c r="B164" i="27"/>
  <c r="B70" i="10"/>
  <c r="B85" i="30"/>
  <c r="B51" i="33"/>
  <c r="B46" i="36"/>
  <c r="B50" i="37"/>
  <c r="B406" i="10"/>
  <c r="B62" i="35"/>
  <c r="B94" i="4"/>
  <c r="B141" i="35"/>
  <c r="B100" i="36"/>
  <c r="B51" i="5"/>
  <c r="B27" i="5"/>
  <c r="B63" i="27"/>
  <c r="B56" i="25"/>
  <c r="B143" i="38"/>
  <c r="B69" i="35"/>
  <c r="B77" i="5"/>
  <c r="B104" i="4"/>
  <c r="B98" i="38"/>
  <c r="B51" i="34"/>
  <c r="B60" i="30"/>
  <c r="B497" i="10"/>
  <c r="B47" i="35"/>
  <c r="B42" i="33"/>
  <c r="B69" i="34"/>
  <c r="B120" i="34"/>
  <c r="B33" i="34"/>
  <c r="B132" i="30"/>
  <c r="B82" i="35"/>
  <c r="B492" i="10"/>
  <c r="B99" i="34"/>
  <c r="B156" i="38"/>
  <c r="B166" i="4"/>
  <c r="B160" i="38"/>
  <c r="B34" i="38"/>
  <c r="B68" i="5"/>
  <c r="B100" i="5"/>
  <c r="B51" i="38"/>
  <c r="B182" i="4"/>
  <c r="B184" i="10"/>
  <c r="B77" i="23"/>
  <c r="B102" i="25"/>
  <c r="B49" i="38"/>
  <c r="B105" i="30"/>
  <c r="B65" i="5"/>
  <c r="B45" i="30"/>
  <c r="B140" i="4"/>
  <c r="B97" i="27"/>
  <c r="B75" i="34"/>
  <c r="B34" i="37"/>
  <c r="B215" i="10"/>
  <c r="B213" i="27"/>
  <c r="B39" i="10"/>
  <c r="B93" i="37"/>
  <c r="B132" i="25"/>
  <c r="B40" i="35"/>
  <c r="B168" i="25"/>
  <c r="B51" i="25"/>
  <c r="B117" i="4"/>
  <c r="B36" i="36"/>
  <c r="B166" i="25"/>
  <c r="B76" i="4"/>
  <c r="B65" i="35"/>
  <c r="B90" i="34"/>
  <c r="B174" i="10"/>
  <c r="B56" i="34"/>
  <c r="B63" i="25"/>
  <c r="B491" i="10"/>
  <c r="B89" i="34"/>
  <c r="B97" i="4"/>
  <c r="B30" i="38"/>
  <c r="B113" i="34"/>
  <c r="B52" i="38"/>
  <c r="B124" i="5"/>
  <c r="B129" i="35"/>
  <c r="B168" i="27"/>
  <c r="B179" i="10"/>
  <c r="B29" i="25"/>
  <c r="B99" i="38"/>
  <c r="B148" i="4"/>
  <c r="B123" i="10"/>
  <c r="B117" i="5"/>
  <c r="B80" i="36"/>
  <c r="B119" i="27"/>
  <c r="B55" i="38"/>
  <c r="B69" i="23"/>
  <c r="B151" i="4"/>
  <c r="B135" i="4"/>
  <c r="B55" i="27"/>
  <c r="B110" i="37"/>
  <c r="B181" i="10"/>
  <c r="B108" i="23"/>
  <c r="B522" i="10"/>
  <c r="B50" i="35"/>
  <c r="B60" i="5"/>
  <c r="B82" i="27"/>
  <c r="B49" i="36"/>
  <c r="B107" i="5"/>
  <c r="B65" i="10"/>
  <c r="B42" i="4"/>
  <c r="B64" i="5"/>
  <c r="B64" i="30"/>
  <c r="B32" i="23"/>
  <c r="B148" i="25"/>
  <c r="B46" i="23"/>
  <c r="B71" i="10"/>
  <c r="B124" i="25"/>
  <c r="B193" i="27"/>
  <c r="B114" i="5"/>
  <c r="B116" i="34"/>
  <c r="B145" i="38"/>
  <c r="B421" i="10"/>
  <c r="B118" i="27"/>
  <c r="B523" i="10"/>
  <c r="B61" i="27"/>
  <c r="B61" i="25"/>
  <c r="B45" i="36"/>
  <c r="B196" i="27"/>
  <c r="B82" i="5"/>
  <c r="B158" i="38"/>
  <c r="B29" i="35"/>
  <c r="B113" i="10"/>
  <c r="B38" i="38"/>
  <c r="B71" i="35"/>
  <c r="B124" i="34"/>
  <c r="B184" i="4"/>
  <c r="B49" i="37"/>
  <c r="B79" i="5"/>
  <c r="B489" i="10"/>
  <c r="B120" i="27"/>
  <c r="B120" i="35"/>
  <c r="B197" i="27"/>
  <c r="B339" i="10"/>
  <c r="B72" i="10"/>
  <c r="B63" i="35"/>
  <c r="B32" i="38"/>
  <c r="B477" i="10"/>
  <c r="B83" i="23"/>
  <c r="B376" i="10"/>
  <c r="B61" i="37"/>
  <c r="B219" i="27"/>
  <c r="B64" i="34"/>
  <c r="B77" i="4"/>
  <c r="B110" i="35"/>
  <c r="B34" i="33"/>
  <c r="B43" i="36"/>
  <c r="B335" i="10"/>
  <c r="B82" i="25"/>
  <c r="B78" i="35"/>
  <c r="B138" i="5"/>
  <c r="B441" i="10"/>
  <c r="B169" i="38"/>
  <c r="B385" i="10"/>
  <c r="B521" i="10"/>
  <c r="B131" i="4"/>
  <c r="B31" i="30"/>
  <c r="B293" i="10"/>
  <c r="B49" i="25"/>
  <c r="B37" i="35"/>
  <c r="B152" i="35"/>
  <c r="B131" i="35"/>
  <c r="B38" i="34"/>
  <c r="B99" i="35"/>
  <c r="B187" i="4"/>
  <c r="B81" i="5"/>
  <c r="B152" i="25"/>
  <c r="B69" i="33"/>
  <c r="B422" i="10"/>
  <c r="B45" i="35"/>
  <c r="B52" i="36"/>
  <c r="B164" i="25"/>
  <c r="B70" i="33"/>
  <c r="B154" i="25"/>
  <c r="B27" i="25"/>
  <c r="B108" i="33"/>
  <c r="B85" i="10"/>
  <c r="B31" i="34"/>
  <c r="B177" i="10"/>
  <c r="B531" i="10"/>
  <c r="B126" i="5"/>
  <c r="B61" i="10"/>
  <c r="B99" i="5"/>
  <c r="B172" i="27"/>
  <c r="B51" i="36"/>
  <c r="B114" i="25"/>
  <c r="B429" i="10"/>
  <c r="B48" i="27"/>
  <c r="B549" i="10"/>
  <c r="E45"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Munro, Josh</author>
  </authors>
  <commentList>
    <comment ref="C501" authorId="0" shapeId="0" xr:uid="{00000000-0006-0000-0200-000001000000}">
      <text>
        <r>
          <rPr>
            <b/>
            <sz val="9"/>
            <color indexed="81"/>
            <rFont val="Tahoma"/>
            <family val="2"/>
          </rPr>
          <t>Munro, Josh:</t>
        </r>
        <r>
          <rPr>
            <sz val="9"/>
            <color indexed="81"/>
            <rFont val="Tahoma"/>
            <family val="2"/>
          </rPr>
          <t xml:space="preserve">
Provisional Quantities are specific by Council. Refer to example templates
</t>
        </r>
      </text>
    </comment>
  </commentList>
</comments>
</file>

<file path=xl/sharedStrings.xml><?xml version="1.0" encoding="utf-8"?>
<sst xmlns="http://schemas.openxmlformats.org/spreadsheetml/2006/main" count="4160" uniqueCount="626">
  <si>
    <t>Item</t>
  </si>
  <si>
    <t>Description</t>
  </si>
  <si>
    <t>Unit</t>
  </si>
  <si>
    <t>Quantity</t>
  </si>
  <si>
    <t>Rate</t>
  </si>
  <si>
    <t>Amount</t>
  </si>
  <si>
    <t>lin.m</t>
  </si>
  <si>
    <t>Miscellaneous</t>
  </si>
  <si>
    <t>no.</t>
  </si>
  <si>
    <t>Principal:</t>
  </si>
  <si>
    <t>Consulting Engineers:</t>
  </si>
  <si>
    <t>Quality Assurance</t>
  </si>
  <si>
    <t>Total Lump Sum Price for Sewer Reticulation:</t>
  </si>
  <si>
    <t>100mm dia. PVC</t>
  </si>
  <si>
    <t>100mm dia.</t>
  </si>
  <si>
    <t>Short service</t>
  </si>
  <si>
    <t>Long service</t>
  </si>
  <si>
    <t>Total Lump Sum Price for Water Reticulation:</t>
  </si>
  <si>
    <t xml:space="preserve">Name of Tenderer:  </t>
  </si>
  <si>
    <t xml:space="preserve">Signed:  </t>
  </si>
  <si>
    <t>....................................................................…</t>
  </si>
  <si>
    <t>150mm dia. PVC</t>
  </si>
  <si>
    <t>150mm dia.</t>
  </si>
  <si>
    <t>CONSTRUCTION OF SEWER RETICULATION</t>
  </si>
  <si>
    <t>CONSTRUCTION OF WATER RETICULATION</t>
  </si>
  <si>
    <t>50mm dia. PE</t>
  </si>
  <si>
    <t>100mm</t>
  </si>
  <si>
    <t>150mm</t>
  </si>
  <si>
    <t>50mm</t>
  </si>
  <si>
    <t>CONSTRUCTION OF ELECTRICAL WORKS</t>
  </si>
  <si>
    <t>BILL OF QUANTITIES</t>
  </si>
  <si>
    <t>Total Lump Sum Price for Electrical:</t>
  </si>
  <si>
    <t>STAGE X</t>
  </si>
  <si>
    <t>Endpipe/stub</t>
  </si>
  <si>
    <t>225mm dia.</t>
  </si>
  <si>
    <t>300mm dia.</t>
  </si>
  <si>
    <t>1050mm dia.</t>
  </si>
  <si>
    <t>1200mm dia.</t>
  </si>
  <si>
    <t>Property branches</t>
  </si>
  <si>
    <t>Stubs for future connection</t>
  </si>
  <si>
    <t>Sewer pipes</t>
  </si>
  <si>
    <t>63mm dia. PE</t>
  </si>
  <si>
    <t>225mm dia. PVC</t>
  </si>
  <si>
    <t>300mm dia. PVC</t>
  </si>
  <si>
    <t>225mm</t>
  </si>
  <si>
    <t>300mm</t>
  </si>
  <si>
    <t>63mm</t>
  </si>
  <si>
    <t>Cut, seal and abandon existing watermain</t>
  </si>
  <si>
    <t>Water quality testing as required by water authority</t>
  </si>
  <si>
    <t>Adjust cover levels of existing maintenance holes</t>
  </si>
  <si>
    <t>ESTATE NAME</t>
  </si>
  <si>
    <t>Type 1</t>
  </si>
  <si>
    <t>Drawing No</t>
  </si>
  <si>
    <t>Title</t>
  </si>
  <si>
    <t>Rev</t>
  </si>
  <si>
    <t>Prepared</t>
  </si>
  <si>
    <t>&lt;1.5m deep</t>
  </si>
  <si>
    <t>1.5-2.5m deep</t>
  </si>
  <si>
    <t>2.5-3.5m deep</t>
  </si>
  <si>
    <t>Extra over item 2.1 to 2.4 for Class D covers</t>
  </si>
  <si>
    <t>Concial Top</t>
  </si>
  <si>
    <t>Neck only</t>
  </si>
  <si>
    <t>Inclusive of removal of conical top</t>
  </si>
  <si>
    <t>Flat top</t>
  </si>
  <si>
    <t>Inclusive of removal of flat top</t>
  </si>
  <si>
    <t>Asset recording</t>
  </si>
  <si>
    <t>40mm dia. PE</t>
  </si>
  <si>
    <t>40mm</t>
  </si>
  <si>
    <t>Quantity check</t>
  </si>
  <si>
    <t>Approved to issue</t>
  </si>
  <si>
    <t>Extra over item 5.1 and 5.2 for connection to existing main</t>
  </si>
  <si>
    <t>Original</t>
  </si>
  <si>
    <t>Check</t>
  </si>
  <si>
    <t>No Cost required</t>
  </si>
  <si>
    <t>CONSTRUCTION OF ROAD AND DRAINAGE</t>
  </si>
  <si>
    <t>Siteworks and Earthworks</t>
  </si>
  <si>
    <t>Siteworks</t>
  </si>
  <si>
    <t>Site establishment including provision of access, survey setout, provision of site and office compounds, insurances and other works as specified.</t>
  </si>
  <si>
    <t>cu.m</t>
  </si>
  <si>
    <t>Spread and compact fill onsite</t>
  </si>
  <si>
    <t>Trim and prepare subgrade</t>
  </si>
  <si>
    <t>sq.m</t>
  </si>
  <si>
    <t>Pavement works</t>
  </si>
  <si>
    <t>Asphalt</t>
  </si>
  <si>
    <t>25mm depth of 7mm nom. Size Type N asphalt</t>
  </si>
  <si>
    <t>40mm depth of 14mm nom. size Type N asphalt</t>
  </si>
  <si>
    <t>sq.m.</t>
  </si>
  <si>
    <t>Prime</t>
  </si>
  <si>
    <t>Crushed rock</t>
  </si>
  <si>
    <t>20mm nom size Class 2 F.C.R.</t>
  </si>
  <si>
    <t>130mm compacted depth</t>
  </si>
  <si>
    <t>200mm compacted depth</t>
  </si>
  <si>
    <t>20mm nom size Class 3 F.C.R.</t>
  </si>
  <si>
    <t>100mm compacted depth</t>
  </si>
  <si>
    <t>150mm compacted depth</t>
  </si>
  <si>
    <t>Capping layer</t>
  </si>
  <si>
    <t>Concrete works</t>
  </si>
  <si>
    <t>SM1(M) kerb</t>
  </si>
  <si>
    <t>lin.m.</t>
  </si>
  <si>
    <t>Rollover kerb and channel</t>
  </si>
  <si>
    <t>Rollover kerb and channel (outfall tray)</t>
  </si>
  <si>
    <t>Semi mountable kerb (SM1)</t>
  </si>
  <si>
    <t>Semi mountable kerb and channel (SM2)</t>
  </si>
  <si>
    <t>Semi mountable kerb and channel (SM3)</t>
  </si>
  <si>
    <t>Barrier kerb (B1)</t>
  </si>
  <si>
    <t>Edge strip</t>
  </si>
  <si>
    <t>Footpaths</t>
  </si>
  <si>
    <t>Tactile pavers</t>
  </si>
  <si>
    <t>Driveways (rate to include boxing)</t>
  </si>
  <si>
    <t>Residential</t>
  </si>
  <si>
    <t>Industrial</t>
  </si>
  <si>
    <t>Concrete splitter island</t>
  </si>
  <si>
    <t>Bus bays (all inclusive)</t>
  </si>
  <si>
    <t>Drainage</t>
  </si>
  <si>
    <t>Drainage Pipes</t>
  </si>
  <si>
    <t>Class 2 RC - Standard Backfill</t>
  </si>
  <si>
    <t>150mm Dia. &lt;1.5m deep</t>
  </si>
  <si>
    <t>150mm Dia. 1.5-2.5m deep</t>
  </si>
  <si>
    <t>150mm Dia. 2.5-3.5m deep</t>
  </si>
  <si>
    <t>225mm Dia. &lt;1.5m deep</t>
  </si>
  <si>
    <t>225mm Dia. 1.5-2.5m deep</t>
  </si>
  <si>
    <t>225mm Dia. 2.5-3.5m deep</t>
  </si>
  <si>
    <t>300mm Dia. &lt;1.5m deep</t>
  </si>
  <si>
    <t>300mm Dia. 1.5-2.5m deep</t>
  </si>
  <si>
    <t>300mm Dia. 2.5-3.5m deep</t>
  </si>
  <si>
    <t>375mm Dia. &lt;1.5m deep</t>
  </si>
  <si>
    <t>375mm Dia. 1.5-2.5m deep</t>
  </si>
  <si>
    <t>375mm Dia. 2.5-3.5m deep</t>
  </si>
  <si>
    <t>450mm Dia. &lt;1.5m deep</t>
  </si>
  <si>
    <t>450mm Dia. 1.5-2.5m deep</t>
  </si>
  <si>
    <t>450mm Dia. 2.5-3.5m deep</t>
  </si>
  <si>
    <t>525mm Dia. &lt;1.5m deep</t>
  </si>
  <si>
    <t>525mm Dia. 1.5-2.5m deep</t>
  </si>
  <si>
    <t>525mm Dia. 2.5-3.5m deep</t>
  </si>
  <si>
    <t>600mm Dia. &lt;1.5m deep</t>
  </si>
  <si>
    <t>600mm Dia. 1.5-2.5m deep</t>
  </si>
  <si>
    <t>600mm Dia. 2.5-3.5m deep</t>
  </si>
  <si>
    <t>675mm Dia. &lt;1.5m deep</t>
  </si>
  <si>
    <t>675mm Dia. 1.5-2.5m deep</t>
  </si>
  <si>
    <t>675mm Dia. 2.5-3.5m deep</t>
  </si>
  <si>
    <t>750mm Dia. &lt;1.5m deep</t>
  </si>
  <si>
    <t>750mm Dia. 1.5-2.5m deep</t>
  </si>
  <si>
    <t>750mm Dia. 2.5-3.5m deep</t>
  </si>
  <si>
    <t>825mm Dia. &lt;1.5m deep</t>
  </si>
  <si>
    <t>825mm Dia. 1.5-2.5m deep</t>
  </si>
  <si>
    <t>825mm Dia. 2.5-3.5m deep</t>
  </si>
  <si>
    <t>900mm Dia. &lt;1.5m deep</t>
  </si>
  <si>
    <t>900mm Dia. 1.5-2.5m deep</t>
  </si>
  <si>
    <t>900mm Dia. 2.5-3.5m deep</t>
  </si>
  <si>
    <t>Extra over item 4.1.1 for CR backfill</t>
  </si>
  <si>
    <t>Extra over item 4.1.1 for Class 3 pipe</t>
  </si>
  <si>
    <t>300mm Dia.</t>
  </si>
  <si>
    <t>375mm Dia.</t>
  </si>
  <si>
    <t>450mm Dia.</t>
  </si>
  <si>
    <t>525mm Dia.</t>
  </si>
  <si>
    <t>600mm Dia.</t>
  </si>
  <si>
    <t>Extra over item 4.1.1 for boring</t>
  </si>
  <si>
    <t>Stormwater Pits</t>
  </si>
  <si>
    <t>600mm x 900mm</t>
  </si>
  <si>
    <t>House drains</t>
  </si>
  <si>
    <t>Property Inlets</t>
  </si>
  <si>
    <t>Pit</t>
  </si>
  <si>
    <t>Pit blockout</t>
  </si>
  <si>
    <t>Main drain inlet</t>
  </si>
  <si>
    <t>Blockout</t>
  </si>
  <si>
    <t>Stub</t>
  </si>
  <si>
    <t>Endpipe</t>
  </si>
  <si>
    <t>Swale drains</t>
  </si>
  <si>
    <t>V-notch</t>
  </si>
  <si>
    <t>Services</t>
  </si>
  <si>
    <t>Under road</t>
  </si>
  <si>
    <t>Under footpath</t>
  </si>
  <si>
    <t>100mm dia. PVC conduits</t>
  </si>
  <si>
    <t>Construct edge strip, "NO ROAD" sign &amp; barrier</t>
  </si>
  <si>
    <t>Remove existing edge strip, "NO ROAD" sign &amp; barrier</t>
  </si>
  <si>
    <t>Give Way (R1-2B)</t>
  </si>
  <si>
    <t>PSM</t>
  </si>
  <si>
    <t>RRPM's</t>
  </si>
  <si>
    <t>Reinstatement of Title pegs during construction</t>
  </si>
  <si>
    <t>Provisional Quantities</t>
  </si>
  <si>
    <t>Supply and install electrical conduits</t>
  </si>
  <si>
    <t>TOTAL</t>
  </si>
  <si>
    <t>The tenderer is responsible for determining the actual quantity of the works and the schedules supplied are issued as a guide and for information only. It is the tenderers responsibility to check the quantities and correct any errors.</t>
  </si>
  <si>
    <t>This schedule may be used during the contract period to supplement other forms of assessing the value of works completed for payment purposes and to validate variations if required.</t>
  </si>
  <si>
    <t>Address 2</t>
  </si>
  <si>
    <t>SCHEDULE OF PRICES SUMMARY</t>
  </si>
  <si>
    <t>Road &amp; Drainage</t>
  </si>
  <si>
    <t>Electrical</t>
  </si>
  <si>
    <t xml:space="preserve">I/we confirm that the tender conditions have been met, tender plans have been reviewed and that all quantities have been checked. The tender schedules will only be used for the purpose of determining the quantum of works for assessing progress payment certificates and for assessment of variation requests if required.  </t>
  </si>
  <si>
    <t>Project Status:</t>
  </si>
  <si>
    <t>Drawing Register:</t>
  </si>
  <si>
    <t>Date</t>
  </si>
  <si>
    <t>Tender set</t>
  </si>
  <si>
    <t>Preliminary Estimate</t>
  </si>
  <si>
    <t>Prepared / Approved By</t>
  </si>
  <si>
    <t>Status</t>
  </si>
  <si>
    <t>Kerb and channel (includes laybacks)</t>
  </si>
  <si>
    <t>Mountable kerb and channel (M2)</t>
  </si>
  <si>
    <t>PVC - Standard Backfill</t>
  </si>
  <si>
    <t>100mm Dia. &lt;1.5m deep</t>
  </si>
  <si>
    <t>100mm Dia. 1.5-2.5m deep</t>
  </si>
  <si>
    <t>200mm Dia. &lt;1.5m deep</t>
  </si>
  <si>
    <t>200mm Dia. 1.5-2.5m deep</t>
  </si>
  <si>
    <t>250mm Dia. &lt;1.5m deep</t>
  </si>
  <si>
    <t>250mm Dia. 1.5-2.5m deep</t>
  </si>
  <si>
    <t>House drain to ex. Pit</t>
  </si>
  <si>
    <t>House drain to ex. Pipe</t>
  </si>
  <si>
    <t>Connect to existing drainage (install, make good)</t>
  </si>
  <si>
    <t>Property inlet to ex. Pipe</t>
  </si>
  <si>
    <t>Property inlet to ex. Pit</t>
  </si>
  <si>
    <t>Alter existing pits or cover levels</t>
  </si>
  <si>
    <t>Rock beaching</t>
  </si>
  <si>
    <t>Sandbag endwall</t>
  </si>
  <si>
    <t>Temporary outfall channel</t>
  </si>
  <si>
    <t>Retaining wall (includes building permits)</t>
  </si>
  <si>
    <t>Single street sign</t>
  </si>
  <si>
    <t>Double street sign</t>
  </si>
  <si>
    <t>Stop Sign (R1-1A)</t>
  </si>
  <si>
    <t>Edge strip, "NO ROAD" sign &amp; barrier</t>
  </si>
  <si>
    <t>Relocate existing edge strip, "NO ROAD" sign &amp; barrier</t>
  </si>
  <si>
    <t>Stone retaining wall</t>
  </si>
  <si>
    <t>Concrete retaining wall</t>
  </si>
  <si>
    <t>Timber retaining wall</t>
  </si>
  <si>
    <t>&lt;1.5m high</t>
  </si>
  <si>
    <t>1.5-2.5m high</t>
  </si>
  <si>
    <t>2.5-3.5m high</t>
  </si>
  <si>
    <t>3.5-4.5m high</t>
  </si>
  <si>
    <t>4.5-5.5m high</t>
  </si>
  <si>
    <t>Excavation of unstable areas below road pavement and allotments, disposal offsite and supply, place, compact the following approved backfill material.</t>
  </si>
  <si>
    <t>Extra over items 6.1 to 6.2 for connection to existing sewer</t>
  </si>
  <si>
    <t>Existing/future sewers (Live sewer works)</t>
  </si>
  <si>
    <t>Connecting to existing watermains</t>
  </si>
  <si>
    <t>300mm to 225mm</t>
  </si>
  <si>
    <t>225mm to 150mm</t>
  </si>
  <si>
    <t>150mm to 100mm</t>
  </si>
  <si>
    <t>Extra over item 5.1 and 5.2 for connection under retaining walls</t>
  </si>
  <si>
    <t>Terms and Conditions</t>
  </si>
  <si>
    <t>Intersection threshold treatments</t>
  </si>
  <si>
    <t>20mm nom size Class 2 F.C.R. 200mm compacted depth</t>
  </si>
  <si>
    <t>Parking Bays</t>
  </si>
  <si>
    <t>Extra Over For Deferring Item 2.1.1.1 &amp; 2.1.1.2 For 12 months</t>
  </si>
  <si>
    <t>Extra Over For Deferring Item 2.2.1.1 &amp; 2.2.1.2 For 12 months</t>
  </si>
  <si>
    <t>Extra Over For Deferring Item 2.4.1.1 &amp; 2.4.1.2 For 12 months</t>
  </si>
  <si>
    <t>Single Water and gas conduits</t>
  </si>
  <si>
    <t>Dual Water and gas conduits</t>
  </si>
  <si>
    <t>Extra over item 5.1.2 for retaining walls</t>
  </si>
  <si>
    <t>Extra over item 5.2.2 for retaining walls</t>
  </si>
  <si>
    <t>Dilapidation survey and monitoring of existing houses adjacent to site during construction</t>
  </si>
  <si>
    <t>Electrical and Comms - Conduits</t>
  </si>
  <si>
    <t>Supply and install comms conduits</t>
  </si>
  <si>
    <t>Electrical and Comms trenching for cable and/or conduit</t>
  </si>
  <si>
    <t>Electrical and Comms - Pits</t>
  </si>
  <si>
    <t>Validity of offer</t>
  </si>
  <si>
    <t>Warranty</t>
  </si>
  <si>
    <t>Commencement availabilty</t>
  </si>
  <si>
    <t>125mm depth concrete including bedding footpath, 1.5m</t>
  </si>
  <si>
    <t>125mm depth concrete including bedding shared path, 2.5m</t>
  </si>
  <si>
    <t>100mm x 100mm</t>
  </si>
  <si>
    <t>150mm x 150mm</t>
  </si>
  <si>
    <t>225mm x 225mm</t>
  </si>
  <si>
    <t>300mm x 300mm</t>
  </si>
  <si>
    <t>Bends</t>
  </si>
  <si>
    <t>Remove and reposition of step irons</t>
  </si>
  <si>
    <t>100mm diameter subsoil drain (including localised deepening of capping layer)</t>
  </si>
  <si>
    <t>100mm diameter subsoil drain (no fines concrete), required for pavement widening</t>
  </si>
  <si>
    <t>Linemarking</t>
  </si>
  <si>
    <t>CONSTRUCTION OF REIMBURSABLE SEWER RETICULATION</t>
  </si>
  <si>
    <t>375mm dia. PVC</t>
  </si>
  <si>
    <t>450mm dia. PVC</t>
  </si>
  <si>
    <t>375mm dia.</t>
  </si>
  <si>
    <t>450mm dia.</t>
  </si>
  <si>
    <t>525mm dia.</t>
  </si>
  <si>
    <t>1500mm dia.</t>
  </si>
  <si>
    <t>Total Lump Sum Price for Reimbursable Sewer:</t>
  </si>
  <si>
    <t>Total Lump Sum Price for Reimbursable Water:</t>
  </si>
  <si>
    <t>Total Lump Sum Price for Reimbursable Recycled Water:</t>
  </si>
  <si>
    <t>Quality testing of works including certification at start and end of DLP. Inclusive of testing to meet requirements of MRWA 04-03.2 Backfill Specification.</t>
  </si>
  <si>
    <t>Cut material</t>
  </si>
  <si>
    <t>Level 1 Supervision within lots (PROVISIONAL)</t>
  </si>
  <si>
    <t>Fill ex. Swale drains (To be excavated to a clean firm base, including survey prior to filling)</t>
  </si>
  <si>
    <t>Topsoil (Rate to include grade and trim to required presentation)</t>
  </si>
  <si>
    <t>190mm  depth 32MPa coloured concrete with F82 mesh, 50mm top cover or faux-brick patterned paved concrete or similar approved patterned concrete product</t>
  </si>
  <si>
    <t xml:space="preserve">SMEC </t>
  </si>
  <si>
    <t xml:space="preserve">Asset recording to be undertaken by the Principal's Surveyor SMEC </t>
  </si>
  <si>
    <t xml:space="preserve">Removal of excavated spoil from site </t>
  </si>
  <si>
    <t>m³</t>
  </si>
  <si>
    <t>Payment certification for spread and compact fill items to be approved only upon the presentation of relevant compaction results.</t>
  </si>
  <si>
    <t>75% of completed value only to be paid until successful completion of quality testing</t>
  </si>
  <si>
    <t xml:space="preserve">75% of completed value only to be paid until successful completion of quality testing
</t>
  </si>
  <si>
    <t>no</t>
  </si>
  <si>
    <t>Site preparation including disposal of all surface rock, trees and stumps, timber, fences, wire, rubbish, removal of kerb and other existing works and any other materials as specified on the drawings, disposed offsite to a tip to be arranged by the contractor.</t>
  </si>
  <si>
    <t>Size 10 Sami Seal</t>
  </si>
  <si>
    <t>100mm dia. MSCL</t>
  </si>
  <si>
    <t>150mm dia. MSCL</t>
  </si>
  <si>
    <t>225mm dia. MSCL</t>
  </si>
  <si>
    <t>300mm dia. MSCL</t>
  </si>
  <si>
    <t>All quantities are solid volumes</t>
  </si>
  <si>
    <t>Traffic Management for all works required under the contract including subcontractors works.</t>
  </si>
  <si>
    <t>Electrical Boring (Provisional item)</t>
  </si>
  <si>
    <t>Comms Boring (Provisional Item)</t>
  </si>
  <si>
    <t xml:space="preserve">Load and respread topsoil to naturestrips </t>
  </si>
  <si>
    <t xml:space="preserve">Bulk Earthworks </t>
  </si>
  <si>
    <t>To suit 300mm Dia Pipe</t>
  </si>
  <si>
    <t>To suit 450mm Dia Pipe</t>
  </si>
  <si>
    <t>To Suit 600mm Dia Pipe</t>
  </si>
  <si>
    <t>Environmental Management in accordance with approved EMP and implementation to the staisfaction of Council/Melbourne Water</t>
  </si>
  <si>
    <t>Lump Sum Price</t>
  </si>
  <si>
    <t>Endwalls (incl rock beaching to Council and MW satisfaction as detailed)</t>
  </si>
  <si>
    <t>Headwalls (incl rock beaching to Council and MW satisfaction as detailed)</t>
  </si>
  <si>
    <t>MW standard post and rail safety barrier</t>
  </si>
  <si>
    <t>3.5-4.5m deep</t>
  </si>
  <si>
    <t>4.5-5.5m deep</t>
  </si>
  <si>
    <t>Type 1a</t>
  </si>
  <si>
    <t>Type 1b</t>
  </si>
  <si>
    <t xml:space="preserve">Type 2 </t>
  </si>
  <si>
    <t>Type 4a</t>
  </si>
  <si>
    <t>Type 4b</t>
  </si>
  <si>
    <t>100mm dia. (spur branch)</t>
  </si>
  <si>
    <t>300mm to 425mm dia. (Class B cover concrete)</t>
  </si>
  <si>
    <t>Extra over item 4.1 for Class D covers</t>
  </si>
  <si>
    <t>Extra over item 5.1 for Class D covers</t>
  </si>
  <si>
    <t>Type 4S shaft connections</t>
  </si>
  <si>
    <t>Type 4B base connections</t>
  </si>
  <si>
    <t>Type S shaft connections</t>
  </si>
  <si>
    <t>Type B base connections</t>
  </si>
  <si>
    <t>Break into existing maintenance hole, including adjusting existing MH base and step irons or ladders</t>
  </si>
  <si>
    <t>Type OB</t>
  </si>
  <si>
    <t>125mm dia. PE</t>
  </si>
  <si>
    <t>180mm dia. PE</t>
  </si>
  <si>
    <t>280mm dia. PE</t>
  </si>
  <si>
    <t>40mm with flushing box (Fig 109-D)</t>
  </si>
  <si>
    <t>50mm with flushing box (Fig 109-D)</t>
  </si>
  <si>
    <t>63mm with flushing box (Fig 109-D)</t>
  </si>
  <si>
    <t>Tapping under pressure connection</t>
  </si>
  <si>
    <t>Cut-in connection</t>
  </si>
  <si>
    <t>XXXmm dia to 100mm dia.</t>
  </si>
  <si>
    <t>XXXmm dia to 150mm dia.</t>
  </si>
  <si>
    <t>XXXmm dia to 225mm dia.</t>
  </si>
  <si>
    <t>XXXmm dia to 300mm dia.</t>
  </si>
  <si>
    <t>Swabbing, testing and cleansing of mains (Items include supply of all material)</t>
  </si>
  <si>
    <t xml:space="preserve">Gas Trenching </t>
  </si>
  <si>
    <t>Widening and backfil for gas trench</t>
  </si>
  <si>
    <t>CONSTRUCTION OF RECYCLED WATER RETICULATION</t>
  </si>
  <si>
    <t>Total Lump Sum Price for Recycled Water Reticulation:</t>
  </si>
  <si>
    <t>500mm dia. PE</t>
  </si>
  <si>
    <t>560mm dia. PE</t>
  </si>
  <si>
    <t>375mm dia. GRP</t>
  </si>
  <si>
    <t>450mm dia. GRP</t>
  </si>
  <si>
    <t>CONSTRUCTION OF REIMBURSABLE TRUNK WATERMAIN</t>
  </si>
  <si>
    <t>Site establishment including provision of access, survey setout, provision of site and office compounds, PL &amp; plant insurances and other works as specified. Preparation of Site Management Plan including EMP and TMP. Location of existing services, dilapidation survey.</t>
  </si>
  <si>
    <t>Site preparation including disposal of all surface rock, trees, timber, fences, wire, rubbish, removal of kerb and other existing works and any other materials as specified on the drawings, disposed offsite to a tip to be arranged by the contractor</t>
  </si>
  <si>
    <t>Traffic Management Plan</t>
  </si>
  <si>
    <t>Site Management Plan</t>
  </si>
  <si>
    <t xml:space="preserve">Environmental Management Plan </t>
  </si>
  <si>
    <t>Tree Removal</t>
  </si>
  <si>
    <t>600mm dia. PVC</t>
  </si>
  <si>
    <t>375mm dia. DI</t>
  </si>
  <si>
    <t>450mm dia. DI</t>
  </si>
  <si>
    <t>525mm dia. DI</t>
  </si>
  <si>
    <t>600mm dia. GRP</t>
  </si>
  <si>
    <t>375mm dia. MSCL</t>
  </si>
  <si>
    <t>450mm dia. MSCL</t>
  </si>
  <si>
    <t>600mm dia. MSCL</t>
  </si>
  <si>
    <t>630mm dia. PE</t>
  </si>
  <si>
    <t>At 375mm dia main</t>
  </si>
  <si>
    <t>At 450mm dia main</t>
  </si>
  <si>
    <t>At 600mm dia main</t>
  </si>
  <si>
    <t xml:space="preserve">Cross connections (including all pipework and valve fittings as specified) </t>
  </si>
  <si>
    <t>Cathodic protection for MSCL mains as per specification</t>
  </si>
  <si>
    <t>Swabbing and cleansing of mains</t>
  </si>
  <si>
    <t>Pressure testing of mains</t>
  </si>
  <si>
    <t>Extra over item 2.1 to 2.4 for MHs epoxy coating or lining</t>
  </si>
  <si>
    <t>1050mm dia. (Class B cover concrete)</t>
  </si>
  <si>
    <t>1200mm dia. (Class B cover concrete)</t>
  </si>
  <si>
    <t>Extra over item 3.1 to 3.2 for Class D covers</t>
  </si>
  <si>
    <t>To maintenance hole</t>
  </si>
  <si>
    <t>Quality testing of works including certification at start and end of DLP. Inclusive of testing to meet requirements of MRWA 04-03.1 Backfill Specification.</t>
  </si>
  <si>
    <t>CONSTRUCTION OF REIMBURSABLE TRUNK RECYCLED WATERMAIN</t>
  </si>
  <si>
    <t>Load and respread topsoil to lots and disturbed areas within reserves including batters as required</t>
  </si>
  <si>
    <t>Note: Review electrical design for any external works</t>
  </si>
  <si>
    <t>Stub - 150mm dia</t>
  </si>
  <si>
    <t>Stub - 225mm dia</t>
  </si>
  <si>
    <t xml:space="preserve">Note : Quantify as Number of Tactiles. Generally theres no cost difference between direction and non directional </t>
  </si>
  <si>
    <t>Extra over item 4.1.1 for Class 4 pipe</t>
  </si>
  <si>
    <t>Extra over item 4.1.1 for Class 6 pipe</t>
  </si>
  <si>
    <t>Extra over item 4.1.1 for Class 10 pipe</t>
  </si>
  <si>
    <t>Note : Extra Over for pipe class is the additional cost to purchase a higher class of pipe over and above Class 2 pipes (item 4.1.1). These items are independent of depth</t>
  </si>
  <si>
    <t>Standard House Drains</t>
  </si>
  <si>
    <t>Extra over item 4.3.1 to 4.3.3 for retaining wall jump up</t>
  </si>
  <si>
    <t>Extra over item 4.4.1 to 4.4.3 for retaining wall jump up</t>
  </si>
  <si>
    <t>Extra over item 1.1 for Type F backfill (MRWA-S-201)</t>
  </si>
  <si>
    <t>Extra over item 1.1 for Type R backfill (MRWA-S-201)</t>
  </si>
  <si>
    <t>Extra over item 1.1 for Type B embedment (See MRWA-S-202)</t>
  </si>
  <si>
    <t>Extra over item 1.1 for Type C embedment (See MRWA-S-202)</t>
  </si>
  <si>
    <t>Extra over item 1.1 for Type D embedment (See MRWA-S-202)</t>
  </si>
  <si>
    <t>Boring Refer (MRWA-S-207 &amp; 208)</t>
  </si>
  <si>
    <t>Long radius bends (Refer MRWA-S-104B)</t>
  </si>
  <si>
    <t>Additional embedment works (Refer MRWA-S-202)</t>
  </si>
  <si>
    <t>Trenchstops and bulkheads  for sloping mains (Refer MRWA-S-205 &amp; 206)</t>
  </si>
  <si>
    <t>1050mm dia. Conical Top (Class B cover concrete) (Refer MRWA-S-309 to 312)</t>
  </si>
  <si>
    <t>1200mm dia. Conical Top (Class B cover concrete) (Refer MRWA-S-309 to 312)</t>
  </si>
  <si>
    <t>1050mm dia. Flat Top (Class B cover concrete) (Refer MRWA-S-309 to 312)</t>
  </si>
  <si>
    <t>1200mm dia. Flat Top (Class B cover concrete) (Refer MRWA-S-309 to 312)</t>
  </si>
  <si>
    <t>Extra over item 2.1 to 2.4 for Class D covers (Refer MRWA-S-313)</t>
  </si>
  <si>
    <t>600mm dia.  (Class B cover concrete) (Refer MRWA-S-306)</t>
  </si>
  <si>
    <t>Extra over item 3.1 for Class D covers (Refer MRWA-S-313)</t>
  </si>
  <si>
    <t>300mm to 425mm dia. (Class B cover concrete) (Refer MRWA-S-305)</t>
  </si>
  <si>
    <t>2.5-3.0m deep</t>
  </si>
  <si>
    <t>Extra over item 4.1 for Class D covers (Refer MRWA-S-313)</t>
  </si>
  <si>
    <t>150mm or 225mm dia.  (Class B cover concrete) (Refer MRWA-S-302 to 304)</t>
  </si>
  <si>
    <t>Extra over items 7.1 and  7.2 for connections with jump up flexible couplings (Refer MRWA-S-303)</t>
  </si>
  <si>
    <t>Extra over items 7.1 to 7.2 for connection to existing sewer (Refer MRWA-S-104A)</t>
  </si>
  <si>
    <t>Extra over items 7.1 to 7.2 for connections under retaining walls (Refer MRWA-S-209)</t>
  </si>
  <si>
    <t>Connect to existing sewer or structure (Refer MRWA-S-400)</t>
  </si>
  <si>
    <t>CCTV &amp; electronic ovality profiling report as per contract (Total Length of Pipe)</t>
  </si>
  <si>
    <t xml:space="preserve">300mm dia. </t>
  </si>
  <si>
    <t xml:space="preserve">375mm dia. </t>
  </si>
  <si>
    <t xml:space="preserve">450mm dia. </t>
  </si>
  <si>
    <t>Note: Extra over ordinary pipe for GRP jacking pipe. Independent of depth, Bore hole excavation may be added</t>
  </si>
  <si>
    <t>Extra over item 2.1 for GRP jacking pipe (Refer MRWA-S-207 &amp; 208)</t>
  </si>
  <si>
    <t>Note: Extra over ordinary pipe for boring. Independent of depth, Bore hole excavation may be added</t>
  </si>
  <si>
    <t>Extra over item 2.1 for Boring (Refer MRWA-S-207 &amp; 208)</t>
  </si>
  <si>
    <t>1500mm dia. Conical Top (Class B cover concrete) (Refer MRWA-S-309 to 312)</t>
  </si>
  <si>
    <t>Extra over item 3.1 to 3.4 for MHs epoxy coating (Refer MRWA-S-401)</t>
  </si>
  <si>
    <t>Extra over item 3.1 to 3.5 for Class D Covers (Refer MRWA-S-313)</t>
  </si>
  <si>
    <t>Provision of landings where specified (Refer MRWA-S-314)</t>
  </si>
  <si>
    <t>Connect to existing sewer or structure (MRWA-S-400)</t>
  </si>
  <si>
    <t>Stub - 300mm dia</t>
  </si>
  <si>
    <t>Stub - 375mm dia</t>
  </si>
  <si>
    <t>Stub - 450mm dia</t>
  </si>
  <si>
    <t>Connect to existing sewer or structure (Refer SEW-1302-V, 1313-V &amp; 1502)</t>
  </si>
  <si>
    <t>Property branches (Refer SEW-1154-M to 1155-M)</t>
  </si>
  <si>
    <t>Type 2 (including CRB )</t>
  </si>
  <si>
    <t>Type 4 (including CRB)</t>
  </si>
  <si>
    <t>Type 2 (including CRB)</t>
  </si>
  <si>
    <t xml:space="preserve">150mm or 225mm dia.  (Class B cover concrete) </t>
  </si>
  <si>
    <t>Provision of landings where specified (Refer SEW-1312)</t>
  </si>
  <si>
    <t>1050mm dia. Conical Top (Class B cover concrete) (Refer SEW-1300-V to 1301-V)</t>
  </si>
  <si>
    <t>1200mm dia. Conical Top (Class B cover concrete) (Refer SEW-1300-V to 1301-V)</t>
  </si>
  <si>
    <t>1050mm dia. Flat Top (Class B cover concrete) (Refer SEW-1300-V to 1301-V)</t>
  </si>
  <si>
    <t>1200mm dia. Flat Top (Class B cover concrete) (Refer SEW-1300-V to 1301-V)</t>
  </si>
  <si>
    <t>Trenchstops and bulkheads  for sloping mains (Refer SEW-1206 &amp; 1207)</t>
  </si>
  <si>
    <t>Additional embedment works (Refer SEW-1202 to 1204)</t>
  </si>
  <si>
    <t>Extra over item 1.1 for Boring (Refer SEW-1401-V to 1406)</t>
  </si>
  <si>
    <t>Extra over item 1.1 for CR backfill (Refer SEW-1201-V and  WW Suplementary Standards)</t>
  </si>
  <si>
    <t>Quantify all items specified on drawings</t>
  </si>
  <si>
    <t xml:space="preserve">Quantitfy items as no. not items </t>
  </si>
  <si>
    <t>Do not include item for Misc Fittings</t>
  </si>
  <si>
    <t>Hydrants (Refer MRWA-W-305)</t>
  </si>
  <si>
    <t>Hydrant markers as per requirements (Refer MRWA-W-300 &amp; 301)</t>
  </si>
  <si>
    <t>Valves (Refer MRWA-W-302)</t>
  </si>
  <si>
    <t>Washout/Scour assembly (Refer MRWA-W-109)</t>
  </si>
  <si>
    <t>100mm (Refer MRWA-W-205A)</t>
  </si>
  <si>
    <t>150mm (Refer MRWA-W-205A)</t>
  </si>
  <si>
    <t>Chlorination assembly (Refer MRWA-W-308)</t>
  </si>
  <si>
    <t>Remove fitting and connect to main (Refer MRWA-W-106)</t>
  </si>
  <si>
    <t>Property service (Refer MRWA-W-111)</t>
  </si>
  <si>
    <t xml:space="preserve"> Swabbing, testing and cleansing of mains (Items include supply of all material) (Refer MRWA-W-308)</t>
  </si>
  <si>
    <t>Tee's (Refer MRWA-W-205A)</t>
  </si>
  <si>
    <t>Puddle Flange (Refer MRWA-W-205A)</t>
  </si>
  <si>
    <t>Reducer (Refer MRWA-W-205A)</t>
  </si>
  <si>
    <t>One Way (R2-2A)</t>
  </si>
  <si>
    <t>750mm x 900mm (haunched to 600mmx900mm as per EDCM 607 &amp; 608)</t>
  </si>
  <si>
    <t>900mm x 900mm (haunched to 600mmx900mm as per EDCM 607 &amp; 608)</t>
  </si>
  <si>
    <t>Side Entry Pits - B2 Kerb and Channel (EDCM 601)</t>
  </si>
  <si>
    <t>Side Entry Pits - SM2 Kerb and Channel (EDCM 603)</t>
  </si>
  <si>
    <t>Double Side Entry Pit - B2 Kerb and Channel (EDCM 602)</t>
  </si>
  <si>
    <t>Double Side Entry Pit - SM2 Kerb and Channel (EDCM 604)</t>
  </si>
  <si>
    <t>Junction Pit (EDCM605 / 606)</t>
  </si>
  <si>
    <t>600mm x 600mm</t>
  </si>
  <si>
    <t>750mm x 900mm (haunched to 600mmx900mm)</t>
  </si>
  <si>
    <t>900mm x 900mm (haunched to 600mmx900mm)</t>
  </si>
  <si>
    <t>Signs</t>
  </si>
  <si>
    <t>MDPE Pits</t>
  </si>
  <si>
    <t>Nominate Pit Numbers</t>
  </si>
  <si>
    <t>Extra over item 2.1 to 2.4 for Water Authority Specific MH Coating (Refer MRWA-S-401)</t>
  </si>
  <si>
    <t>5.5-6.0m deep</t>
  </si>
  <si>
    <t>Extra over item 5.1 for Class D covers (Refer MRWA-S-313)</t>
  </si>
  <si>
    <t>Sewer Reticulation (MRWA)</t>
  </si>
  <si>
    <t>Water Reticulation (MRWA)</t>
  </si>
  <si>
    <t>Recycled Water Reticulation (MRWA)</t>
  </si>
  <si>
    <t>Reimbursable Water (MRWA)</t>
  </si>
  <si>
    <t>Reimbursable Recycled Water (MRWA)</t>
  </si>
  <si>
    <t>Total</t>
  </si>
  <si>
    <t>Extra over items 6.1 to 6.2 for connections under retaining walls</t>
  </si>
  <si>
    <t>Sewer Reticulation (Western Water)</t>
  </si>
  <si>
    <t>Water Reticulation (Western Water)</t>
  </si>
  <si>
    <t>Recycled Water Reticulation (Western Water)</t>
  </si>
  <si>
    <t>Reimbursable Sewer (Western Water)</t>
  </si>
  <si>
    <t>Reimbursable Water (Western Water)</t>
  </si>
  <si>
    <t>Reimbursable Recycled Water (Western Water)</t>
  </si>
  <si>
    <t>Reimbursable Branch Sewer (MRWA)</t>
  </si>
  <si>
    <t>150mm x 100mm</t>
  </si>
  <si>
    <t>225mm x 150mm</t>
  </si>
  <si>
    <t>Note: Quantify Thrust block individually and specify type and size. Recycled only thrust blocks</t>
  </si>
  <si>
    <t>Note: All items to be quantified individually. Do not include miscellaneous items</t>
  </si>
  <si>
    <t xml:space="preserve">75% of completed value only to be paid until successful completion of quality testing </t>
  </si>
  <si>
    <t>Thrust blocks</t>
  </si>
  <si>
    <t>Timber and recycled plastic (NDW Only) (Refer MRWA-W-206)</t>
  </si>
  <si>
    <t xml:space="preserve">Concrete (NDW Only) (Refer MRWA-W-205A &amp; 205B) </t>
  </si>
  <si>
    <t>Hydrant markers (Refer MRWA-W-300 &amp; 301)</t>
  </si>
  <si>
    <t>Hydrants (valve-controlled) (Refer MRWA-W-304 &amp; 305)</t>
  </si>
  <si>
    <t>300mm dia. DI</t>
  </si>
  <si>
    <t>400mm dia. PE</t>
  </si>
  <si>
    <t>300mm dia. GRP</t>
  </si>
  <si>
    <t>At 300mm dia main</t>
  </si>
  <si>
    <t>Chlorination assembly (Refer MWRA-W-308)</t>
  </si>
  <si>
    <t>Scour assembly (Refer MWRA-W-307)</t>
  </si>
  <si>
    <t>Air release assembly (Refer MWRA-W-307)</t>
  </si>
  <si>
    <t xml:space="preserve">Bypass valve arrangement (including all pipework, valve and hydrant fittings as specified) (Refer MRWA-W-300 &amp; 301) </t>
  </si>
  <si>
    <t>CCTV &amp; electronic ovality profiling report as per contract (20% of Total Length of Pipe unless otherwise required) (Refer WW Suplementary Standards)</t>
  </si>
  <si>
    <t>Extra over item 6.1 for Chorination</t>
  </si>
  <si>
    <t>Extra over item 7.1 for Chorination</t>
  </si>
  <si>
    <t>Chose</t>
  </si>
  <si>
    <t>Level</t>
  </si>
  <si>
    <t>Number</t>
  </si>
  <si>
    <t/>
  </si>
  <si>
    <t>85mm depth of 20mm nom. Size Type SI class 320 asphalt</t>
  </si>
  <si>
    <t>30mm depth of 10mm nom. Size Type HP class A10E asphalt</t>
  </si>
  <si>
    <t>300mm compacted depth</t>
  </si>
  <si>
    <t>40mm nom size Class 4 F.C.R.</t>
  </si>
  <si>
    <t>180mm compacted depth</t>
  </si>
  <si>
    <t>20mm nom size Class 1 F.C.R.</t>
  </si>
  <si>
    <t>160mm compacted depth</t>
  </si>
  <si>
    <t>Mill existing pavement to a depth of 200mm, proof roll the exposed remnant pavement and reinstate with 20mm class 4 crushed rock material (sandy clay, gravelly sand, silty gravel and clayey gravel)</t>
  </si>
  <si>
    <t>20mm compacted depth</t>
  </si>
  <si>
    <t>220mm compacted depth</t>
  </si>
  <si>
    <t>Name and/or entity</t>
  </si>
  <si>
    <t>Address 1</t>
  </si>
  <si>
    <t>Melbourne  Vic  3008</t>
  </si>
  <si>
    <t>Collins Square, Tower 4, Level 20, 727 Collins St</t>
  </si>
  <si>
    <t>125mm depth concrete including bedding bike path, 3m</t>
  </si>
  <si>
    <r>
      <t xml:space="preserve">The tenderer shall adopt the estimated quantity for each item shown as a </t>
    </r>
    <r>
      <rPr>
        <u/>
        <sz val="11"/>
        <color rgb="FF0A2240"/>
        <rFont val="Inter"/>
      </rPr>
      <t>provisional quantity.</t>
    </r>
    <r>
      <rPr>
        <sz val="11"/>
        <color rgb="FF0A2240"/>
        <rFont val="Inter"/>
      </rPr>
      <t xml:space="preserve"> Payment for provisional quantities shall be valued by the actual measured quantity included in the works under contract authorised by writing by the Superintendent.</t>
    </r>
  </si>
  <si>
    <t>Strip existing topsoil and stockpile for future use (Refer to geotech report for depths)</t>
  </si>
  <si>
    <r>
      <t xml:space="preserve">Disposal of excess material offsite (or stockpile for future use) </t>
    </r>
    <r>
      <rPr>
        <b/>
        <sz val="11"/>
        <color rgb="FF0A2240"/>
        <rFont val="Inter"/>
      </rPr>
      <t>OR</t>
    </r>
    <r>
      <rPr>
        <sz val="11"/>
        <color rgb="FF0A2240"/>
        <rFont val="Inter"/>
      </rPr>
      <t xml:space="preserve"> Importation of approved material </t>
    </r>
    <r>
      <rPr>
        <b/>
        <sz val="11"/>
        <color rgb="FF0A2240"/>
        <rFont val="Inter"/>
      </rPr>
      <t>(SPECIFY)</t>
    </r>
  </si>
  <si>
    <r>
      <t>NOTE</t>
    </r>
    <r>
      <rPr>
        <sz val="11"/>
        <color rgb="FF0A2240"/>
        <rFont val="Inter"/>
      </rPr>
      <t>: All earthwork volumes are calculated from existing surface to bottom of boxing/finished surface (unless otherwise noted on drawings). All quantities are solid volumes</t>
    </r>
  </si>
  <si>
    <t>Barrier kerb and channel (B2) -  600mm</t>
  </si>
  <si>
    <t>Barrier kerb and channel (B3) - 450mm / 600mm</t>
  </si>
  <si>
    <r>
      <t xml:space="preserve">200mm thick reinforced concrete 32Mpa including 100mm CL2 crushed rock bedding </t>
    </r>
    <r>
      <rPr>
        <b/>
        <sz val="11"/>
        <color rgb="FF0A2240"/>
        <rFont val="Inter"/>
      </rPr>
      <t>(Specify)</t>
    </r>
  </si>
  <si>
    <r>
      <t xml:space="preserve">Gross Pollutant Trap (GPT) </t>
    </r>
    <r>
      <rPr>
        <b/>
        <sz val="11"/>
        <color rgb="FF0A2240"/>
        <rFont val="Inter"/>
      </rPr>
      <t>(SPECIFY)</t>
    </r>
  </si>
  <si>
    <r>
      <t>Rain Gardens</t>
    </r>
    <r>
      <rPr>
        <b/>
        <sz val="11"/>
        <color rgb="FF0A2240"/>
        <rFont val="Inter"/>
      </rPr>
      <t xml:space="preserve"> (SPECIFY)</t>
    </r>
  </si>
  <si>
    <r>
      <t xml:space="preserve">Standard paling fence </t>
    </r>
    <r>
      <rPr>
        <b/>
        <sz val="11"/>
        <color rgb="FF0A2240"/>
        <rFont val="Inter"/>
      </rPr>
      <t>(Specify Height 1.5m, 1.8m, 2.1m)</t>
    </r>
  </si>
  <si>
    <r>
      <t xml:space="preserve">Bollards </t>
    </r>
    <r>
      <rPr>
        <b/>
        <sz val="11"/>
        <color rgb="FF0A2240"/>
        <rFont val="Inter"/>
      </rPr>
      <t>(SPECIFY)</t>
    </r>
  </si>
  <si>
    <r>
      <t xml:space="preserve">Guard rail </t>
    </r>
    <r>
      <rPr>
        <b/>
        <sz val="11"/>
        <color rgb="FF0A2240"/>
        <rFont val="Inter"/>
      </rPr>
      <t>(SPECIFY)</t>
    </r>
  </si>
  <si>
    <r>
      <t xml:space="preserve">Wire rope </t>
    </r>
    <r>
      <rPr>
        <b/>
        <sz val="11"/>
        <color rgb="FF0A2240"/>
        <rFont val="Inter"/>
      </rPr>
      <t>(SPECIFY)</t>
    </r>
  </si>
  <si>
    <r>
      <t xml:space="preserve">Temporary linemarking during the maintenance period </t>
    </r>
    <r>
      <rPr>
        <b/>
        <sz val="11"/>
        <color rgb="FF0A2240"/>
        <rFont val="Inter"/>
      </rPr>
      <t>(Provisional Quantity)</t>
    </r>
  </si>
  <si>
    <r>
      <t xml:space="preserve">Temporary turn area </t>
    </r>
    <r>
      <rPr>
        <b/>
        <sz val="11"/>
        <color rgb="FF0A2240"/>
        <rFont val="Inter"/>
      </rPr>
      <t>(Provisional Quantity)</t>
    </r>
  </si>
  <si>
    <r>
      <t xml:space="preserve">Temporary Security Fencing to be maintained during the construction period </t>
    </r>
    <r>
      <rPr>
        <b/>
        <sz val="11"/>
        <color rgb="FF0A2240"/>
        <rFont val="Inter"/>
      </rPr>
      <t>(Provisional Quantity)</t>
    </r>
  </si>
  <si>
    <r>
      <t xml:space="preserve">40mm nominal size class 3 FCR </t>
    </r>
    <r>
      <rPr>
        <b/>
        <sz val="11"/>
        <color rgb="FF0A2240"/>
        <rFont val="Inter"/>
      </rPr>
      <t>(Provisional Quantity)</t>
    </r>
  </si>
  <si>
    <r>
      <t xml:space="preserve">20mm nominal size class 3, 3% cement treated FCR </t>
    </r>
    <r>
      <rPr>
        <b/>
        <sz val="11"/>
        <color rgb="FF0A2240"/>
        <rFont val="Inter"/>
      </rPr>
      <t>(Provisional Quantity)</t>
    </r>
  </si>
  <si>
    <r>
      <t xml:space="preserve">40mm nominal size class 4 FCR </t>
    </r>
    <r>
      <rPr>
        <b/>
        <sz val="11"/>
        <color rgb="FF0A2240"/>
        <rFont val="Inter"/>
      </rPr>
      <t>(Provisional Quantity)</t>
    </r>
  </si>
  <si>
    <r>
      <t xml:space="preserve">Approved sandstone </t>
    </r>
    <r>
      <rPr>
        <b/>
        <sz val="11"/>
        <color rgb="FF0A2240"/>
        <rFont val="Inter"/>
      </rPr>
      <t>(Provisional Quantity)</t>
    </r>
  </si>
  <si>
    <r>
      <t xml:space="preserve">Approved rubble </t>
    </r>
    <r>
      <rPr>
        <b/>
        <sz val="11"/>
        <color rgb="FF0A2240"/>
        <rFont val="Inter"/>
      </rPr>
      <t>(Provisional Quantity)</t>
    </r>
  </si>
  <si>
    <r>
      <t xml:space="preserve">Approved soft rock </t>
    </r>
    <r>
      <rPr>
        <b/>
        <sz val="11"/>
        <color rgb="FF0A2240"/>
        <rFont val="Inter"/>
      </rPr>
      <t>(Provisional Quantity)</t>
    </r>
  </si>
  <si>
    <r>
      <t xml:space="preserve">Using approved material from within the works site </t>
    </r>
    <r>
      <rPr>
        <b/>
        <sz val="11"/>
        <color rgb="FF0A2240"/>
        <rFont val="Inter"/>
      </rPr>
      <t>(Provisional Quantity)</t>
    </r>
  </si>
  <si>
    <r>
      <t xml:space="preserve">Recycled concrete </t>
    </r>
    <r>
      <rPr>
        <b/>
        <sz val="11"/>
        <color rgb="FF0A2240"/>
        <rFont val="Inter"/>
      </rPr>
      <t>(Provisional Quantity)</t>
    </r>
  </si>
  <si>
    <r>
      <t xml:space="preserve">Gas boring </t>
    </r>
    <r>
      <rPr>
        <b/>
        <sz val="11"/>
        <color rgb="FF0A2240"/>
        <rFont val="Inter"/>
      </rPr>
      <t>(Provisional item)</t>
    </r>
  </si>
  <si>
    <r>
      <t xml:space="preserve">Electrical trenching and standard backfill for 600mm trench width. Item to include placing of sand, slabs and tape as per authority requirements </t>
    </r>
    <r>
      <rPr>
        <b/>
        <sz val="11"/>
        <color rgb="FF0A2240"/>
        <rFont val="Inter"/>
      </rPr>
      <t>(Provisional Quantity)</t>
    </r>
  </si>
  <si>
    <r>
      <t xml:space="preserve">Extra over Item 7.3.1 for FCR Backfill for 600mm trench width </t>
    </r>
    <r>
      <rPr>
        <b/>
        <sz val="11"/>
        <color rgb="FF0A2240"/>
        <rFont val="Inter"/>
      </rPr>
      <t>(Provisional Quantity)</t>
    </r>
  </si>
  <si>
    <r>
      <t xml:space="preserve">Electrical trenching and standard backfill for each 150mm additional trench width over 600mm. Item to include placing of sand, slabs and tape as per authority requirements. </t>
    </r>
    <r>
      <rPr>
        <b/>
        <sz val="11"/>
        <color rgb="FF0A2240"/>
        <rFont val="Inter"/>
      </rPr>
      <t>(Provisional Quantity)</t>
    </r>
  </si>
  <si>
    <r>
      <t>Extra over Item 7.3.2 for FCR Backfill</t>
    </r>
    <r>
      <rPr>
        <b/>
        <sz val="11"/>
        <color rgb="FF0A2240"/>
        <rFont val="Inter"/>
      </rPr>
      <t xml:space="preserve"> </t>
    </r>
    <r>
      <rPr>
        <sz val="11"/>
        <color rgb="FF0A2240"/>
        <rFont val="Inter"/>
      </rPr>
      <t xml:space="preserve">for each additional 150mm trench width </t>
    </r>
    <r>
      <rPr>
        <b/>
        <sz val="11"/>
        <color rgb="FF0A2240"/>
        <rFont val="Inter"/>
      </rPr>
      <t>(Provisional Quantity)</t>
    </r>
  </si>
  <si>
    <r>
      <t xml:space="preserve">Comms trenching and standard backfill for 600mm trench width. Item to include placing of sand, slabs and tape as per authority requirements </t>
    </r>
    <r>
      <rPr>
        <b/>
        <sz val="11"/>
        <color rgb="FF0A2240"/>
        <rFont val="Inter"/>
      </rPr>
      <t>(Provisional Quantity)</t>
    </r>
  </si>
  <si>
    <r>
      <t xml:space="preserve">Extra over Item 7.3.3 for FCR Backfill for 600mm trench width </t>
    </r>
    <r>
      <rPr>
        <b/>
        <sz val="11"/>
        <color rgb="FF0A2240"/>
        <rFont val="Inter"/>
      </rPr>
      <t>(Provisional Quantity)</t>
    </r>
  </si>
  <si>
    <r>
      <t xml:space="preserve">Comms trenching and standard backfill for each 150mm additional trench width over 600mm. Item to include placing of sand, slabs and tape as per authority requirements. </t>
    </r>
    <r>
      <rPr>
        <b/>
        <sz val="11"/>
        <color rgb="FF0A2240"/>
        <rFont val="Inter"/>
      </rPr>
      <t>(Provisional Quantity)</t>
    </r>
  </si>
  <si>
    <r>
      <t>Extra over Item 7.3.4 for FCR Backfill</t>
    </r>
    <r>
      <rPr>
        <b/>
        <sz val="11"/>
        <color rgb="FF0A2240"/>
        <rFont val="Inter"/>
      </rPr>
      <t xml:space="preserve"> </t>
    </r>
    <r>
      <rPr>
        <sz val="11"/>
        <color rgb="FF0A2240"/>
        <rFont val="Inter"/>
      </rPr>
      <t xml:space="preserve">for each additional 150mm trench width </t>
    </r>
    <r>
      <rPr>
        <b/>
        <sz val="11"/>
        <color rgb="FF0A2240"/>
        <rFont val="Inter"/>
      </rPr>
      <t>(Provisional Quantity)</t>
    </r>
  </si>
  <si>
    <r>
      <t xml:space="preserve">32mm diameter conduit </t>
    </r>
    <r>
      <rPr>
        <b/>
        <sz val="11"/>
        <color rgb="FF0A2240"/>
        <rFont val="Inter"/>
      </rPr>
      <t>(Provisional Quantity)</t>
    </r>
  </si>
  <si>
    <r>
      <t xml:space="preserve">63mm diameter conduit </t>
    </r>
    <r>
      <rPr>
        <b/>
        <sz val="11"/>
        <color rgb="FF0A2240"/>
        <rFont val="Inter"/>
      </rPr>
      <t>(Provisional Quantity)</t>
    </r>
  </si>
  <si>
    <r>
      <t xml:space="preserve">100mm diameter conduit </t>
    </r>
    <r>
      <rPr>
        <b/>
        <sz val="11"/>
        <color rgb="FF0A2240"/>
        <rFont val="Inter"/>
      </rPr>
      <t>(Provisional Quantity)</t>
    </r>
  </si>
  <si>
    <r>
      <t>125mm diameter conduit</t>
    </r>
    <r>
      <rPr>
        <b/>
        <sz val="11"/>
        <color rgb="FF0A2240"/>
        <rFont val="Inter"/>
      </rPr>
      <t xml:space="preserve"> (Provisional Quantity)</t>
    </r>
  </si>
  <si>
    <r>
      <t>150mm diameter conduit</t>
    </r>
    <r>
      <rPr>
        <b/>
        <sz val="11"/>
        <color rgb="FF0A2240"/>
        <rFont val="Inter"/>
      </rPr>
      <t xml:space="preserve"> (Provisional Quantity)</t>
    </r>
  </si>
  <si>
    <r>
      <t>20mm lead-ins</t>
    </r>
    <r>
      <rPr>
        <b/>
        <sz val="11"/>
        <color rgb="FF0A2240"/>
        <rFont val="Inter"/>
      </rPr>
      <t xml:space="preserve"> (Provisional Quantity)</t>
    </r>
  </si>
  <si>
    <r>
      <t xml:space="preserve">50mm diameter conduit </t>
    </r>
    <r>
      <rPr>
        <b/>
        <sz val="11"/>
        <color rgb="FF0A2240"/>
        <rFont val="Inter"/>
      </rPr>
      <t>(Provisional Quantity)</t>
    </r>
  </si>
  <si>
    <r>
      <t xml:space="preserve">Install Electrical Distribution Pits inclusive of lead-ins to allotments </t>
    </r>
    <r>
      <rPr>
        <b/>
        <sz val="11"/>
        <color rgb="FF0A2240"/>
        <rFont val="Inter"/>
      </rPr>
      <t>(Provisional Quantity)</t>
    </r>
  </si>
  <si>
    <r>
      <t xml:space="preserve">Comms lead-ins to allotments </t>
    </r>
    <r>
      <rPr>
        <b/>
        <sz val="11"/>
        <color rgb="FF0A2240"/>
        <rFont val="Inter"/>
      </rPr>
      <t>(Provisional Quantity)</t>
    </r>
  </si>
  <si>
    <r>
      <t xml:space="preserve">Substation Site including conrete and subbase as per electricalm authorities requirements </t>
    </r>
    <r>
      <rPr>
        <b/>
        <sz val="11"/>
        <color rgb="FF0A2240"/>
        <rFont val="Inter"/>
      </rPr>
      <t>(Provisional Quantity)</t>
    </r>
  </si>
  <si>
    <r>
      <t xml:space="preserve">P2 Pits </t>
    </r>
    <r>
      <rPr>
        <b/>
        <sz val="11"/>
        <color rgb="FF0A2240"/>
        <rFont val="Inter"/>
      </rPr>
      <t>(Provisional Quantity)</t>
    </r>
  </si>
  <si>
    <r>
      <t xml:space="preserve">P5 Pits </t>
    </r>
    <r>
      <rPr>
        <b/>
        <sz val="11"/>
        <color rgb="FF0A2240"/>
        <rFont val="Inter"/>
      </rPr>
      <t>(Provisional Quantity)</t>
    </r>
  </si>
  <si>
    <r>
      <t xml:space="preserve">P6 Pits </t>
    </r>
    <r>
      <rPr>
        <b/>
        <sz val="11"/>
        <color rgb="FF0A2240"/>
        <rFont val="Inter"/>
      </rPr>
      <t>(Provisional Quantity)</t>
    </r>
  </si>
  <si>
    <r>
      <t xml:space="preserve">P8 Pits </t>
    </r>
    <r>
      <rPr>
        <b/>
        <sz val="11"/>
        <color rgb="FF0A2240"/>
        <rFont val="Inter"/>
      </rPr>
      <t>(Provisional Quantity)</t>
    </r>
  </si>
  <si>
    <t xml:space="preserve">[Insert Rd Name] </t>
  </si>
  <si>
    <r>
      <rPr>
        <b/>
        <sz val="11"/>
        <color rgb="FF0A2240"/>
        <rFont val="Inter"/>
      </rPr>
      <t>PVC / PP / PE - SPECIFY</t>
    </r>
    <r>
      <rPr>
        <sz val="11"/>
        <color rgb="FF0A2240"/>
        <rFont val="Inter"/>
      </rPr>
      <t xml:space="preserve">  including Type A embedment (MRWA-S-202) and backfill in accordance with </t>
    </r>
    <r>
      <rPr>
        <b/>
        <sz val="11"/>
        <color rgb="FF0A2240"/>
        <rFont val="Inter"/>
      </rPr>
      <t>MRWA 04-03.1 (SEW &amp;YVW)/ MRWA 04-03.2 (CWW)</t>
    </r>
    <r>
      <rPr>
        <sz val="11"/>
        <color rgb="FF0A2240"/>
        <rFont val="Inter"/>
      </rPr>
      <t xml:space="preserve"> (MRWA-S-201)</t>
    </r>
  </si>
  <si>
    <r>
      <t xml:space="preserve">Extra over for Type A embedment including geofabric cover (No Wrapping) </t>
    </r>
    <r>
      <rPr>
        <b/>
        <sz val="11"/>
        <color rgb="FF0A2240"/>
        <rFont val="Inter"/>
      </rPr>
      <t>(Provisional Quantity)</t>
    </r>
  </si>
  <si>
    <r>
      <t xml:space="preserve">Extra over for Type A embedment including geofabric wrap </t>
    </r>
    <r>
      <rPr>
        <b/>
        <sz val="11"/>
        <color rgb="FF0A2240"/>
        <rFont val="Inter"/>
      </rPr>
      <t>(Provisional Quantity)</t>
    </r>
  </si>
  <si>
    <r>
      <t xml:space="preserve">Extra over for Type A embedment including geofabric wrap, additional depth of excavation, support and agi drains </t>
    </r>
    <r>
      <rPr>
        <b/>
        <sz val="11"/>
        <color rgb="FF0A2240"/>
        <rFont val="Inter"/>
      </rPr>
      <t>(Provisional Quantity)</t>
    </r>
  </si>
  <si>
    <r>
      <t xml:space="preserve">Extra over for trenchstop for </t>
    </r>
    <r>
      <rPr>
        <b/>
        <sz val="11"/>
        <color rgb="FF0A2240"/>
        <rFont val="Inter"/>
      </rPr>
      <t>XXXmm dia sewer</t>
    </r>
  </si>
  <si>
    <r>
      <t xml:space="preserve">Extra over for concrete bulkhead for </t>
    </r>
    <r>
      <rPr>
        <b/>
        <sz val="11"/>
        <color rgb="FF0A2240"/>
        <rFont val="Inter"/>
      </rPr>
      <t>XXXmm dia sewer</t>
    </r>
  </si>
  <si>
    <r>
      <t>Maintenance holes including CRB</t>
    </r>
    <r>
      <rPr>
        <sz val="11"/>
        <color rgb="FF0A2240"/>
        <rFont val="Inter"/>
      </rPr>
      <t xml:space="preserve"> in accordance with MRWA 04-03.1 (SEW &amp;YVW)/ MRWA 04-03.2 (CWW) (MRWA-S-309)</t>
    </r>
  </si>
  <si>
    <r>
      <t xml:space="preserve">Maintenance chambers </t>
    </r>
    <r>
      <rPr>
        <sz val="11"/>
        <color rgb="FF0A2240"/>
        <rFont val="Inter"/>
      </rPr>
      <t xml:space="preserve"> including CRB in accordance with MRWA 04-03.1 (SEW &amp;YVW)/ MRWA 04-03.2 (CWW) (MRWA-S-306)</t>
    </r>
  </si>
  <si>
    <r>
      <t xml:space="preserve">Maintenance shafts </t>
    </r>
    <r>
      <rPr>
        <sz val="11"/>
        <color rgb="FF0A2240"/>
        <rFont val="Inter"/>
      </rPr>
      <t xml:space="preserve">  including CRB in accordance with MRWA 04-03.1 (SEW &amp;YVW)/ MRWA 04-03.2 (CWW) (MRWA-S-305)</t>
    </r>
  </si>
  <si>
    <r>
      <t xml:space="preserve">Inspection shafts </t>
    </r>
    <r>
      <rPr>
        <sz val="11"/>
        <color rgb="FF0A2240"/>
        <rFont val="Inter"/>
      </rPr>
      <t>including CRB in accordance with MRWA 04-03.1 (SEW &amp;YVW)/ MRWA 04-03.2 (CWW) (MRWA-S-201)</t>
    </r>
  </si>
  <si>
    <r>
      <t xml:space="preserve">Water seal </t>
    </r>
    <r>
      <rPr>
        <sz val="11"/>
        <color rgb="FF0A2240"/>
        <rFont val="Inter"/>
      </rPr>
      <t>including CRB in accordance with MRWA 04-03.1 (SEW &amp;YVW)/ MRWA 04-03.2 (CWW) (MRWA-S-403)</t>
    </r>
  </si>
  <si>
    <t>100mm dia.  including CRB in accordance with MRWA 04-03.1 (SEW &amp;YVW)/ MRWA 04-03.2 (CWW) (Refer MRWA-S-301 to 304)</t>
  </si>
  <si>
    <t>150mm dia. including CRB in accordance with MRWA 04-03.1 (SEW &amp;YVW)/ MRWA 04-03.2 (CWW) (Refer MRWA-S-301 to 304)</t>
  </si>
  <si>
    <r>
      <t xml:space="preserve">Groundwater management - (pumps, discharge point etc) (Total Length of Pipe)  </t>
    </r>
    <r>
      <rPr>
        <b/>
        <sz val="11"/>
        <color rgb="FF0A2240"/>
        <rFont val="Inter"/>
      </rPr>
      <t>(Provisional Quantity)</t>
    </r>
  </si>
  <si>
    <r>
      <t xml:space="preserve">Quality testing of works including certification at start and end of DLP. Inclusive of testing to meet requirements of </t>
    </r>
    <r>
      <rPr>
        <b/>
        <sz val="11"/>
        <color rgb="FF0A2240"/>
        <rFont val="Inter"/>
      </rPr>
      <t>MRWA 04-03.1 (SEW &amp;YVW)/ MRWA 04-03.2 (CWW) (Refer to Backfill Spec)</t>
    </r>
  </si>
  <si>
    <r>
      <rPr>
        <b/>
        <sz val="11"/>
        <color rgb="FF0A2240"/>
        <rFont val="Inter"/>
      </rPr>
      <t xml:space="preserve">PVC / VC / GRP  including Type 3 support and </t>
    </r>
    <r>
      <rPr>
        <sz val="11"/>
        <color rgb="FF0A2240"/>
        <rFont val="Inter"/>
      </rPr>
      <t>backfill in accordance with WW Supplementary Standards</t>
    </r>
  </si>
  <si>
    <r>
      <t xml:space="preserve">Extra over item 1.1 for </t>
    </r>
    <r>
      <rPr>
        <b/>
        <sz val="11"/>
        <color rgb="FF0A2240"/>
        <rFont val="Inter"/>
      </rPr>
      <t>Type XX</t>
    </r>
    <r>
      <rPr>
        <sz val="11"/>
        <color rgb="FF0A2240"/>
        <rFont val="Inter"/>
      </rPr>
      <t xml:space="preserve"> bedding (Refer SEW-1202 to 1205)</t>
    </r>
  </si>
  <si>
    <r>
      <rPr>
        <b/>
        <sz val="11"/>
        <color rgb="FF0A2240"/>
        <rFont val="Inter"/>
      </rPr>
      <t>Maintenance holes</t>
    </r>
    <r>
      <rPr>
        <sz val="11"/>
        <color rgb="FF0A2240"/>
        <rFont val="Inter"/>
      </rPr>
      <t xml:space="preserve"> (including CRB as per MRWA 04-03.1)</t>
    </r>
  </si>
  <si>
    <r>
      <t xml:space="preserve">Gas check maintenance holes  </t>
    </r>
    <r>
      <rPr>
        <sz val="11"/>
        <color rgb="FF0A2240"/>
        <rFont val="Inter"/>
      </rPr>
      <t>(including CRB, Refer SEW-1411)</t>
    </r>
  </si>
  <si>
    <r>
      <t xml:space="preserve">Terminal maintenance shafts </t>
    </r>
    <r>
      <rPr>
        <sz val="11"/>
        <color rgb="FF0A2240"/>
        <rFont val="Inter"/>
      </rPr>
      <t>(Refer SEW-1316-M and WW Supplementary Standards)</t>
    </r>
  </si>
  <si>
    <r>
      <t xml:space="preserve">Inspection shafts </t>
    </r>
    <r>
      <rPr>
        <sz val="11"/>
        <color rgb="FF0A2240"/>
        <rFont val="Inter"/>
      </rPr>
      <t>(Refer SEW-1351-M and WW Supplementary Standards)</t>
    </r>
  </si>
  <si>
    <r>
      <t xml:space="preserve">Water seals </t>
    </r>
    <r>
      <rPr>
        <sz val="11"/>
        <color rgb="FF0A2240"/>
        <rFont val="Inter"/>
      </rPr>
      <t>(including CRB as per SEW-1409-V)</t>
    </r>
  </si>
  <si>
    <r>
      <t xml:space="preserve">Asset recording to be undertaken by </t>
    </r>
    <r>
      <rPr>
        <b/>
        <sz val="11"/>
        <color rgb="FF0A2240"/>
        <rFont val="Inter"/>
      </rPr>
      <t xml:space="preserve">Western Water/ or the Principal's Surveyor SMEC </t>
    </r>
  </si>
  <si>
    <t>Gas check maintenance holes  including CRB in accordance with MRWA 04-03.1 (SEW &amp;YVW)/ MRWA 04-03.2 (CWW) (MRWA-S-309)</t>
  </si>
  <si>
    <r>
      <t xml:space="preserve">GRP Bends </t>
    </r>
    <r>
      <rPr>
        <b/>
        <sz val="11"/>
        <color rgb="FF0A2240"/>
        <rFont val="Inter"/>
      </rPr>
      <t>- SPECIFY ANGLE (Refer MRWA-S-104B)</t>
    </r>
  </si>
  <si>
    <r>
      <t xml:space="preserve">Quality testing of works including certification at start and end of DLP. Inclusive of testing to meet requirements of </t>
    </r>
    <r>
      <rPr>
        <b/>
        <sz val="11"/>
        <color rgb="FF0A2240"/>
        <rFont val="Inter"/>
      </rPr>
      <t>MRWA 04-03.1/ MRWA 04-03.2</t>
    </r>
    <r>
      <rPr>
        <sz val="11"/>
        <color rgb="FF0A2240"/>
        <rFont val="Inter"/>
      </rPr>
      <t xml:space="preserve">  Backfill Specification.</t>
    </r>
  </si>
  <si>
    <t>Bends 11.25° x XXXmm (Refer MRWA-W-205A)</t>
  </si>
  <si>
    <t>Bends 22.5° x XXXmm (Refer MRWA-W-205A)</t>
  </si>
  <si>
    <t>Bends 45° x XXXmm (Refer MRWA-W-205A)</t>
  </si>
  <si>
    <t>Bends 90° x XXXmm (Refer MRWA-W-205A)</t>
  </si>
  <si>
    <t>Watermains (including embedment and backfill in accordance with MRWA 04-03.1 (SEW &amp;YVW)/ MRWA 04-03.2 (CWW)) including widening/backfill for gas mains (Refer MRWA-W-103)</t>
  </si>
  <si>
    <r>
      <t xml:space="preserve">Fittings </t>
    </r>
    <r>
      <rPr>
        <sz val="11"/>
        <color rgb="FF0A2240"/>
        <rFont val="Inter"/>
      </rPr>
      <t>(including  backfill in accordance with MRWA 04-03.1 (SEW &amp;YVW)/ MRWA 04-03.2 (CWW))</t>
    </r>
  </si>
  <si>
    <r>
      <t xml:space="preserve">Concrete </t>
    </r>
    <r>
      <rPr>
        <b/>
        <sz val="11"/>
        <color rgb="FF0A2240"/>
        <rFont val="Inter"/>
      </rPr>
      <t>(Dual Main or Solo Main Requirement)</t>
    </r>
    <r>
      <rPr>
        <sz val="11"/>
        <color rgb="FF0A2240"/>
        <rFont val="Inter"/>
      </rPr>
      <t xml:space="preserve"> (Refer MRWA-W-205A &amp; 205B)</t>
    </r>
  </si>
  <si>
    <r>
      <t xml:space="preserve">A - </t>
    </r>
    <r>
      <rPr>
        <b/>
        <sz val="11"/>
        <color rgb="FF0A2240"/>
        <rFont val="Inter"/>
      </rPr>
      <t>TYPE - SIZE</t>
    </r>
  </si>
  <si>
    <r>
      <t xml:space="preserve">B - </t>
    </r>
    <r>
      <rPr>
        <b/>
        <sz val="11"/>
        <color rgb="FF0A2240"/>
        <rFont val="Inter"/>
      </rPr>
      <t>TYPE - SIZE</t>
    </r>
  </si>
  <si>
    <r>
      <t xml:space="preserve">C - </t>
    </r>
    <r>
      <rPr>
        <b/>
        <sz val="11"/>
        <color rgb="FF0A2240"/>
        <rFont val="Inter"/>
      </rPr>
      <t>TYPE - SIZE</t>
    </r>
  </si>
  <si>
    <r>
      <t xml:space="preserve">Timber and recycled plastic </t>
    </r>
    <r>
      <rPr>
        <b/>
        <sz val="11"/>
        <color rgb="FF0A2240"/>
        <rFont val="Inter"/>
      </rPr>
      <t>(Dual Main or Solo Main Requirement)</t>
    </r>
    <r>
      <rPr>
        <sz val="11"/>
        <color rgb="FF0A2240"/>
        <rFont val="Inter"/>
      </rPr>
      <t xml:space="preserve"> (Refer MRWA-W-206)</t>
    </r>
  </si>
  <si>
    <r>
      <t xml:space="preserve">Thrust blocks 
</t>
    </r>
    <r>
      <rPr>
        <sz val="11"/>
        <color rgb="FF0A2240"/>
        <rFont val="Inter"/>
      </rPr>
      <t>All dual main thrust blocks are quantified and tendered as part of DW costings</t>
    </r>
  </si>
  <si>
    <r>
      <t xml:space="preserve">Watermains </t>
    </r>
    <r>
      <rPr>
        <sz val="11"/>
        <color rgb="FF0A2240"/>
        <rFont val="Inter"/>
      </rPr>
      <t xml:space="preserve">(including embedment and backfill in accordance with </t>
    </r>
    <r>
      <rPr>
        <b/>
        <sz val="11"/>
        <color rgb="FF0A2240"/>
        <rFont val="Inter"/>
      </rPr>
      <t>MRWA 04-03.1/ MRWA 04-03.2</t>
    </r>
    <r>
      <rPr>
        <sz val="11"/>
        <color rgb="FF0A2240"/>
        <rFont val="Inter"/>
      </rPr>
      <t>) (Refer MRWA-W-103)</t>
    </r>
  </si>
  <si>
    <r>
      <t xml:space="preserve">Fittings </t>
    </r>
    <r>
      <rPr>
        <sz val="11"/>
        <color rgb="FF0A2240"/>
        <rFont val="Inter"/>
      </rPr>
      <t xml:space="preserve">(including CRB  as per </t>
    </r>
    <r>
      <rPr>
        <b/>
        <sz val="11"/>
        <color rgb="FF0A2240"/>
        <rFont val="Inter"/>
      </rPr>
      <t>MRWA 04-03.1/ MRWA 04-03.2</t>
    </r>
    <r>
      <rPr>
        <sz val="11"/>
        <color rgb="FF0A2240"/>
        <rFont val="Inter"/>
      </rPr>
      <t>)</t>
    </r>
  </si>
  <si>
    <r>
      <t xml:space="preserve">300mm </t>
    </r>
    <r>
      <rPr>
        <b/>
        <sz val="11"/>
        <color rgb="FF0A2240"/>
        <rFont val="Inter"/>
      </rPr>
      <t>- INLINE / OFFSET</t>
    </r>
  </si>
  <si>
    <r>
      <t xml:space="preserve">375mm </t>
    </r>
    <r>
      <rPr>
        <b/>
        <sz val="11"/>
        <color rgb="FF0A2240"/>
        <rFont val="Inter"/>
      </rPr>
      <t>- INLINE / OFFSET</t>
    </r>
  </si>
  <si>
    <r>
      <t xml:space="preserve">450mm </t>
    </r>
    <r>
      <rPr>
        <b/>
        <sz val="11"/>
        <color rgb="FF0A2240"/>
        <rFont val="Inter"/>
      </rPr>
      <t>- INLINE / OFFSET</t>
    </r>
  </si>
  <si>
    <r>
      <t xml:space="preserve">600mm </t>
    </r>
    <r>
      <rPr>
        <b/>
        <sz val="11"/>
        <color rgb="FF0A2240"/>
        <rFont val="Inter"/>
      </rPr>
      <t>- INLINE / OFFSET</t>
    </r>
  </si>
  <si>
    <r>
      <t xml:space="preserve">Remove fitting and connect to existing </t>
    </r>
    <r>
      <rPr>
        <b/>
        <sz val="11"/>
        <color rgb="FF0A2240"/>
        <rFont val="Inter"/>
      </rPr>
      <t>XXX dia.</t>
    </r>
    <r>
      <rPr>
        <sz val="11"/>
        <color rgb="FF0A2240"/>
        <rFont val="Inter"/>
      </rPr>
      <t xml:space="preserve"> Main (Refer MRWA-W-106)</t>
    </r>
  </si>
  <si>
    <t>Security (Provisional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</si>
</sst>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quot;$&quot;#,##0.00"/>
    <numFmt numFmtId="165" formatCode="_-&quot;$&quot;* #,##0.00_-;\-&quot;$&quot;* #,##0.00_-;_-&quot;$&quot;* &quot;-&quot;??_-;_-@_-"/>
    <numFmt numFmtId="166" formatCode="&quot;$&quot;#,##0.00"/>
  </numFmts>
  <fonts count="16">
    <font>
      <sz val="10"/>
      <name val="Arial"/>
    </font>
    <font>
      <sz val="10"/>
      <name val="Arial"/>
      <family val="2"/>
    </font>
    <font>
      <sz val="9"/>
      <color indexed="81"/>
      <name val="Tahoma"/>
      <family val="2"/>
    </font>
    <font>
      <b/>
      <sz val="9"/>
      <color indexed="81"/>
      <name val="Tahoma"/>
      <family val="2"/>
    </font>
    <font>
      <b/>
      <sz val="12"/>
      <color rgb="FF0A2240"/>
      <name val="Inter"/>
    </font>
    <font>
      <sz val="10"/>
      <color rgb="FF0A2240"/>
      <name val="Inter"/>
    </font>
    <font>
      <b/>
      <sz val="11"/>
      <color rgb="FF0A2240"/>
      <name val="Inter"/>
    </font>
    <font>
      <sz val="11"/>
      <color rgb="FF0A2240"/>
      <name val="Inter"/>
    </font>
    <font>
      <b/>
      <sz val="10"/>
      <color rgb="FF0A2240"/>
      <name val="Inter"/>
    </font>
    <font>
      <sz val="12"/>
      <color rgb="FF0A2240"/>
      <name val="Inter"/>
    </font>
    <font>
      <sz val="8"/>
      <color rgb="FF0A2240"/>
      <name val="Inter"/>
    </font>
    <font>
      <b/>
      <sz val="11"/>
      <color rgb="FFFF0000"/>
      <name val="Inter"/>
    </font>
    <font>
      <i/>
      <sz val="10"/>
      <color rgb="FF0A2240"/>
      <name val="Inter"/>
    </font>
    <font>
      <b/>
      <i/>
      <sz val="11"/>
      <color rgb="FF0A2240"/>
      <name val="Inter"/>
    </font>
    <font>
      <u/>
      <sz val="11"/>
      <color rgb="FF0A2240"/>
      <name val="Inter"/>
    </font>
    <font>
      <i/>
      <sz val="11"/>
      <color rgb="FF0A2240"/>
      <name val="Inter"/>
    </font>
  </fonts>
  <fills count="2">
    <fill>
      <patternFill patternType="none"/>
    </fill>
    <fill>
      <patternFill patternType="gray125"/>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medium">
        <color indexed="64"/>
      </bottom>
      <diagonal/>
    </border>
    <border>
      <left/>
      <right/>
      <top/>
      <bottom style="hair">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style="thin">
        <color indexed="64"/>
      </top>
      <bottom style="thin">
        <color indexed="64"/>
      </bottom>
      <diagonal/>
    </border>
  </borders>
  <cellStyleXfs count="3">
    <xf numFmtId="0" fontId="0" fillId="0" borderId="0"/>
    <xf numFmtId="165" fontId="1" fillId="0" borderId="0" applyFont="0" applyFill="0" applyBorder="0" applyAlignment="0" applyProtection="0"/>
    <xf numFmtId="0" fontId="1" fillId="0" borderId="0"/>
  </cellStyleXfs>
  <cellXfs count="111">
    <xf numFmtId="0" fontId="0" fillId="0" borderId="0" xfId="0"/>
    <xf numFmtId="0" fontId="4" fillId="0" borderId="0" xfId="0" applyFont="1" applyAlignment="1">
      <alignment horizontal="left" vertical="top"/>
    </xf>
    <xf numFmtId="0" fontId="4" fillId="0" borderId="0" xfId="0" applyFont="1" applyAlignment="1">
      <alignment horizontal="center" vertical="top"/>
    </xf>
    <xf numFmtId="0" fontId="5" fillId="0" borderId="0" xfId="0" applyFont="1"/>
    <xf numFmtId="0" fontId="4" fillId="0" borderId="0" xfId="0" quotePrefix="1" applyFont="1" applyAlignment="1">
      <alignment horizontal="left" vertical="top"/>
    </xf>
    <xf numFmtId="0" fontId="6" fillId="0" borderId="0" xfId="0" applyFont="1" applyAlignment="1">
      <alignment horizontal="left" vertical="top"/>
    </xf>
    <xf numFmtId="0" fontId="7" fillId="0" borderId="0" xfId="0" applyFont="1" applyAlignment="1">
      <alignment horizontal="left" vertical="top"/>
    </xf>
    <xf numFmtId="3" fontId="8" fillId="0" borderId="1" xfId="0" applyNumberFormat="1" applyFont="1" applyBorder="1" applyAlignment="1">
      <alignment vertical="top"/>
    </xf>
    <xf numFmtId="15" fontId="8" fillId="0" borderId="1" xfId="0" applyNumberFormat="1" applyFont="1" applyBorder="1" applyAlignment="1">
      <alignment horizontal="center" vertical="top"/>
    </xf>
    <xf numFmtId="166" fontId="5" fillId="0" borderId="0" xfId="0" applyNumberFormat="1" applyFont="1" applyAlignment="1">
      <alignment horizontal="right" vertical="top"/>
    </xf>
    <xf numFmtId="3" fontId="5" fillId="0" borderId="1" xfId="0" applyNumberFormat="1" applyFont="1" applyBorder="1" applyAlignment="1">
      <alignment vertical="top"/>
    </xf>
    <xf numFmtId="15" fontId="5" fillId="0" borderId="1" xfId="0" applyNumberFormat="1" applyFont="1" applyBorder="1" applyAlignment="1">
      <alignment horizontal="center" vertical="top"/>
    </xf>
    <xf numFmtId="0" fontId="5" fillId="0" borderId="0" xfId="0" applyFont="1" applyAlignment="1">
      <alignment horizontal="left" vertical="top"/>
    </xf>
    <xf numFmtId="3" fontId="5" fillId="0" borderId="0" xfId="0" applyNumberFormat="1" applyFont="1" applyAlignment="1">
      <alignment vertical="top"/>
    </xf>
    <xf numFmtId="15" fontId="5" fillId="0" borderId="0" xfId="0" applyNumberFormat="1" applyFont="1" applyAlignment="1">
      <alignment horizontal="center" vertical="top"/>
    </xf>
    <xf numFmtId="0" fontId="5" fillId="0" borderId="0" xfId="0" applyFont="1" applyAlignment="1">
      <alignment vertical="top"/>
    </xf>
    <xf numFmtId="0" fontId="8" fillId="0" borderId="1" xfId="0" applyFont="1" applyBorder="1" applyAlignment="1">
      <alignment vertical="top"/>
    </xf>
    <xf numFmtId="0" fontId="8" fillId="0" borderId="1" xfId="0" applyFont="1" applyBorder="1" applyAlignment="1">
      <alignment horizontal="center" vertical="top"/>
    </xf>
    <xf numFmtId="3" fontId="8" fillId="0" borderId="1" xfId="0" applyNumberFormat="1" applyFont="1" applyBorder="1" applyAlignment="1">
      <alignment horizontal="left" vertical="top"/>
    </xf>
    <xf numFmtId="0" fontId="8" fillId="0" borderId="0" xfId="0" applyFont="1" applyAlignment="1">
      <alignment vertical="top"/>
    </xf>
    <xf numFmtId="166" fontId="8" fillId="0" borderId="0" xfId="0" applyNumberFormat="1" applyFont="1" applyAlignment="1">
      <alignment horizontal="right" vertical="top"/>
    </xf>
    <xf numFmtId="0" fontId="8" fillId="0" borderId="0" xfId="0" applyFont="1"/>
    <xf numFmtId="0" fontId="5" fillId="0" borderId="1" xfId="0" applyFont="1" applyBorder="1" applyAlignment="1">
      <alignment vertical="top"/>
    </xf>
    <xf numFmtId="0" fontId="5" fillId="0" borderId="1" xfId="0" applyFont="1" applyBorder="1" applyAlignment="1">
      <alignment horizontal="center" vertical="top"/>
    </xf>
    <xf numFmtId="3" fontId="5" fillId="0" borderId="1" xfId="0" applyNumberFormat="1" applyFont="1" applyBorder="1" applyAlignment="1">
      <alignment horizontal="left" vertical="top"/>
    </xf>
    <xf numFmtId="0" fontId="5" fillId="0" borderId="0" xfId="0" applyFont="1" applyAlignment="1">
      <alignment horizontal="center" vertical="top"/>
    </xf>
    <xf numFmtId="3" fontId="5" fillId="0" borderId="0" xfId="0" applyNumberFormat="1" applyFont="1" applyAlignment="1">
      <alignment horizontal="center" vertical="top"/>
    </xf>
    <xf numFmtId="0" fontId="9" fillId="0" borderId="0" xfId="0" applyFont="1"/>
    <xf numFmtId="0" fontId="4" fillId="0" borderId="3" xfId="0" applyFont="1" applyBorder="1"/>
    <xf numFmtId="0" fontId="9" fillId="0" borderId="3" xfId="0" applyFont="1" applyBorder="1"/>
    <xf numFmtId="0" fontId="7" fillId="0" borderId="0" xfId="0" applyFont="1" applyAlignment="1">
      <alignment vertical="top"/>
    </xf>
    <xf numFmtId="0" fontId="7" fillId="0" borderId="4" xfId="0" quotePrefix="1" applyFont="1" applyBorder="1" applyAlignment="1">
      <alignment horizontal="left" vertical="top"/>
    </xf>
    <xf numFmtId="0" fontId="7" fillId="0" borderId="0" xfId="0" applyFont="1" applyAlignment="1">
      <alignment horizontal="center" vertical="top"/>
    </xf>
    <xf numFmtId="1" fontId="7" fillId="0" borderId="0" xfId="0" applyNumberFormat="1" applyFont="1" applyAlignment="1">
      <alignment vertical="top"/>
    </xf>
    <xf numFmtId="0" fontId="7" fillId="0" borderId="0" xfId="0" quotePrefix="1" applyFont="1" applyAlignment="1">
      <alignment horizontal="left" vertical="top"/>
    </xf>
    <xf numFmtId="0" fontId="11" fillId="0" borderId="0" xfId="0" applyFont="1"/>
    <xf numFmtId="0" fontId="12" fillId="0" borderId="0" xfId="0" applyFont="1" applyAlignment="1">
      <alignment vertical="top"/>
    </xf>
    <xf numFmtId="0" fontId="13" fillId="0" borderId="0" xfId="0" applyFont="1" applyAlignment="1">
      <alignment vertical="top"/>
    </xf>
    <xf numFmtId="3" fontId="7" fillId="0" borderId="0" xfId="0" applyNumberFormat="1" applyFont="1" applyAlignment="1">
      <alignment horizontal="center"/>
    </xf>
    <xf numFmtId="0" fontId="7" fillId="0" borderId="0" xfId="0" applyFont="1" applyAlignment="1">
      <alignment horizontal="center"/>
    </xf>
    <xf numFmtId="166" fontId="7" fillId="0" borderId="0" xfId="0" applyNumberFormat="1" applyFont="1" applyAlignment="1">
      <alignment horizontal="right"/>
    </xf>
    <xf numFmtId="0" fontId="6" fillId="0" borderId="0" xfId="0" applyFont="1"/>
    <xf numFmtId="2" fontId="7" fillId="0" borderId="0" xfId="0" applyNumberFormat="1" applyFont="1" applyAlignment="1">
      <alignment horizontal="left" vertical="top" wrapText="1"/>
    </xf>
    <xf numFmtId="0" fontId="15" fillId="0" borderId="0" xfId="0" applyFont="1" applyAlignment="1">
      <alignment horizontal="center" vertical="top"/>
    </xf>
    <xf numFmtId="0" fontId="5" fillId="0" borderId="0" xfId="0" applyFont="1" applyAlignment="1">
      <alignment horizontal="centerContinuous" vertical="top" wrapText="1"/>
    </xf>
    <xf numFmtId="3" fontId="5" fillId="0" borderId="0" xfId="0" applyNumberFormat="1" applyFont="1" applyAlignment="1">
      <alignment horizontal="center" vertical="top" wrapText="1"/>
    </xf>
    <xf numFmtId="0" fontId="6" fillId="0" borderId="1" xfId="0" applyFont="1" applyBorder="1" applyAlignment="1">
      <alignment horizontal="center" vertical="top"/>
    </xf>
    <xf numFmtId="0" fontId="6" fillId="0" borderId="1" xfId="0" applyFont="1" applyBorder="1" applyAlignment="1">
      <alignment vertical="top"/>
    </xf>
    <xf numFmtId="3" fontId="6" fillId="0" borderId="1" xfId="0" applyNumberFormat="1" applyFont="1" applyBorder="1" applyAlignment="1">
      <alignment horizontal="center" vertical="top"/>
    </xf>
    <xf numFmtId="166" fontId="6" fillId="0" borderId="1" xfId="0" applyNumberFormat="1" applyFont="1" applyBorder="1" applyAlignment="1">
      <alignment horizontal="center" vertical="top"/>
    </xf>
    <xf numFmtId="0" fontId="15" fillId="0" borderId="0" xfId="0" applyFont="1" applyAlignment="1">
      <alignment vertical="top"/>
    </xf>
    <xf numFmtId="0" fontId="7" fillId="0" borderId="1" xfId="0" applyFont="1" applyBorder="1" applyAlignment="1">
      <alignment horizontal="center" vertical="top"/>
    </xf>
    <xf numFmtId="0" fontId="6" fillId="0" borderId="1" xfId="0" applyFont="1" applyBorder="1" applyAlignment="1">
      <alignment vertical="top" wrapText="1"/>
    </xf>
    <xf numFmtId="166" fontId="6" fillId="0" borderId="1" xfId="0" applyNumberFormat="1" applyFont="1" applyBorder="1" applyAlignment="1">
      <alignment horizontal="right" vertical="top"/>
    </xf>
    <xf numFmtId="0" fontId="7" fillId="0" borderId="1" xfId="0" applyFont="1" applyBorder="1" applyAlignment="1">
      <alignment vertical="top" wrapText="1"/>
    </xf>
    <xf numFmtId="3" fontId="7" fillId="0" borderId="1" xfId="0" applyNumberFormat="1" applyFont="1" applyBorder="1" applyAlignment="1">
      <alignment horizontal="center" vertical="top"/>
    </xf>
    <xf numFmtId="166" fontId="7" fillId="0" borderId="5" xfId="0" applyNumberFormat="1" applyFont="1" applyBorder="1" applyAlignment="1">
      <alignment horizontal="right" vertical="top"/>
    </xf>
    <xf numFmtId="166" fontId="6" fillId="0" borderId="5" xfId="0" applyNumberFormat="1" applyFont="1" applyBorder="1" applyAlignment="1">
      <alignment horizontal="right" vertical="top"/>
    </xf>
    <xf numFmtId="0" fontId="7" fillId="0" borderId="0" xfId="0" applyFont="1"/>
    <xf numFmtId="0" fontId="7" fillId="0" borderId="2" xfId="0" applyFont="1" applyBorder="1" applyAlignment="1">
      <alignment horizontal="center" vertical="top"/>
    </xf>
    <xf numFmtId="166" fontId="7" fillId="0" borderId="1" xfId="0" applyNumberFormat="1" applyFont="1" applyBorder="1" applyAlignment="1">
      <alignment vertical="top"/>
    </xf>
    <xf numFmtId="0" fontId="7" fillId="0" borderId="1" xfId="0" quotePrefix="1" applyFont="1" applyBorder="1" applyAlignment="1">
      <alignment horizontal="left" vertical="top" wrapText="1"/>
    </xf>
    <xf numFmtId="0" fontId="7" fillId="0" borderId="1" xfId="0" applyFont="1" applyBorder="1" applyAlignment="1">
      <alignment horizontal="left" vertical="top" wrapText="1"/>
    </xf>
    <xf numFmtId="0" fontId="6" fillId="0" borderId="1" xfId="0" quotePrefix="1" applyFont="1" applyBorder="1" applyAlignment="1">
      <alignment horizontal="left" vertical="top" wrapText="1"/>
    </xf>
    <xf numFmtId="0" fontId="6" fillId="0" borderId="2" xfId="0" applyFont="1" applyBorder="1" applyAlignment="1">
      <alignment horizontal="center" vertical="top"/>
    </xf>
    <xf numFmtId="0" fontId="7" fillId="0" borderId="2" xfId="0" applyFont="1" applyBorder="1" applyAlignment="1">
      <alignment vertical="top"/>
    </xf>
    <xf numFmtId="0" fontId="7" fillId="0" borderId="1" xfId="0" quotePrefix="1" applyFont="1" applyBorder="1" applyAlignment="1">
      <alignment horizontal="left" vertical="top"/>
    </xf>
    <xf numFmtId="0" fontId="7" fillId="0" borderId="0" xfId="0" quotePrefix="1" applyFont="1" applyAlignment="1">
      <alignment horizontal="left" vertical="top" wrapText="1"/>
    </xf>
    <xf numFmtId="0" fontId="7" fillId="0" borderId="0" xfId="0" applyFont="1" applyAlignment="1">
      <alignment horizontal="left" vertical="top" wrapText="1"/>
    </xf>
    <xf numFmtId="0" fontId="6" fillId="0" borderId="1" xfId="0" applyFont="1" applyBorder="1" applyAlignment="1">
      <alignment horizontal="left" vertical="top" wrapText="1"/>
    </xf>
    <xf numFmtId="0" fontId="7" fillId="0" borderId="0" xfId="0" applyFont="1" applyAlignment="1">
      <alignment vertical="top" wrapText="1"/>
    </xf>
    <xf numFmtId="3" fontId="7" fillId="0" borderId="0" xfId="0" applyNumberFormat="1" applyFont="1" applyAlignment="1">
      <alignment horizontal="center" vertical="top"/>
    </xf>
    <xf numFmtId="166" fontId="5" fillId="0" borderId="1" xfId="0" applyNumberFormat="1" applyFont="1" applyBorder="1" applyAlignment="1">
      <alignment vertical="top"/>
    </xf>
    <xf numFmtId="0" fontId="5" fillId="0" borderId="0" xfId="0" applyFont="1" applyAlignment="1">
      <alignment vertical="top" wrapText="1"/>
    </xf>
    <xf numFmtId="0" fontId="10" fillId="0" borderId="0" xfId="0" applyFont="1" applyAlignment="1">
      <alignment horizontal="left" vertical="top" wrapText="1"/>
    </xf>
    <xf numFmtId="0" fontId="7" fillId="0" borderId="0" xfId="0" applyFont="1" applyAlignment="1">
      <alignment horizontal="centerContinuous" vertical="top" wrapText="1"/>
    </xf>
    <xf numFmtId="3" fontId="7" fillId="0" borderId="0" xfId="0" applyNumberFormat="1" applyFont="1" applyAlignment="1">
      <alignment horizontal="center" vertical="top" wrapText="1"/>
    </xf>
    <xf numFmtId="166" fontId="7" fillId="0" borderId="0" xfId="0" applyNumberFormat="1" applyFont="1" applyAlignment="1">
      <alignment horizontal="right" vertical="top"/>
    </xf>
    <xf numFmtId="166" fontId="7" fillId="0" borderId="1" xfId="0" applyNumberFormat="1" applyFont="1" applyBorder="1" applyAlignment="1">
      <alignment horizontal="right" vertical="top"/>
    </xf>
    <xf numFmtId="0" fontId="7" fillId="0" borderId="1" xfId="0" quotePrefix="1" applyFont="1" applyBorder="1" applyAlignment="1">
      <alignment horizontal="left" wrapText="1"/>
    </xf>
    <xf numFmtId="0" fontId="7" fillId="0" borderId="1" xfId="0" quotePrefix="1" applyFont="1" applyBorder="1" applyAlignment="1">
      <alignment horizontal="left"/>
    </xf>
    <xf numFmtId="0" fontId="7" fillId="0" borderId="1" xfId="0" applyFont="1" applyBorder="1" applyAlignment="1">
      <alignment horizontal="left" vertical="top"/>
    </xf>
    <xf numFmtId="0" fontId="6" fillId="0" borderId="0" xfId="0" quotePrefix="1" applyFont="1" applyAlignment="1">
      <alignment horizontal="right" vertical="top"/>
    </xf>
    <xf numFmtId="0" fontId="7" fillId="0" borderId="0" xfId="0" applyFont="1" applyAlignment="1">
      <alignment horizontal="right" vertical="top"/>
    </xf>
    <xf numFmtId="0" fontId="7" fillId="0" borderId="4" xfId="0" applyFont="1" applyBorder="1" applyAlignment="1">
      <alignment horizontal="center" vertical="top"/>
    </xf>
    <xf numFmtId="1" fontId="7" fillId="0" borderId="4" xfId="0" applyNumberFormat="1" applyFont="1" applyBorder="1" applyAlignment="1">
      <alignment vertical="top"/>
    </xf>
    <xf numFmtId="0" fontId="7" fillId="0" borderId="4" xfId="0" applyFont="1" applyBorder="1" applyAlignment="1">
      <alignment vertical="top"/>
    </xf>
    <xf numFmtId="3" fontId="15" fillId="0" borderId="0" xfId="0" applyNumberFormat="1" applyFont="1" applyAlignment="1">
      <alignment horizontal="center" vertical="top"/>
    </xf>
    <xf numFmtId="0" fontId="7" fillId="0" borderId="1" xfId="2" applyFont="1" applyBorder="1" applyAlignment="1">
      <alignment vertical="top" wrapText="1"/>
    </xf>
    <xf numFmtId="164" fontId="7" fillId="0" borderId="1" xfId="0" applyNumberFormat="1" applyFont="1" applyBorder="1" applyAlignment="1">
      <alignment horizontal="center" vertical="top"/>
    </xf>
    <xf numFmtId="0" fontId="7" fillId="0" borderId="1" xfId="2" applyFont="1" applyBorder="1" applyAlignment="1">
      <alignment vertical="top"/>
    </xf>
    <xf numFmtId="3" fontId="7" fillId="0" borderId="1" xfId="0" applyNumberFormat="1" applyFont="1" applyBorder="1" applyAlignment="1">
      <alignment horizontal="center" vertical="top" wrapText="1"/>
    </xf>
    <xf numFmtId="0" fontId="7" fillId="0" borderId="1" xfId="0" applyFont="1" applyBorder="1" applyAlignment="1">
      <alignment horizontal="center" vertical="top" wrapText="1"/>
    </xf>
    <xf numFmtId="0" fontId="6" fillId="0" borderId="0" xfId="0" applyFont="1" applyAlignment="1">
      <alignment wrapText="1"/>
    </xf>
    <xf numFmtId="2" fontId="7" fillId="0" borderId="0" xfId="0" applyNumberFormat="1" applyFont="1" applyAlignment="1">
      <alignment horizontal="right" vertical="top"/>
    </xf>
    <xf numFmtId="0" fontId="15" fillId="0" borderId="0" xfId="0" applyFont="1"/>
    <xf numFmtId="0" fontId="7" fillId="0" borderId="1" xfId="0" applyFont="1" applyBorder="1" applyAlignment="1">
      <alignment vertical="top"/>
    </xf>
    <xf numFmtId="0" fontId="7" fillId="0" borderId="6" xfId="0" applyFont="1" applyBorder="1" applyAlignment="1">
      <alignment vertical="top" wrapText="1"/>
    </xf>
    <xf numFmtId="0" fontId="6" fillId="0" borderId="5" xfId="0" applyFont="1" applyBorder="1" applyAlignment="1">
      <alignment horizontal="center" vertical="top"/>
    </xf>
    <xf numFmtId="0" fontId="6" fillId="0" borderId="5" xfId="0" applyFont="1" applyBorder="1" applyAlignment="1">
      <alignment vertical="top"/>
    </xf>
    <xf numFmtId="3" fontId="6" fillId="0" borderId="5" xfId="0" applyNumberFormat="1" applyFont="1" applyBorder="1" applyAlignment="1">
      <alignment horizontal="center" vertical="top"/>
    </xf>
    <xf numFmtId="166" fontId="6" fillId="0" borderId="5" xfId="0" applyNumberFormat="1" applyFont="1" applyBorder="1" applyAlignment="1">
      <alignment horizontal="center" vertical="top"/>
    </xf>
    <xf numFmtId="0" fontId="6" fillId="0" borderId="5" xfId="0" applyFont="1" applyBorder="1" applyAlignment="1">
      <alignment vertical="top" wrapText="1"/>
    </xf>
    <xf numFmtId="3" fontId="7" fillId="0" borderId="5" xfId="0" applyNumberFormat="1" applyFont="1" applyBorder="1" applyAlignment="1">
      <alignment horizontal="center" vertical="top"/>
    </xf>
    <xf numFmtId="0" fontId="7" fillId="0" borderId="5" xfId="0" applyFont="1" applyBorder="1" applyAlignment="1">
      <alignment horizontal="center" vertical="top"/>
    </xf>
    <xf numFmtId="0" fontId="7" fillId="0" borderId="5" xfId="0" applyFont="1" applyBorder="1" applyAlignment="1">
      <alignment vertical="top" wrapText="1"/>
    </xf>
    <xf numFmtId="0" fontId="5" fillId="0" borderId="1" xfId="0" applyFont="1" applyBorder="1" applyAlignment="1">
      <alignment horizontal="left" vertical="top"/>
    </xf>
    <xf numFmtId="0" fontId="8" fillId="0" borderId="2" xfId="0" applyFont="1" applyBorder="1" applyAlignment="1">
      <alignment horizontal="left" vertical="top"/>
    </xf>
    <xf numFmtId="0" fontId="8" fillId="0" borderId="7" xfId="0" applyFont="1" applyBorder="1" applyAlignment="1">
      <alignment horizontal="left" vertical="top"/>
    </xf>
    <xf numFmtId="0" fontId="10" fillId="0" borderId="0" xfId="0" applyFont="1" applyAlignment="1">
      <alignment horizontal="left" vertical="top" wrapText="1"/>
    </xf>
    <xf numFmtId="2" fontId="7" fillId="0" borderId="0" xfId="0" applyNumberFormat="1" applyFont="1" applyAlignment="1">
      <alignment horizontal="left" vertical="top" wrapText="1"/>
    </xf>
  </cellXfs>
  <cellStyles count="3">
    <cellStyle name="Currency 2" xfId="1" xr:uid="{00000000-0005-0000-0000-000000000000}"/>
    <cellStyle name="Normal" xfId="0" builtinId="0"/>
    <cellStyle name="Normal 2" xfId="2" xr:uid="{00000000-0005-0000-0000-000002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A22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2</xdr:col>
      <xdr:colOff>2809875</xdr:colOff>
      <xdr:row>0</xdr:row>
      <xdr:rowOff>59531</xdr:rowOff>
    </xdr:from>
    <xdr:to>
      <xdr:col>3</xdr:col>
      <xdr:colOff>882650</xdr:colOff>
      <xdr:row>2</xdr:row>
      <xdr:rowOff>194468</xdr:rowOff>
    </xdr:to>
    <xdr:pic>
      <xdr:nvPicPr>
        <xdr:cNvPr id="2" name="Picture 1" descr="A picture containing text, clipart&#10;&#10;Description automatically generated">
          <a:extLst>
            <a:ext uri="{FF2B5EF4-FFF2-40B4-BE49-F238E27FC236}">
              <a16:creationId xmlns:a16="http://schemas.microsoft.com/office/drawing/2014/main" id="{FF496EB4-2391-45FF-BF1F-DEAC73900E5D}"/>
            </a:ext>
          </a:extLst>
        </xdr:cNvPr>
        <xdr:cNvPicPr/>
      </xdr:nvPicPr>
      <xdr:blipFill>
        <a:blip xmlns:r="http://schemas.openxmlformats.org/officeDocument/2006/relationships" r:embed="rId1"/>
        <a:stretch>
          <a:fillRect/>
        </a:stretch>
      </xdr:blipFill>
      <xdr:spPr>
        <a:xfrm>
          <a:off x="4238625" y="59531"/>
          <a:ext cx="1454150" cy="539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333375</xdr:colOff>
      <xdr:row>0</xdr:row>
      <xdr:rowOff>95250</xdr:rowOff>
    </xdr:from>
    <xdr:to>
      <xdr:col>4</xdr:col>
      <xdr:colOff>1180306</xdr:colOff>
      <xdr:row>3</xdr:row>
      <xdr:rowOff>27781</xdr:rowOff>
    </xdr:to>
    <xdr:pic>
      <xdr:nvPicPr>
        <xdr:cNvPr id="2" name="Picture 1" descr="A picture containing text, clipart&#10;&#10;Description automatically generated">
          <a:extLst>
            <a:ext uri="{FF2B5EF4-FFF2-40B4-BE49-F238E27FC236}">
              <a16:creationId xmlns:a16="http://schemas.microsoft.com/office/drawing/2014/main" id="{0E1FA839-2B0A-4C0E-B972-6BD109DDC70D}"/>
            </a:ext>
          </a:extLst>
        </xdr:cNvPr>
        <xdr:cNvPicPr/>
      </xdr:nvPicPr>
      <xdr:blipFill>
        <a:blip xmlns:r="http://schemas.openxmlformats.org/officeDocument/2006/relationships" r:embed="rId1"/>
        <a:stretch>
          <a:fillRect/>
        </a:stretch>
      </xdr:blipFill>
      <xdr:spPr>
        <a:xfrm>
          <a:off x="4857750" y="95250"/>
          <a:ext cx="1454150" cy="5397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35718</xdr:colOff>
      <xdr:row>0</xdr:row>
      <xdr:rowOff>47625</xdr:rowOff>
    </xdr:from>
    <xdr:to>
      <xdr:col>5</xdr:col>
      <xdr:colOff>61118</xdr:colOff>
      <xdr:row>2</xdr:row>
      <xdr:rowOff>182562</xdr:rowOff>
    </xdr:to>
    <xdr:pic>
      <xdr:nvPicPr>
        <xdr:cNvPr id="2" name="Picture 1" descr="A picture containing text, clipart&#10;&#10;Description automatically generated">
          <a:extLst>
            <a:ext uri="{FF2B5EF4-FFF2-40B4-BE49-F238E27FC236}">
              <a16:creationId xmlns:a16="http://schemas.microsoft.com/office/drawing/2014/main" id="{4F153E91-2CED-413E-90D8-EE3DE656FF34}"/>
            </a:ext>
          </a:extLst>
        </xdr:cNvPr>
        <xdr:cNvPicPr/>
      </xdr:nvPicPr>
      <xdr:blipFill>
        <a:blip xmlns:r="http://schemas.openxmlformats.org/officeDocument/2006/relationships" r:embed="rId1"/>
        <a:stretch>
          <a:fillRect/>
        </a:stretch>
      </xdr:blipFill>
      <xdr:spPr>
        <a:xfrm>
          <a:off x="5274468" y="47625"/>
          <a:ext cx="1454150" cy="5397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59531</xdr:colOff>
      <xdr:row>0</xdr:row>
      <xdr:rowOff>47625</xdr:rowOff>
    </xdr:from>
    <xdr:to>
      <xdr:col>5</xdr:col>
      <xdr:colOff>84931</xdr:colOff>
      <xdr:row>2</xdr:row>
      <xdr:rowOff>182562</xdr:rowOff>
    </xdr:to>
    <xdr:pic>
      <xdr:nvPicPr>
        <xdr:cNvPr id="2" name="Picture 1" descr="A picture containing text, clipart&#10;&#10;Description automatically generated">
          <a:extLst>
            <a:ext uri="{FF2B5EF4-FFF2-40B4-BE49-F238E27FC236}">
              <a16:creationId xmlns:a16="http://schemas.microsoft.com/office/drawing/2014/main" id="{4F56E442-07F8-476E-A653-5FAE2769E510}"/>
            </a:ext>
          </a:extLst>
        </xdr:cNvPr>
        <xdr:cNvPicPr/>
      </xdr:nvPicPr>
      <xdr:blipFill>
        <a:blip xmlns:r="http://schemas.openxmlformats.org/officeDocument/2006/relationships" r:embed="rId1"/>
        <a:stretch>
          <a:fillRect/>
        </a:stretch>
      </xdr:blipFill>
      <xdr:spPr>
        <a:xfrm>
          <a:off x="5072062" y="47625"/>
          <a:ext cx="1454150" cy="5397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0</xdr:row>
      <xdr:rowOff>83344</xdr:rowOff>
    </xdr:from>
    <xdr:to>
      <xdr:col>5</xdr:col>
      <xdr:colOff>25400</xdr:colOff>
      <xdr:row>3</xdr:row>
      <xdr:rowOff>15875</xdr:rowOff>
    </xdr:to>
    <xdr:pic>
      <xdr:nvPicPr>
        <xdr:cNvPr id="2" name="Picture 1" descr="A picture containing text, clipart&#10;&#10;Description automatically generated">
          <a:extLst>
            <a:ext uri="{FF2B5EF4-FFF2-40B4-BE49-F238E27FC236}">
              <a16:creationId xmlns:a16="http://schemas.microsoft.com/office/drawing/2014/main" id="{B181EA89-D25B-410A-AAA8-EA36794A84A0}"/>
            </a:ext>
          </a:extLst>
        </xdr:cNvPr>
        <xdr:cNvPicPr/>
      </xdr:nvPicPr>
      <xdr:blipFill>
        <a:blip xmlns:r="http://schemas.openxmlformats.org/officeDocument/2006/relationships" r:embed="rId1"/>
        <a:stretch>
          <a:fillRect/>
        </a:stretch>
      </xdr:blipFill>
      <xdr:spPr>
        <a:xfrm>
          <a:off x="5012531" y="83344"/>
          <a:ext cx="1454150" cy="53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35719</xdr:colOff>
      <xdr:row>0</xdr:row>
      <xdr:rowOff>59531</xdr:rowOff>
    </xdr:from>
    <xdr:to>
      <xdr:col>5</xdr:col>
      <xdr:colOff>61119</xdr:colOff>
      <xdr:row>2</xdr:row>
      <xdr:rowOff>194468</xdr:rowOff>
    </xdr:to>
    <xdr:pic>
      <xdr:nvPicPr>
        <xdr:cNvPr id="2" name="Picture 1" descr="A picture containing text, clipart&#10;&#10;Description automatically generated">
          <a:extLst>
            <a:ext uri="{FF2B5EF4-FFF2-40B4-BE49-F238E27FC236}">
              <a16:creationId xmlns:a16="http://schemas.microsoft.com/office/drawing/2014/main" id="{AEAF38BB-EFE7-4AAA-B8F9-684F81D4B462}"/>
            </a:ext>
          </a:extLst>
        </xdr:cNvPr>
        <xdr:cNvPicPr/>
      </xdr:nvPicPr>
      <xdr:blipFill>
        <a:blip xmlns:r="http://schemas.openxmlformats.org/officeDocument/2006/relationships" r:embed="rId1"/>
        <a:stretch>
          <a:fillRect/>
        </a:stretch>
      </xdr:blipFill>
      <xdr:spPr>
        <a:xfrm>
          <a:off x="4726782" y="59531"/>
          <a:ext cx="1454150" cy="53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47625</xdr:colOff>
      <xdr:row>0</xdr:row>
      <xdr:rowOff>47625</xdr:rowOff>
    </xdr:from>
    <xdr:to>
      <xdr:col>5</xdr:col>
      <xdr:colOff>73025</xdr:colOff>
      <xdr:row>2</xdr:row>
      <xdr:rowOff>182562</xdr:rowOff>
    </xdr:to>
    <xdr:pic>
      <xdr:nvPicPr>
        <xdr:cNvPr id="2" name="Picture 1" descr="A picture containing text, clipart&#10;&#10;Description automatically generated">
          <a:extLst>
            <a:ext uri="{FF2B5EF4-FFF2-40B4-BE49-F238E27FC236}">
              <a16:creationId xmlns:a16="http://schemas.microsoft.com/office/drawing/2014/main" id="{7B5BC778-01A1-4A16-8F39-2EABCE704F64}"/>
            </a:ext>
          </a:extLst>
        </xdr:cNvPr>
        <xdr:cNvPicPr/>
      </xdr:nvPicPr>
      <xdr:blipFill>
        <a:blip xmlns:r="http://schemas.openxmlformats.org/officeDocument/2006/relationships" r:embed="rId1"/>
        <a:stretch>
          <a:fillRect/>
        </a:stretch>
      </xdr:blipFill>
      <xdr:spPr>
        <a:xfrm>
          <a:off x="4738688" y="47625"/>
          <a:ext cx="1454150" cy="53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95250</xdr:colOff>
      <xdr:row>0</xdr:row>
      <xdr:rowOff>119063</xdr:rowOff>
    </xdr:from>
    <xdr:to>
      <xdr:col>5</xdr:col>
      <xdr:colOff>120650</xdr:colOff>
      <xdr:row>3</xdr:row>
      <xdr:rowOff>51594</xdr:rowOff>
    </xdr:to>
    <xdr:pic>
      <xdr:nvPicPr>
        <xdr:cNvPr id="2" name="Picture 1" descr="A picture containing text, clipart&#10;&#10;Description automatically generated">
          <a:extLst>
            <a:ext uri="{FF2B5EF4-FFF2-40B4-BE49-F238E27FC236}">
              <a16:creationId xmlns:a16="http://schemas.microsoft.com/office/drawing/2014/main" id="{D80FF7E3-4A75-44D0-AB0A-202391E8E775}"/>
            </a:ext>
          </a:extLst>
        </xdr:cNvPr>
        <xdr:cNvPicPr/>
      </xdr:nvPicPr>
      <xdr:blipFill>
        <a:blip xmlns:r="http://schemas.openxmlformats.org/officeDocument/2006/relationships" r:embed="rId1"/>
        <a:stretch>
          <a:fillRect/>
        </a:stretch>
      </xdr:blipFill>
      <xdr:spPr>
        <a:xfrm>
          <a:off x="4250531" y="119063"/>
          <a:ext cx="1454150" cy="53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23812</xdr:colOff>
      <xdr:row>0</xdr:row>
      <xdr:rowOff>83344</xdr:rowOff>
    </xdr:from>
    <xdr:to>
      <xdr:col>5</xdr:col>
      <xdr:colOff>49212</xdr:colOff>
      <xdr:row>3</xdr:row>
      <xdr:rowOff>15875</xdr:rowOff>
    </xdr:to>
    <xdr:pic>
      <xdr:nvPicPr>
        <xdr:cNvPr id="2" name="Picture 1" descr="A picture containing text, clipart&#10;&#10;Description automatically generated">
          <a:extLst>
            <a:ext uri="{FF2B5EF4-FFF2-40B4-BE49-F238E27FC236}">
              <a16:creationId xmlns:a16="http://schemas.microsoft.com/office/drawing/2014/main" id="{5A88BE60-A2DA-443B-8F81-013F9822C00D}"/>
            </a:ext>
          </a:extLst>
        </xdr:cNvPr>
        <xdr:cNvPicPr/>
      </xdr:nvPicPr>
      <xdr:blipFill>
        <a:blip xmlns:r="http://schemas.openxmlformats.org/officeDocument/2006/relationships" r:embed="rId1"/>
        <a:stretch>
          <a:fillRect/>
        </a:stretch>
      </xdr:blipFill>
      <xdr:spPr>
        <a:xfrm>
          <a:off x="4179093" y="83344"/>
          <a:ext cx="1454150" cy="5397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23812</xdr:colOff>
      <xdr:row>0</xdr:row>
      <xdr:rowOff>83344</xdr:rowOff>
    </xdr:from>
    <xdr:to>
      <xdr:col>5</xdr:col>
      <xdr:colOff>49212</xdr:colOff>
      <xdr:row>3</xdr:row>
      <xdr:rowOff>15875</xdr:rowOff>
    </xdr:to>
    <xdr:pic>
      <xdr:nvPicPr>
        <xdr:cNvPr id="2" name="Picture 1" descr="A picture containing text, clipart&#10;&#10;Description automatically generated">
          <a:extLst>
            <a:ext uri="{FF2B5EF4-FFF2-40B4-BE49-F238E27FC236}">
              <a16:creationId xmlns:a16="http://schemas.microsoft.com/office/drawing/2014/main" id="{F6D7137C-476C-4881-8ADE-0ADBED26A2AE}"/>
            </a:ext>
          </a:extLst>
        </xdr:cNvPr>
        <xdr:cNvPicPr/>
      </xdr:nvPicPr>
      <xdr:blipFill>
        <a:blip xmlns:r="http://schemas.openxmlformats.org/officeDocument/2006/relationships" r:embed="rId1"/>
        <a:stretch>
          <a:fillRect/>
        </a:stretch>
      </xdr:blipFill>
      <xdr:spPr>
        <a:xfrm>
          <a:off x="4179093" y="83344"/>
          <a:ext cx="1454150" cy="53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59531</xdr:colOff>
      <xdr:row>0</xdr:row>
      <xdr:rowOff>83343</xdr:rowOff>
    </xdr:from>
    <xdr:to>
      <xdr:col>5</xdr:col>
      <xdr:colOff>84931</xdr:colOff>
      <xdr:row>3</xdr:row>
      <xdr:rowOff>15874</xdr:rowOff>
    </xdr:to>
    <xdr:pic>
      <xdr:nvPicPr>
        <xdr:cNvPr id="2" name="Picture 1" descr="A picture containing text, clipart&#10;&#10;Description automatically generated">
          <a:extLst>
            <a:ext uri="{FF2B5EF4-FFF2-40B4-BE49-F238E27FC236}">
              <a16:creationId xmlns:a16="http://schemas.microsoft.com/office/drawing/2014/main" id="{C3461ABD-F391-46FB-B1FB-5FDDEA28223D}"/>
            </a:ext>
          </a:extLst>
        </xdr:cNvPr>
        <xdr:cNvPicPr/>
      </xdr:nvPicPr>
      <xdr:blipFill>
        <a:blip xmlns:r="http://schemas.openxmlformats.org/officeDocument/2006/relationships" r:embed="rId1"/>
        <a:stretch>
          <a:fillRect/>
        </a:stretch>
      </xdr:blipFill>
      <xdr:spPr>
        <a:xfrm>
          <a:off x="4214812" y="83343"/>
          <a:ext cx="1454150" cy="53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23813</xdr:colOff>
      <xdr:row>0</xdr:row>
      <xdr:rowOff>47624</xdr:rowOff>
    </xdr:from>
    <xdr:to>
      <xdr:col>5</xdr:col>
      <xdr:colOff>49213</xdr:colOff>
      <xdr:row>2</xdr:row>
      <xdr:rowOff>182561</xdr:rowOff>
    </xdr:to>
    <xdr:pic>
      <xdr:nvPicPr>
        <xdr:cNvPr id="2" name="Picture 1" descr="A picture containing text, clipart&#10;&#10;Description automatically generated">
          <a:extLst>
            <a:ext uri="{FF2B5EF4-FFF2-40B4-BE49-F238E27FC236}">
              <a16:creationId xmlns:a16="http://schemas.microsoft.com/office/drawing/2014/main" id="{C252D6F7-127A-4F6E-BDF7-251114B9A07C}"/>
            </a:ext>
          </a:extLst>
        </xdr:cNvPr>
        <xdr:cNvPicPr/>
      </xdr:nvPicPr>
      <xdr:blipFill>
        <a:blip xmlns:r="http://schemas.openxmlformats.org/officeDocument/2006/relationships" r:embed="rId1"/>
        <a:stretch>
          <a:fillRect/>
        </a:stretch>
      </xdr:blipFill>
      <xdr:spPr>
        <a:xfrm>
          <a:off x="4179094" y="47624"/>
          <a:ext cx="1454150" cy="5397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xdr:col>
      <xdr:colOff>35719</xdr:colOff>
      <xdr:row>0</xdr:row>
      <xdr:rowOff>59531</xdr:rowOff>
    </xdr:from>
    <xdr:to>
      <xdr:col>5</xdr:col>
      <xdr:colOff>61119</xdr:colOff>
      <xdr:row>2</xdr:row>
      <xdr:rowOff>194468</xdr:rowOff>
    </xdr:to>
    <xdr:pic>
      <xdr:nvPicPr>
        <xdr:cNvPr id="2" name="Picture 1" descr="A picture containing text, clipart&#10;&#10;Description automatically generated">
          <a:extLst>
            <a:ext uri="{FF2B5EF4-FFF2-40B4-BE49-F238E27FC236}">
              <a16:creationId xmlns:a16="http://schemas.microsoft.com/office/drawing/2014/main" id="{4C32F1F4-1930-439D-864B-12E496CDBF33}"/>
            </a:ext>
          </a:extLst>
        </xdr:cNvPr>
        <xdr:cNvPicPr/>
      </xdr:nvPicPr>
      <xdr:blipFill>
        <a:blip xmlns:r="http://schemas.openxmlformats.org/officeDocument/2006/relationships" r:embed="rId1"/>
        <a:stretch>
          <a:fillRect/>
        </a:stretch>
      </xdr:blipFill>
      <xdr:spPr>
        <a:xfrm>
          <a:off x="4191000" y="59531"/>
          <a:ext cx="1454150" cy="5397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47625</xdr:colOff>
      <xdr:row>0</xdr:row>
      <xdr:rowOff>47625</xdr:rowOff>
    </xdr:from>
    <xdr:to>
      <xdr:col>5</xdr:col>
      <xdr:colOff>73025</xdr:colOff>
      <xdr:row>2</xdr:row>
      <xdr:rowOff>182562</xdr:rowOff>
    </xdr:to>
    <xdr:pic>
      <xdr:nvPicPr>
        <xdr:cNvPr id="2" name="Picture 1" descr="A picture containing text, clipart&#10;&#10;Description automatically generated">
          <a:extLst>
            <a:ext uri="{FF2B5EF4-FFF2-40B4-BE49-F238E27FC236}">
              <a16:creationId xmlns:a16="http://schemas.microsoft.com/office/drawing/2014/main" id="{FB789E76-7607-477C-B907-ACEB4D60C22F}"/>
            </a:ext>
          </a:extLst>
        </xdr:cNvPr>
        <xdr:cNvPicPr/>
      </xdr:nvPicPr>
      <xdr:blipFill>
        <a:blip xmlns:r="http://schemas.openxmlformats.org/officeDocument/2006/relationships" r:embed="rId1"/>
        <a:stretch>
          <a:fillRect/>
        </a:stretch>
      </xdr:blipFill>
      <xdr:spPr>
        <a:xfrm>
          <a:off x="4202906" y="47625"/>
          <a:ext cx="1454150" cy="5397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xdr:col>
      <xdr:colOff>83344</xdr:colOff>
      <xdr:row>0</xdr:row>
      <xdr:rowOff>47624</xdr:rowOff>
    </xdr:from>
    <xdr:to>
      <xdr:col>5</xdr:col>
      <xdr:colOff>108744</xdr:colOff>
      <xdr:row>2</xdr:row>
      <xdr:rowOff>182561</xdr:rowOff>
    </xdr:to>
    <xdr:pic>
      <xdr:nvPicPr>
        <xdr:cNvPr id="2" name="Picture 1" descr="A picture containing text, clipart&#10;&#10;Description automatically generated">
          <a:extLst>
            <a:ext uri="{FF2B5EF4-FFF2-40B4-BE49-F238E27FC236}">
              <a16:creationId xmlns:a16="http://schemas.microsoft.com/office/drawing/2014/main" id="{E6A53F1A-064A-4F4C-97CB-44E0291AECCF}"/>
            </a:ext>
          </a:extLst>
        </xdr:cNvPr>
        <xdr:cNvPicPr/>
      </xdr:nvPicPr>
      <xdr:blipFill>
        <a:blip xmlns:r="http://schemas.openxmlformats.org/officeDocument/2006/relationships" r:embed="rId1"/>
        <a:stretch>
          <a:fillRect/>
        </a:stretch>
      </xdr:blipFill>
      <xdr:spPr>
        <a:xfrm>
          <a:off x="4238625" y="47624"/>
          <a:ext cx="1454150" cy="5397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xdr:col>
      <xdr:colOff>47624</xdr:colOff>
      <xdr:row>0</xdr:row>
      <xdr:rowOff>47626</xdr:rowOff>
    </xdr:from>
    <xdr:to>
      <xdr:col>5</xdr:col>
      <xdr:colOff>334962</xdr:colOff>
      <xdr:row>3</xdr:row>
      <xdr:rowOff>3970</xdr:rowOff>
    </xdr:to>
    <xdr:pic>
      <xdr:nvPicPr>
        <xdr:cNvPr id="2" name="Picture 1" descr="A picture containing text, clipart&#10;&#10;Description automatically generated">
          <a:extLst>
            <a:ext uri="{FF2B5EF4-FFF2-40B4-BE49-F238E27FC236}">
              <a16:creationId xmlns:a16="http://schemas.microsoft.com/office/drawing/2014/main" id="{183DE1C9-7F0A-4999-AA80-B32F53680654}"/>
            </a:ext>
          </a:extLst>
        </xdr:cNvPr>
        <xdr:cNvPicPr/>
      </xdr:nvPicPr>
      <xdr:blipFill>
        <a:blip xmlns:r="http://schemas.openxmlformats.org/officeDocument/2006/relationships" r:embed="rId1"/>
        <a:stretch>
          <a:fillRect/>
        </a:stretch>
      </xdr:blipFill>
      <xdr:spPr>
        <a:xfrm>
          <a:off x="4226718" y="47626"/>
          <a:ext cx="1454150" cy="5397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F78"/>
  <sheetViews>
    <sheetView showZeros="0" topLeftCell="A25" zoomScale="80" zoomScaleNormal="80" workbookViewId="0">
      <selection activeCell="F27" sqref="F27"/>
    </sheetView>
  </sheetViews>
  <sheetFormatPr defaultRowHeight="12.75"/>
  <cols>
    <col min="1" max="1" width="15.7109375" style="15" customWidth="1"/>
    <col min="2" max="2" width="5.7109375" style="25" customWidth="1"/>
    <col min="3" max="3" width="50.7109375" style="26" customWidth="1"/>
    <col min="4" max="4" width="13.85546875" style="15" customWidth="1"/>
    <col min="5" max="6" width="12.7109375" style="9" customWidth="1"/>
    <col min="7" max="7" width="11.140625" style="3" bestFit="1" customWidth="1"/>
    <col min="8" max="16384" width="9.140625" style="3"/>
  </cols>
  <sheetData>
    <row r="1" spans="1:6" ht="15.75">
      <c r="A1" s="1" t="s">
        <v>50</v>
      </c>
      <c r="B1" s="2"/>
      <c r="C1" s="1"/>
      <c r="D1" s="1"/>
      <c r="E1" s="1"/>
      <c r="F1" s="1"/>
    </row>
    <row r="2" spans="1:6" ht="15.75">
      <c r="A2" s="4" t="s">
        <v>32</v>
      </c>
      <c r="B2" s="2"/>
      <c r="C2" s="1"/>
      <c r="D2" s="1"/>
      <c r="E2" s="1"/>
      <c r="F2" s="1"/>
    </row>
    <row r="3" spans="1:6" ht="15.75">
      <c r="A3" s="4"/>
      <c r="B3" s="2"/>
      <c r="C3" s="1"/>
      <c r="D3" s="1"/>
      <c r="E3" s="1"/>
      <c r="F3" s="1"/>
    </row>
    <row r="4" spans="1:6" ht="15.75">
      <c r="A4" s="5" t="s">
        <v>9</v>
      </c>
      <c r="B4" s="2"/>
      <c r="C4" s="1"/>
      <c r="D4" s="1"/>
      <c r="E4" s="1"/>
      <c r="F4" s="1"/>
    </row>
    <row r="5" spans="1:6" ht="15.75">
      <c r="A5" s="6" t="s">
        <v>527</v>
      </c>
      <c r="B5" s="2"/>
      <c r="C5" s="1"/>
      <c r="D5" s="1"/>
      <c r="E5" s="1"/>
      <c r="F5" s="1"/>
    </row>
    <row r="6" spans="1:6" ht="15.75">
      <c r="A6" s="6" t="s">
        <v>528</v>
      </c>
      <c r="B6" s="2"/>
      <c r="C6" s="1"/>
      <c r="D6" s="1"/>
      <c r="E6" s="1"/>
      <c r="F6" s="1"/>
    </row>
    <row r="7" spans="1:6" ht="15.75">
      <c r="A7" s="6" t="s">
        <v>184</v>
      </c>
      <c r="B7" s="2"/>
      <c r="C7" s="1"/>
      <c r="D7" s="1"/>
      <c r="E7" s="1"/>
      <c r="F7" s="1"/>
    </row>
    <row r="8" spans="1:6" ht="15.75">
      <c r="A8" s="6"/>
      <c r="B8" s="2"/>
      <c r="C8" s="1"/>
      <c r="D8" s="1"/>
      <c r="E8" s="1"/>
      <c r="F8" s="1"/>
    </row>
    <row r="9" spans="1:6" ht="15.75">
      <c r="A9" s="6"/>
      <c r="B9" s="2"/>
      <c r="C9" s="1"/>
      <c r="D9" s="1"/>
      <c r="E9" s="1"/>
      <c r="F9" s="1"/>
    </row>
    <row r="10" spans="1:6" ht="15.75">
      <c r="A10" s="5" t="s">
        <v>189</v>
      </c>
      <c r="B10" s="2"/>
      <c r="C10" s="1"/>
      <c r="D10" s="1"/>
      <c r="E10" s="1"/>
      <c r="F10" s="1"/>
    </row>
    <row r="11" spans="1:6">
      <c r="A11" s="107" t="s">
        <v>195</v>
      </c>
      <c r="B11" s="108"/>
      <c r="C11" s="7" t="s">
        <v>194</v>
      </c>
      <c r="D11" s="8" t="s">
        <v>191</v>
      </c>
    </row>
    <row r="12" spans="1:6">
      <c r="A12" s="106" t="s">
        <v>55</v>
      </c>
      <c r="B12" s="106"/>
      <c r="C12" s="10"/>
      <c r="D12" s="11"/>
    </row>
    <row r="13" spans="1:6">
      <c r="A13" s="106" t="s">
        <v>68</v>
      </c>
      <c r="B13" s="106"/>
      <c r="C13" s="10"/>
      <c r="D13" s="11"/>
    </row>
    <row r="14" spans="1:6">
      <c r="A14" s="106" t="s">
        <v>69</v>
      </c>
      <c r="B14" s="106"/>
      <c r="C14" s="10"/>
      <c r="D14" s="11"/>
    </row>
    <row r="15" spans="1:6">
      <c r="A15" s="106" t="s">
        <v>192</v>
      </c>
      <c r="B15" s="106"/>
      <c r="C15" s="10"/>
      <c r="D15" s="11"/>
    </row>
    <row r="16" spans="1:6">
      <c r="A16" s="106" t="s">
        <v>193</v>
      </c>
      <c r="B16" s="106"/>
      <c r="C16" s="10"/>
      <c r="D16" s="11"/>
    </row>
    <row r="17" spans="1:6">
      <c r="A17" s="12"/>
      <c r="B17" s="12"/>
      <c r="C17" s="13"/>
      <c r="D17" s="14"/>
    </row>
    <row r="18" spans="1:6">
      <c r="A18" s="12"/>
      <c r="B18" s="12"/>
      <c r="C18" s="13"/>
      <c r="D18" s="14"/>
    </row>
    <row r="19" spans="1:6">
      <c r="A19" s="12"/>
      <c r="B19" s="12"/>
      <c r="C19" s="13"/>
      <c r="D19" s="14"/>
    </row>
    <row r="20" spans="1:6">
      <c r="A20" s="12"/>
      <c r="B20" s="12"/>
      <c r="C20" s="13"/>
      <c r="D20" s="14"/>
    </row>
    <row r="21" spans="1:6">
      <c r="A21" s="12"/>
      <c r="B21" s="12"/>
      <c r="C21" s="13"/>
      <c r="D21" s="14"/>
    </row>
    <row r="22" spans="1:6">
      <c r="A22" s="12"/>
      <c r="B22" s="12"/>
      <c r="C22" s="13"/>
      <c r="D22" s="14"/>
    </row>
    <row r="23" spans="1:6">
      <c r="A23" s="12"/>
      <c r="B23" s="12"/>
      <c r="C23" s="13"/>
      <c r="D23" s="14"/>
    </row>
    <row r="24" spans="1:6">
      <c r="A24" s="12"/>
      <c r="B24" s="12"/>
      <c r="C24" s="13"/>
      <c r="D24" s="14"/>
    </row>
    <row r="25" spans="1:6" ht="15.75">
      <c r="B25" s="2"/>
      <c r="C25" s="1"/>
      <c r="D25" s="1"/>
      <c r="E25" s="1"/>
      <c r="F25" s="1"/>
    </row>
    <row r="26" spans="1:6" ht="15.75">
      <c r="A26" s="5" t="s">
        <v>190</v>
      </c>
      <c r="B26" s="2"/>
      <c r="C26" s="1"/>
      <c r="D26" s="1"/>
      <c r="E26" s="1"/>
      <c r="F26" s="1"/>
    </row>
    <row r="27" spans="1:6" s="21" customFormat="1">
      <c r="A27" s="16" t="s">
        <v>52</v>
      </c>
      <c r="B27" s="17" t="s">
        <v>54</v>
      </c>
      <c r="C27" s="18" t="s">
        <v>53</v>
      </c>
      <c r="D27" s="19"/>
      <c r="E27" s="20"/>
      <c r="F27" s="20"/>
    </row>
    <row r="28" spans="1:6">
      <c r="A28" s="22"/>
      <c r="B28" s="23"/>
      <c r="C28" s="24"/>
    </row>
    <row r="29" spans="1:6">
      <c r="A29" s="22"/>
      <c r="B29" s="23"/>
      <c r="C29" s="24"/>
    </row>
    <row r="30" spans="1:6">
      <c r="A30" s="22"/>
      <c r="B30" s="23"/>
      <c r="C30" s="24"/>
    </row>
    <row r="31" spans="1:6">
      <c r="A31" s="22"/>
      <c r="B31" s="23"/>
      <c r="C31" s="24"/>
    </row>
    <row r="32" spans="1:6">
      <c r="A32" s="22"/>
      <c r="B32" s="23"/>
      <c r="C32" s="24"/>
    </row>
    <row r="33" spans="1:3">
      <c r="A33" s="22"/>
      <c r="B33" s="23"/>
      <c r="C33" s="24"/>
    </row>
    <row r="34" spans="1:3">
      <c r="A34" s="22"/>
      <c r="B34" s="23"/>
      <c r="C34" s="24"/>
    </row>
    <row r="35" spans="1:3">
      <c r="A35" s="22"/>
      <c r="B35" s="23"/>
      <c r="C35" s="24"/>
    </row>
    <row r="36" spans="1:3">
      <c r="A36" s="22"/>
      <c r="B36" s="23"/>
      <c r="C36" s="24"/>
    </row>
    <row r="37" spans="1:3">
      <c r="A37" s="22"/>
      <c r="B37" s="23"/>
      <c r="C37" s="24"/>
    </row>
    <row r="38" spans="1:3">
      <c r="A38" s="22"/>
      <c r="B38" s="23"/>
      <c r="C38" s="24"/>
    </row>
    <row r="39" spans="1:3">
      <c r="A39" s="22"/>
      <c r="B39" s="23"/>
      <c r="C39" s="24"/>
    </row>
    <row r="40" spans="1:3">
      <c r="A40" s="22"/>
      <c r="B40" s="23"/>
      <c r="C40" s="24"/>
    </row>
    <row r="41" spans="1:3">
      <c r="A41" s="22"/>
      <c r="B41" s="23"/>
      <c r="C41" s="24"/>
    </row>
    <row r="42" spans="1:3">
      <c r="A42" s="22"/>
      <c r="B42" s="23"/>
      <c r="C42" s="24"/>
    </row>
    <row r="43" spans="1:3">
      <c r="A43" s="22"/>
      <c r="B43" s="23"/>
      <c r="C43" s="24"/>
    </row>
    <row r="44" spans="1:3">
      <c r="A44" s="22"/>
      <c r="B44" s="23"/>
      <c r="C44" s="24"/>
    </row>
    <row r="45" spans="1:3">
      <c r="A45" s="22"/>
      <c r="B45" s="23"/>
      <c r="C45" s="24"/>
    </row>
    <row r="46" spans="1:3">
      <c r="A46" s="22"/>
      <c r="B46" s="23"/>
      <c r="C46" s="24"/>
    </row>
    <row r="47" spans="1:3">
      <c r="A47" s="22"/>
      <c r="B47" s="23"/>
      <c r="C47" s="24"/>
    </row>
    <row r="48" spans="1:3">
      <c r="A48" s="22"/>
      <c r="B48" s="23"/>
      <c r="C48" s="24"/>
    </row>
    <row r="49" spans="1:3">
      <c r="A49" s="22"/>
      <c r="B49" s="23"/>
      <c r="C49" s="24"/>
    </row>
    <row r="50" spans="1:3">
      <c r="A50" s="22"/>
      <c r="B50" s="23"/>
      <c r="C50" s="24"/>
    </row>
    <row r="51" spans="1:3">
      <c r="A51" s="22"/>
      <c r="B51" s="23"/>
      <c r="C51" s="24"/>
    </row>
    <row r="52" spans="1:3">
      <c r="A52" s="22"/>
      <c r="B52" s="23"/>
      <c r="C52" s="24"/>
    </row>
    <row r="53" spans="1:3">
      <c r="A53" s="22"/>
      <c r="B53" s="23"/>
      <c r="C53" s="24"/>
    </row>
    <row r="54" spans="1:3">
      <c r="A54" s="22"/>
      <c r="B54" s="23"/>
      <c r="C54" s="24"/>
    </row>
    <row r="55" spans="1:3">
      <c r="A55" s="22"/>
      <c r="B55" s="23"/>
      <c r="C55" s="24"/>
    </row>
    <row r="56" spans="1:3">
      <c r="A56" s="22"/>
      <c r="B56" s="23"/>
      <c r="C56" s="24"/>
    </row>
    <row r="57" spans="1:3">
      <c r="A57" s="22"/>
      <c r="B57" s="23"/>
      <c r="C57" s="24"/>
    </row>
    <row r="58" spans="1:3">
      <c r="A58" s="22"/>
      <c r="B58" s="23"/>
      <c r="C58" s="24"/>
    </row>
    <row r="59" spans="1:3">
      <c r="A59" s="22"/>
      <c r="B59" s="23"/>
      <c r="C59" s="24"/>
    </row>
    <row r="60" spans="1:3">
      <c r="A60" s="22"/>
      <c r="B60" s="23"/>
      <c r="C60" s="24"/>
    </row>
    <row r="61" spans="1:3">
      <c r="A61" s="22"/>
      <c r="B61" s="23"/>
      <c r="C61" s="24"/>
    </row>
    <row r="62" spans="1:3">
      <c r="A62" s="22"/>
      <c r="B62" s="23"/>
      <c r="C62" s="24"/>
    </row>
    <row r="63" spans="1:3">
      <c r="A63" s="22"/>
      <c r="B63" s="23"/>
      <c r="C63" s="24"/>
    </row>
    <row r="64" spans="1:3">
      <c r="A64" s="22"/>
      <c r="B64" s="23"/>
      <c r="C64" s="24"/>
    </row>
    <row r="65" spans="1:3">
      <c r="A65" s="22"/>
      <c r="B65" s="23"/>
      <c r="C65" s="24"/>
    </row>
    <row r="66" spans="1:3">
      <c r="A66" s="22"/>
      <c r="B66" s="23"/>
      <c r="C66" s="24"/>
    </row>
    <row r="67" spans="1:3">
      <c r="A67" s="22"/>
      <c r="B67" s="23"/>
      <c r="C67" s="24"/>
    </row>
    <row r="68" spans="1:3">
      <c r="A68" s="22"/>
      <c r="B68" s="23"/>
      <c r="C68" s="24"/>
    </row>
    <row r="69" spans="1:3">
      <c r="A69" s="22"/>
      <c r="B69" s="23"/>
      <c r="C69" s="24"/>
    </row>
    <row r="70" spans="1:3">
      <c r="A70" s="22"/>
      <c r="B70" s="23"/>
      <c r="C70" s="24"/>
    </row>
    <row r="71" spans="1:3">
      <c r="A71" s="22"/>
      <c r="B71" s="23"/>
      <c r="C71" s="24"/>
    </row>
    <row r="72" spans="1:3">
      <c r="A72" s="22"/>
      <c r="B72" s="23"/>
      <c r="C72" s="24"/>
    </row>
    <row r="73" spans="1:3">
      <c r="A73" s="22"/>
      <c r="B73" s="23"/>
      <c r="C73" s="24"/>
    </row>
    <row r="74" spans="1:3">
      <c r="A74" s="22"/>
      <c r="B74" s="23"/>
      <c r="C74" s="24"/>
    </row>
    <row r="75" spans="1:3">
      <c r="A75" s="22"/>
      <c r="B75" s="23"/>
      <c r="C75" s="24"/>
    </row>
    <row r="76" spans="1:3">
      <c r="A76" s="22"/>
      <c r="B76" s="23"/>
      <c r="C76" s="24"/>
    </row>
    <row r="77" spans="1:3">
      <c r="A77" s="22"/>
      <c r="B77" s="23"/>
      <c r="C77" s="24"/>
    </row>
    <row r="78" spans="1:3">
      <c r="A78" s="22"/>
      <c r="B78" s="23"/>
      <c r="C78" s="24"/>
    </row>
  </sheetData>
  <mergeCells count="6">
    <mergeCell ref="A16:B16"/>
    <mergeCell ref="A12:B12"/>
    <mergeCell ref="A13:B13"/>
    <mergeCell ref="A14:B14"/>
    <mergeCell ref="A11:B11"/>
    <mergeCell ref="A15:B15"/>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52"/>
  <sheetViews>
    <sheetView zoomScale="80" zoomScaleNormal="80" workbookViewId="0">
      <selection activeCell="B17" sqref="B17"/>
    </sheetView>
  </sheetViews>
  <sheetFormatPr defaultRowHeight="12.75"/>
  <cols>
    <col min="1" max="1" width="9.140625" style="3"/>
    <col min="2" max="2" width="49.5703125" style="3" bestFit="1" customWidth="1"/>
    <col min="3" max="4" width="9.140625" style="3"/>
    <col min="5" max="5" width="19.140625" style="3" customWidth="1"/>
    <col min="6" max="16384" width="9.140625" style="3"/>
  </cols>
  <sheetData>
    <row r="1" spans="1:2" ht="15.75">
      <c r="A1" s="1" t="str">
        <f>'Drawings &amp; Data'!A1</f>
        <v>ESTATE NAME</v>
      </c>
      <c r="B1" s="1"/>
    </row>
    <row r="2" spans="1:2" ht="15.75">
      <c r="A2" s="4" t="str">
        <f>'Drawings &amp; Data'!A2</f>
        <v>STAGE X</v>
      </c>
      <c r="B2" s="1"/>
    </row>
    <row r="3" spans="1:2" ht="15.75">
      <c r="A3" s="1"/>
      <c r="B3" s="1"/>
    </row>
    <row r="4" spans="1:2" ht="15.75">
      <c r="A4" s="5" t="s">
        <v>9</v>
      </c>
      <c r="B4" s="1"/>
    </row>
    <row r="5" spans="1:2" ht="15.75">
      <c r="A5" s="6" t="str">
        <f>'Drawings &amp; Data'!A5</f>
        <v>Name and/or entity</v>
      </c>
      <c r="B5" s="1"/>
    </row>
    <row r="6" spans="1:2" ht="15.75">
      <c r="A6" s="6" t="str">
        <f>'Drawings &amp; Data'!A6</f>
        <v>Address 1</v>
      </c>
      <c r="B6" s="1"/>
    </row>
    <row r="7" spans="1:2" ht="15.75">
      <c r="A7" s="6" t="str">
        <f>'Drawings &amp; Data'!A7</f>
        <v>Address 2</v>
      </c>
      <c r="B7" s="1"/>
    </row>
    <row r="8" spans="1:2" ht="15.75">
      <c r="A8" s="6"/>
      <c r="B8" s="1"/>
    </row>
    <row r="9" spans="1:2" ht="15.75">
      <c r="A9" s="5" t="s">
        <v>10</v>
      </c>
      <c r="B9" s="1"/>
    </row>
    <row r="10" spans="1:2" ht="15.75">
      <c r="A10" s="6" t="s">
        <v>282</v>
      </c>
      <c r="B10" s="1"/>
    </row>
    <row r="11" spans="1:2" ht="15.75">
      <c r="A11" s="6" t="s">
        <v>530</v>
      </c>
      <c r="B11" s="1"/>
    </row>
    <row r="12" spans="1:2" ht="15.75">
      <c r="A12" s="6" t="s">
        <v>529</v>
      </c>
      <c r="B12" s="1"/>
    </row>
    <row r="14" spans="1:2" ht="15.75">
      <c r="A14" s="4" t="s">
        <v>185</v>
      </c>
    </row>
    <row r="17" spans="2:5" ht="15">
      <c r="B17" s="27" t="s">
        <v>186</v>
      </c>
      <c r="C17" s="27"/>
      <c r="D17" s="27"/>
      <c r="E17" s="27">
        <f ca="1">'Road &amp; Drainage'!I560</f>
        <v>884671</v>
      </c>
    </row>
    <row r="18" spans="2:5" ht="15">
      <c r="B18" s="27"/>
      <c r="C18" s="27"/>
      <c r="D18" s="27"/>
      <c r="E18" s="27"/>
    </row>
    <row r="19" spans="2:5" ht="15">
      <c r="B19" s="27" t="s">
        <v>478</v>
      </c>
      <c r="C19" s="27"/>
      <c r="D19" s="27"/>
      <c r="E19" s="27">
        <f ca="1">'Sewer Retic (MRWA)'!I236</f>
        <v>342050</v>
      </c>
    </row>
    <row r="20" spans="2:5" ht="15">
      <c r="B20" s="27"/>
      <c r="C20" s="27"/>
      <c r="D20" s="27"/>
      <c r="E20" s="27"/>
    </row>
    <row r="21" spans="2:5" ht="15">
      <c r="B21" s="27" t="s">
        <v>491</v>
      </c>
      <c r="C21" s="27"/>
      <c r="D21" s="27"/>
      <c r="E21" s="27">
        <f ca="1">'Branch Sewer MRWA Reimbursable'!I177</f>
        <v>204392</v>
      </c>
    </row>
    <row r="22" spans="2:5" ht="15">
      <c r="B22" s="27"/>
      <c r="C22" s="27"/>
      <c r="D22" s="27"/>
      <c r="E22" s="27"/>
    </row>
    <row r="23" spans="2:5" ht="15">
      <c r="B23" s="27" t="s">
        <v>479</v>
      </c>
      <c r="C23" s="27"/>
      <c r="D23" s="27"/>
      <c r="E23" s="27">
        <f ca="1">'DW Retic'!I151</f>
        <v>216065</v>
      </c>
    </row>
    <row r="24" spans="2:5" ht="15">
      <c r="B24" s="27"/>
      <c r="C24" s="27"/>
      <c r="D24" s="27"/>
      <c r="E24" s="27"/>
    </row>
    <row r="25" spans="2:5" ht="15">
      <c r="B25" s="27" t="s">
        <v>480</v>
      </c>
      <c r="C25" s="27"/>
      <c r="D25" s="27"/>
      <c r="E25" s="27">
        <f ca="1">'NDW Retic'!I153</f>
        <v>283940</v>
      </c>
    </row>
    <row r="26" spans="2:5" ht="15">
      <c r="B26" s="27"/>
      <c r="C26" s="27"/>
      <c r="D26" s="27"/>
      <c r="E26" s="27"/>
    </row>
    <row r="27" spans="2:5" ht="15">
      <c r="B27" s="27" t="s">
        <v>481</v>
      </c>
      <c r="C27" s="27"/>
      <c r="D27" s="27"/>
      <c r="E27" s="27">
        <f ca="1">'Trunk DW Main - Reimbursable'!I113</f>
        <v>164363</v>
      </c>
    </row>
    <row r="28" spans="2:5" ht="15">
      <c r="B28" s="27"/>
      <c r="C28" s="27"/>
      <c r="D28" s="27"/>
      <c r="E28" s="27"/>
    </row>
    <row r="29" spans="2:5" ht="15">
      <c r="B29" s="27" t="s">
        <v>482</v>
      </c>
      <c r="C29" s="27"/>
      <c r="D29" s="27"/>
      <c r="E29" s="27">
        <f ca="1">'Trunk NDW Main - Reimbursable'!I113</f>
        <v>174014</v>
      </c>
    </row>
    <row r="30" spans="2:5" ht="15">
      <c r="B30" s="27"/>
      <c r="C30" s="27"/>
      <c r="D30" s="27"/>
      <c r="E30" s="27"/>
    </row>
    <row r="31" spans="2:5" ht="15">
      <c r="B31" s="27" t="s">
        <v>485</v>
      </c>
      <c r="C31" s="27"/>
      <c r="D31" s="27"/>
      <c r="E31" s="27">
        <f ca="1">'Sewer Retic (WW)'!I190</f>
        <v>254923</v>
      </c>
    </row>
    <row r="32" spans="2:5" ht="15">
      <c r="B32" s="27"/>
      <c r="C32" s="27"/>
      <c r="D32" s="27"/>
      <c r="E32" s="27"/>
    </row>
    <row r="33" spans="2:8" ht="15">
      <c r="B33" s="27" t="s">
        <v>488</v>
      </c>
      <c r="C33" s="27"/>
      <c r="D33" s="27"/>
      <c r="E33" s="27">
        <f ca="1">'Branch Sewer MRWA Reimburs (WW)'!I177</f>
        <v>235671</v>
      </c>
    </row>
    <row r="34" spans="2:8" ht="15">
      <c r="B34" s="27"/>
      <c r="C34" s="27"/>
      <c r="D34" s="27"/>
      <c r="E34" s="27"/>
    </row>
    <row r="35" spans="2:8" ht="15">
      <c r="B35" s="27" t="s">
        <v>486</v>
      </c>
      <c r="C35" s="27"/>
      <c r="D35" s="27"/>
      <c r="E35" s="27">
        <f ca="1">'DW Retic (WW)'!I152</f>
        <v>261114</v>
      </c>
    </row>
    <row r="36" spans="2:8" ht="15">
      <c r="B36" s="27"/>
      <c r="C36" s="27"/>
      <c r="D36" s="27"/>
      <c r="E36" s="27"/>
    </row>
    <row r="37" spans="2:8" ht="15">
      <c r="B37" s="27" t="s">
        <v>487</v>
      </c>
      <c r="C37" s="27"/>
      <c r="D37" s="27"/>
      <c r="E37" s="27">
        <f ca="1">'NDW Retic (WW)'!I154</f>
        <v>195776</v>
      </c>
    </row>
    <row r="38" spans="2:8" ht="15">
      <c r="B38" s="27"/>
      <c r="C38" s="27"/>
      <c r="D38" s="27"/>
      <c r="E38" s="27"/>
    </row>
    <row r="39" spans="2:8" ht="15">
      <c r="B39" s="27" t="s">
        <v>489</v>
      </c>
      <c r="C39" s="27"/>
      <c r="D39" s="27"/>
      <c r="E39" s="27">
        <f ca="1">'Trunk DW Main (WW)'!I114</f>
        <v>177448</v>
      </c>
    </row>
    <row r="40" spans="2:8" ht="15">
      <c r="B40" s="27"/>
      <c r="C40" s="27"/>
      <c r="D40" s="27"/>
      <c r="E40" s="27"/>
    </row>
    <row r="41" spans="2:8" ht="15">
      <c r="B41" s="27" t="s">
        <v>490</v>
      </c>
      <c r="C41" s="27"/>
      <c r="D41" s="27"/>
      <c r="E41" s="27">
        <f ca="1">'Trunk NDW Main - (WW)'!I114</f>
        <v>178771</v>
      </c>
    </row>
    <row r="42" spans="2:8" ht="15">
      <c r="B42" s="27"/>
      <c r="C42" s="27"/>
      <c r="D42" s="27"/>
      <c r="E42" s="27"/>
    </row>
    <row r="43" spans="2:8" ht="15">
      <c r="B43" s="27" t="s">
        <v>187</v>
      </c>
      <c r="C43" s="27"/>
      <c r="D43" s="27"/>
      <c r="E43" s="27">
        <f ca="1">Electrical!G34</f>
        <v>16430</v>
      </c>
    </row>
    <row r="44" spans="2:8" ht="15">
      <c r="B44" s="27"/>
      <c r="C44" s="27"/>
      <c r="D44" s="27"/>
      <c r="E44" s="27"/>
    </row>
    <row r="45" spans="2:8" ht="16.5" thickBot="1">
      <c r="B45" s="28" t="s">
        <v>483</v>
      </c>
      <c r="C45" s="28"/>
      <c r="D45" s="28"/>
      <c r="E45" s="29">
        <f ca="1">SUM(E17:E43)</f>
        <v>3589628</v>
      </c>
    </row>
    <row r="46" spans="2:8" ht="15">
      <c r="B46" s="27"/>
      <c r="C46" s="27"/>
      <c r="D46" s="27"/>
      <c r="E46" s="27"/>
    </row>
    <row r="48" spans="2:8" ht="14.25">
      <c r="B48" s="30" t="s">
        <v>18</v>
      </c>
      <c r="C48" s="31"/>
      <c r="D48" s="31"/>
      <c r="E48" s="31"/>
      <c r="F48" s="32"/>
      <c r="G48" s="33"/>
      <c r="H48" s="30"/>
    </row>
    <row r="49" spans="2:8" ht="14.25">
      <c r="B49" s="30"/>
      <c r="C49" s="34"/>
      <c r="D49" s="34"/>
      <c r="E49" s="34"/>
      <c r="F49" s="32"/>
      <c r="G49" s="33"/>
      <c r="H49" s="30"/>
    </row>
    <row r="50" spans="2:8" ht="14.25">
      <c r="B50" s="30" t="s">
        <v>19</v>
      </c>
      <c r="C50" s="31"/>
      <c r="D50" s="31"/>
      <c r="E50" s="31"/>
      <c r="F50" s="32"/>
      <c r="G50" s="33"/>
      <c r="H50" s="30"/>
    </row>
    <row r="52" spans="2:8" ht="56.45" customHeight="1">
      <c r="B52" s="109" t="s">
        <v>188</v>
      </c>
      <c r="C52" s="109"/>
      <c r="D52" s="109"/>
      <c r="E52" s="109"/>
    </row>
  </sheetData>
  <mergeCells count="1">
    <mergeCell ref="B52:E52"/>
  </mergeCells>
  <pageMargins left="0.7" right="0.7" top="0.75" bottom="0.75" header="0.3" footer="0.3"/>
  <pageSetup paperSize="277"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T1450"/>
  <sheetViews>
    <sheetView showZeros="0" tabSelected="1" topLeftCell="A25" zoomScale="80" zoomScaleNormal="80" workbookViewId="0">
      <selection activeCell="H35" sqref="H35"/>
    </sheetView>
  </sheetViews>
  <sheetFormatPr defaultColWidth="8.85546875" defaultRowHeight="12.75"/>
  <cols>
    <col min="1" max="1" width="8.85546875" style="36"/>
    <col min="2" max="2" width="7.7109375" style="15" customWidth="1"/>
    <col min="3" max="3" width="62" style="15" customWidth="1"/>
    <col min="4" max="6" width="10.7109375" style="26" customWidth="1"/>
    <col min="7" max="7" width="6.7109375" style="15" customWidth="1"/>
    <col min="8" max="9" width="12.7109375" style="9" customWidth="1"/>
    <col min="10" max="10" width="26.140625" style="3" customWidth="1"/>
    <col min="11" max="18" width="8.85546875" style="3"/>
    <col min="19" max="20" width="8.85546875" style="3" customWidth="1"/>
    <col min="21" max="16384" width="8.85546875" style="3"/>
  </cols>
  <sheetData>
    <row r="1" spans="2:9" ht="15.75">
      <c r="B1" s="1" t="str">
        <f>'Drawings &amp; Data'!A1</f>
        <v>ESTATE NAME</v>
      </c>
      <c r="C1" s="1"/>
      <c r="D1" s="1"/>
      <c r="E1" s="1"/>
      <c r="F1" s="1"/>
      <c r="G1" s="1"/>
      <c r="H1" s="1"/>
      <c r="I1" s="1"/>
    </row>
    <row r="2" spans="2:9" ht="15.75">
      <c r="B2" s="4" t="str">
        <f>'Drawings &amp; Data'!A2</f>
        <v>STAGE X</v>
      </c>
      <c r="C2" s="1"/>
      <c r="D2" s="1"/>
      <c r="E2" s="1"/>
      <c r="F2" s="1"/>
      <c r="G2" s="1"/>
      <c r="H2" s="1"/>
      <c r="I2" s="1"/>
    </row>
    <row r="3" spans="2:9" ht="15.75">
      <c r="B3" s="1"/>
      <c r="C3" s="1"/>
      <c r="D3" s="1"/>
      <c r="E3" s="1"/>
      <c r="F3" s="1"/>
      <c r="G3" s="1"/>
      <c r="H3" s="1"/>
      <c r="I3" s="1"/>
    </row>
    <row r="4" spans="2:9" ht="15.75">
      <c r="B4" s="5" t="s">
        <v>9</v>
      </c>
      <c r="C4" s="1"/>
      <c r="D4" s="1"/>
      <c r="E4" s="1"/>
      <c r="F4" s="1"/>
      <c r="G4" s="1"/>
      <c r="H4" s="1"/>
      <c r="I4" s="1"/>
    </row>
    <row r="5" spans="2:9" ht="15.75">
      <c r="B5" s="6" t="str">
        <f>'Drawings &amp; Data'!A5</f>
        <v>Name and/or entity</v>
      </c>
      <c r="C5" s="1"/>
      <c r="D5" s="1"/>
      <c r="E5" s="1"/>
      <c r="F5" s="1"/>
      <c r="G5" s="1"/>
      <c r="H5" s="1"/>
      <c r="I5" s="1"/>
    </row>
    <row r="6" spans="2:9" ht="15.75">
      <c r="B6" s="6" t="str">
        <f>'Drawings &amp; Data'!A6</f>
        <v>Address 1</v>
      </c>
      <c r="C6" s="1"/>
      <c r="D6" s="1"/>
      <c r="E6" s="1"/>
      <c r="F6" s="1"/>
      <c r="G6" s="1"/>
      <c r="H6" s="1"/>
      <c r="I6" s="1"/>
    </row>
    <row r="7" spans="2:9" ht="15.75">
      <c r="B7" s="6" t="str">
        <f>'Drawings &amp; Data'!A7</f>
        <v>Address 2</v>
      </c>
      <c r="C7" s="1"/>
      <c r="D7" s="1"/>
      <c r="E7" s="1"/>
      <c r="F7" s="1"/>
      <c r="G7" s="1"/>
      <c r="H7" s="1"/>
      <c r="I7" s="1"/>
    </row>
    <row r="8" spans="2:9" ht="15.75">
      <c r="B8" s="6"/>
      <c r="C8" s="1"/>
      <c r="D8" s="1"/>
      <c r="E8" s="1"/>
      <c r="F8" s="1"/>
      <c r="G8" s="1"/>
      <c r="H8" s="1"/>
      <c r="I8" s="1"/>
    </row>
    <row r="9" spans="2:9" ht="15.75">
      <c r="B9" s="5" t="s">
        <v>10</v>
      </c>
      <c r="C9" s="1"/>
      <c r="D9" s="1"/>
      <c r="E9" s="1"/>
      <c r="F9" s="1"/>
      <c r="G9" s="1"/>
      <c r="H9" s="1"/>
      <c r="I9" s="1"/>
    </row>
    <row r="10" spans="2:9" ht="15.75">
      <c r="B10" s="6" t="s">
        <v>282</v>
      </c>
      <c r="C10" s="1"/>
      <c r="D10" s="1"/>
      <c r="E10" s="1"/>
      <c r="F10" s="1"/>
      <c r="G10" s="1"/>
      <c r="H10" s="1"/>
      <c r="I10" s="1"/>
    </row>
    <row r="11" spans="2:9" ht="15.75">
      <c r="B11" s="6" t="s">
        <v>530</v>
      </c>
      <c r="C11" s="1"/>
      <c r="D11" s="1"/>
      <c r="E11" s="1"/>
      <c r="F11" s="1"/>
      <c r="G11" s="1"/>
      <c r="H11" s="1"/>
      <c r="I11" s="1"/>
    </row>
    <row r="12" spans="2:9" ht="15.75">
      <c r="B12" s="6" t="s">
        <v>529</v>
      </c>
      <c r="C12" s="1"/>
      <c r="D12" s="1"/>
      <c r="E12" s="1"/>
      <c r="F12" s="1"/>
      <c r="G12" s="1"/>
      <c r="H12" s="1"/>
      <c r="I12" s="1"/>
    </row>
    <row r="13" spans="2:9" ht="15.75">
      <c r="B13" s="6"/>
      <c r="C13" s="1"/>
      <c r="D13" s="1"/>
      <c r="E13" s="1"/>
      <c r="F13" s="1"/>
      <c r="G13" s="1"/>
      <c r="H13" s="1"/>
      <c r="I13" s="1"/>
    </row>
    <row r="14" spans="2:9" ht="15.75">
      <c r="B14" s="4" t="s">
        <v>74</v>
      </c>
      <c r="C14" s="1"/>
      <c r="D14" s="1"/>
      <c r="E14" s="1"/>
      <c r="F14" s="1"/>
      <c r="G14" s="1"/>
      <c r="H14" s="1"/>
      <c r="I14" s="1"/>
    </row>
    <row r="15" spans="2:9" ht="15.75">
      <c r="B15" s="1" t="s">
        <v>30</v>
      </c>
      <c r="C15" s="1"/>
      <c r="D15" s="1"/>
      <c r="E15" s="1"/>
      <c r="F15" s="1"/>
      <c r="G15" s="1"/>
      <c r="H15" s="1"/>
      <c r="I15" s="1"/>
    </row>
    <row r="16" spans="2:9" ht="15.75">
      <c r="B16" s="1"/>
      <c r="C16" s="1"/>
      <c r="D16" s="1"/>
      <c r="E16" s="1"/>
      <c r="F16" s="1"/>
      <c r="G16" s="1"/>
      <c r="H16" s="1"/>
      <c r="I16" s="1"/>
    </row>
    <row r="17" spans="1:9" s="41" customFormat="1" ht="60.6" customHeight="1">
      <c r="A17" s="37"/>
      <c r="B17" s="110" t="s">
        <v>182</v>
      </c>
      <c r="C17" s="110"/>
      <c r="D17" s="38"/>
      <c r="E17" s="38"/>
      <c r="F17" s="38"/>
      <c r="G17" s="39"/>
      <c r="H17" s="40"/>
      <c r="I17" s="40"/>
    </row>
    <row r="18" spans="1:9" s="41" customFormat="1" ht="8.4499999999999993" customHeight="1">
      <c r="A18" s="37"/>
      <c r="B18" s="42"/>
      <c r="C18" s="42"/>
      <c r="D18" s="38"/>
      <c r="E18" s="38"/>
      <c r="F18" s="38"/>
      <c r="G18" s="39"/>
      <c r="H18" s="40"/>
      <c r="I18" s="40"/>
    </row>
    <row r="19" spans="1:9" s="41" customFormat="1" ht="75.75" customHeight="1">
      <c r="A19" s="37"/>
      <c r="B19" s="110" t="s">
        <v>532</v>
      </c>
      <c r="C19" s="110"/>
      <c r="D19" s="38"/>
      <c r="E19" s="38"/>
      <c r="F19" s="38"/>
      <c r="G19" s="39"/>
      <c r="H19" s="40"/>
      <c r="I19" s="40"/>
    </row>
    <row r="20" spans="1:9" s="41" customFormat="1" ht="8.4499999999999993" customHeight="1">
      <c r="A20" s="37"/>
      <c r="B20" s="42"/>
      <c r="C20" s="42"/>
      <c r="D20" s="38"/>
      <c r="E20" s="38"/>
      <c r="F20" s="38"/>
      <c r="G20" s="39"/>
      <c r="H20" s="40"/>
      <c r="I20" s="40"/>
    </row>
    <row r="21" spans="1:9" s="41" customFormat="1" ht="56.25" customHeight="1">
      <c r="A21" s="37"/>
      <c r="B21" s="110" t="s">
        <v>183</v>
      </c>
      <c r="C21" s="110"/>
      <c r="D21" s="38"/>
      <c r="E21" s="38"/>
      <c r="F21" s="38"/>
      <c r="G21" s="39"/>
      <c r="H21" s="40"/>
      <c r="I21" s="40"/>
    </row>
    <row r="22" spans="1:9" s="41" customFormat="1" ht="8.4499999999999993" customHeight="1">
      <c r="A22" s="37"/>
      <c r="B22" s="42"/>
      <c r="C22" s="42"/>
      <c r="D22" s="38"/>
      <c r="E22" s="38"/>
      <c r="F22" s="38"/>
      <c r="G22" s="39"/>
      <c r="H22" s="40"/>
      <c r="I22" s="40"/>
    </row>
    <row r="23" spans="1:9" s="41" customFormat="1" ht="18" customHeight="1">
      <c r="A23" s="37"/>
      <c r="B23" s="110" t="s">
        <v>296</v>
      </c>
      <c r="C23" s="110"/>
      <c r="D23" s="38"/>
      <c r="E23" s="38"/>
      <c r="F23" s="38"/>
      <c r="G23" s="39"/>
      <c r="H23" s="40"/>
      <c r="I23" s="40"/>
    </row>
    <row r="24" spans="1:9" s="41" customFormat="1" ht="15">
      <c r="A24" s="43" t="s">
        <v>513</v>
      </c>
      <c r="B24" s="44"/>
      <c r="C24" s="44"/>
      <c r="D24" s="45"/>
      <c r="E24" s="45"/>
      <c r="F24" s="45"/>
      <c r="G24" s="44"/>
      <c r="H24" s="9"/>
      <c r="I24" s="9"/>
    </row>
    <row r="25" spans="1:9" s="41" customFormat="1" ht="15">
      <c r="A25" s="43" t="s">
        <v>514</v>
      </c>
      <c r="B25" s="46" t="s">
        <v>0</v>
      </c>
      <c r="C25" s="47" t="s">
        <v>1</v>
      </c>
      <c r="D25" s="48" t="s">
        <v>71</v>
      </c>
      <c r="E25" s="48" t="s">
        <v>72</v>
      </c>
      <c r="F25" s="48" t="s">
        <v>3</v>
      </c>
      <c r="G25" s="46" t="s">
        <v>2</v>
      </c>
      <c r="H25" s="49" t="s">
        <v>4</v>
      </c>
      <c r="I25" s="49" t="s">
        <v>5</v>
      </c>
    </row>
    <row r="26" spans="1:9" s="41" customFormat="1" ht="15">
      <c r="A26" s="43" t="s">
        <v>515</v>
      </c>
      <c r="B26" s="46"/>
      <c r="C26" s="47"/>
      <c r="D26" s="48"/>
      <c r="E26" s="48"/>
      <c r="F26" s="48"/>
      <c r="G26" s="46"/>
      <c r="H26" s="49"/>
      <c r="I26" s="49"/>
    </row>
    <row r="27" spans="1:9" s="41" customFormat="1" ht="15">
      <c r="A27" s="50">
        <v>1</v>
      </c>
      <c r="B27" s="51">
        <f ca="1">IF($A27="","",NumList())</f>
        <v>1</v>
      </c>
      <c r="C27" s="52" t="s">
        <v>75</v>
      </c>
      <c r="D27" s="48"/>
      <c r="E27" s="48"/>
      <c r="F27" s="48"/>
      <c r="G27" s="46"/>
      <c r="H27" s="53"/>
      <c r="I27" s="53"/>
    </row>
    <row r="28" spans="1:9" s="58" customFormat="1" ht="15">
      <c r="A28" s="50">
        <v>2</v>
      </c>
      <c r="B28" s="51" t="str">
        <f ca="1">IF($A28="","",NumList())</f>
        <v>1.1</v>
      </c>
      <c r="C28" s="54" t="s">
        <v>76</v>
      </c>
      <c r="D28" s="55"/>
      <c r="E28" s="55"/>
      <c r="F28" s="55"/>
      <c r="G28" s="51"/>
      <c r="H28" s="56"/>
      <c r="I28" s="57"/>
    </row>
    <row r="29" spans="1:9" s="58" customFormat="1" ht="42.75">
      <c r="A29" s="50">
        <v>3</v>
      </c>
      <c r="B29" s="51" t="str">
        <f ca="1">IF($A29="","",NumList())</f>
        <v>1.1.1</v>
      </c>
      <c r="C29" s="54" t="s">
        <v>77</v>
      </c>
      <c r="D29" s="55">
        <v>1</v>
      </c>
      <c r="E29" s="55">
        <v>1</v>
      </c>
      <c r="F29" s="55">
        <v>1</v>
      </c>
      <c r="G29" s="59" t="s">
        <v>0</v>
      </c>
      <c r="H29" s="60">
        <f ca="1">RANDBETWEEN(1,100)</f>
        <v>56</v>
      </c>
      <c r="I29" s="60">
        <f ca="1">F29*H29</f>
        <v>56</v>
      </c>
    </row>
    <row r="30" spans="1:9" s="58" customFormat="1" ht="71.25">
      <c r="A30" s="50">
        <v>3</v>
      </c>
      <c r="B30" s="51" t="str">
        <f ca="1">IF($A30="","",NumList())</f>
        <v>1.1.2</v>
      </c>
      <c r="C30" s="54" t="s">
        <v>290</v>
      </c>
      <c r="D30" s="55">
        <v>1</v>
      </c>
      <c r="E30" s="55">
        <v>1</v>
      </c>
      <c r="F30" s="55">
        <v>1</v>
      </c>
      <c r="G30" s="59" t="s">
        <v>0</v>
      </c>
      <c r="H30" s="60">
        <f ca="1">RANDBETWEEN(1,100)</f>
        <v>26</v>
      </c>
      <c r="I30" s="60">
        <f t="shared" ref="I30:I93" ca="1" si="0">F30*H30</f>
        <v>26</v>
      </c>
    </row>
    <row r="31" spans="1:9" s="58" customFormat="1" ht="14.25">
      <c r="A31" s="50" t="s">
        <v>516</v>
      </c>
      <c r="B31" s="51" t="str">
        <f>IF($A31="","",NumList())</f>
        <v/>
      </c>
      <c r="C31" s="54"/>
      <c r="D31" s="55"/>
      <c r="E31" s="55"/>
      <c r="F31" s="55"/>
      <c r="G31" s="59"/>
      <c r="H31" s="60"/>
      <c r="I31" s="60">
        <f t="shared" si="0"/>
        <v>0</v>
      </c>
    </row>
    <row r="32" spans="1:9" s="58" customFormat="1" ht="14.25">
      <c r="A32" s="50">
        <v>2</v>
      </c>
      <c r="B32" s="51" t="str">
        <f ca="1">IF($A32="","",NumList())</f>
        <v>1.2</v>
      </c>
      <c r="C32" s="54" t="s">
        <v>301</v>
      </c>
      <c r="D32" s="55"/>
      <c r="E32" s="55"/>
      <c r="F32" s="55"/>
      <c r="G32" s="59"/>
      <c r="H32" s="60"/>
      <c r="I32" s="60">
        <f t="shared" si="0"/>
        <v>0</v>
      </c>
    </row>
    <row r="33" spans="1:9" s="58" customFormat="1" ht="45">
      <c r="A33" s="50" t="s">
        <v>516</v>
      </c>
      <c r="B33" s="51" t="str">
        <f>IF($A33="","",NumList())</f>
        <v/>
      </c>
      <c r="C33" s="52" t="s">
        <v>286</v>
      </c>
      <c r="D33" s="55"/>
      <c r="E33" s="55"/>
      <c r="F33" s="55"/>
      <c r="G33" s="59"/>
      <c r="H33" s="60"/>
      <c r="I33" s="60">
        <f t="shared" si="0"/>
        <v>0</v>
      </c>
    </row>
    <row r="34" spans="1:9" s="58" customFormat="1" ht="28.5">
      <c r="A34" s="50">
        <v>3</v>
      </c>
      <c r="B34" s="51" t="str">
        <f ca="1">IF($A34="","",NumList())</f>
        <v>1.2.1</v>
      </c>
      <c r="C34" s="61" t="s">
        <v>533</v>
      </c>
      <c r="D34" s="55">
        <f>IF(ISTEXT(G34),1,0)</f>
        <v>1</v>
      </c>
      <c r="E34" s="55"/>
      <c r="F34" s="55">
        <f ca="1">RANDBETWEEN(1,100)</f>
        <v>49</v>
      </c>
      <c r="G34" s="59" t="s">
        <v>81</v>
      </c>
      <c r="H34" s="60">
        <f ca="1">RANDBETWEEN(1,100)</f>
        <v>88</v>
      </c>
      <c r="I34" s="60">
        <f t="shared" ca="1" si="0"/>
        <v>4312</v>
      </c>
    </row>
    <row r="35" spans="1:9" s="58" customFormat="1" ht="14.25">
      <c r="A35" s="50">
        <v>3</v>
      </c>
      <c r="B35" s="51" t="str">
        <f ca="1">IF($A35="","",NumList())</f>
        <v>1.2.2</v>
      </c>
      <c r="C35" s="61" t="s">
        <v>277</v>
      </c>
      <c r="D35" s="55">
        <f t="shared" ref="D35:D98" si="1">IF(ISTEXT(G35),1,0)</f>
        <v>1</v>
      </c>
      <c r="E35" s="55"/>
      <c r="F35" s="55">
        <f t="shared" ref="F35:F40" ca="1" si="2">RANDBETWEEN(1,100)</f>
        <v>62</v>
      </c>
      <c r="G35" s="59" t="s">
        <v>78</v>
      </c>
      <c r="H35" s="60">
        <f t="shared" ref="H35:H39" ca="1" si="3">RANDBETWEEN(1,100)</f>
        <v>45</v>
      </c>
      <c r="I35" s="60">
        <f t="shared" ca="1" si="0"/>
        <v>2790</v>
      </c>
    </row>
    <row r="36" spans="1:9" s="58" customFormat="1" ht="14.25">
      <c r="A36" s="50">
        <v>3</v>
      </c>
      <c r="B36" s="51" t="str">
        <f ca="1">IF($A36="","",NumList())</f>
        <v>1.2.3</v>
      </c>
      <c r="C36" s="61" t="s">
        <v>79</v>
      </c>
      <c r="D36" s="55">
        <f t="shared" si="1"/>
        <v>1</v>
      </c>
      <c r="E36" s="55"/>
      <c r="F36" s="55">
        <f t="shared" ca="1" si="2"/>
        <v>60</v>
      </c>
      <c r="G36" s="59" t="s">
        <v>78</v>
      </c>
      <c r="H36" s="60">
        <f t="shared" ca="1" si="3"/>
        <v>16</v>
      </c>
      <c r="I36" s="60">
        <f t="shared" ca="1" si="0"/>
        <v>960</v>
      </c>
    </row>
    <row r="37" spans="1:9" s="58" customFormat="1" ht="29.25">
      <c r="A37" s="50">
        <v>3</v>
      </c>
      <c r="B37" s="51" t="str">
        <f ca="1">IF($A37="","",NumList())</f>
        <v>1.2.4</v>
      </c>
      <c r="C37" s="61" t="s">
        <v>534</v>
      </c>
      <c r="D37" s="55">
        <f t="shared" si="1"/>
        <v>1</v>
      </c>
      <c r="E37" s="55">
        <f>E35-E36</f>
        <v>0</v>
      </c>
      <c r="F37" s="55">
        <f t="shared" ca="1" si="2"/>
        <v>6</v>
      </c>
      <c r="G37" s="59" t="s">
        <v>78</v>
      </c>
      <c r="H37" s="60">
        <f t="shared" ca="1" si="3"/>
        <v>17</v>
      </c>
      <c r="I37" s="60">
        <f t="shared" ca="1" si="0"/>
        <v>102</v>
      </c>
    </row>
    <row r="38" spans="1:9" s="58" customFormat="1" ht="14.25">
      <c r="A38" s="50">
        <v>3</v>
      </c>
      <c r="B38" s="51" t="str">
        <f ca="1">IF($A38="","",NumList())</f>
        <v>1.2.5</v>
      </c>
      <c r="C38" s="61" t="s">
        <v>278</v>
      </c>
      <c r="D38" s="55">
        <f t="shared" si="1"/>
        <v>1</v>
      </c>
      <c r="E38" s="55">
        <v>1</v>
      </c>
      <c r="F38" s="55">
        <f t="shared" ca="1" si="2"/>
        <v>84</v>
      </c>
      <c r="G38" s="59" t="s">
        <v>0</v>
      </c>
      <c r="H38" s="60">
        <f t="shared" ca="1" si="3"/>
        <v>100</v>
      </c>
      <c r="I38" s="60">
        <f t="shared" ca="1" si="0"/>
        <v>8400</v>
      </c>
    </row>
    <row r="39" spans="1:9" s="58" customFormat="1" ht="14.25">
      <c r="A39" s="50">
        <v>3</v>
      </c>
      <c r="B39" s="51" t="str">
        <f ca="1">IF($A39="","",NumList())</f>
        <v>1.2.6</v>
      </c>
      <c r="C39" s="54" t="s">
        <v>80</v>
      </c>
      <c r="D39" s="55">
        <f t="shared" si="1"/>
        <v>1</v>
      </c>
      <c r="E39" s="55"/>
      <c r="F39" s="55">
        <f t="shared" ca="1" si="2"/>
        <v>20</v>
      </c>
      <c r="G39" s="59" t="s">
        <v>81</v>
      </c>
      <c r="H39" s="60">
        <f t="shared" ca="1" si="3"/>
        <v>25</v>
      </c>
      <c r="I39" s="60">
        <f t="shared" ca="1" si="0"/>
        <v>500</v>
      </c>
    </row>
    <row r="40" spans="1:9" s="58" customFormat="1" ht="28.5">
      <c r="A40" s="50">
        <v>3</v>
      </c>
      <c r="B40" s="51" t="str">
        <f ca="1">IF($A40="","",NumList())</f>
        <v>1.2.7</v>
      </c>
      <c r="C40" s="62" t="s">
        <v>279</v>
      </c>
      <c r="D40" s="55">
        <f t="shared" si="1"/>
        <v>1</v>
      </c>
      <c r="E40" s="55"/>
      <c r="F40" s="55">
        <f t="shared" ca="1" si="2"/>
        <v>32</v>
      </c>
      <c r="G40" s="59" t="s">
        <v>6</v>
      </c>
      <c r="H40" s="60">
        <f ca="1">RANDBETWEEN(1,100)</f>
        <v>44</v>
      </c>
      <c r="I40" s="60">
        <f t="shared" ca="1" si="0"/>
        <v>1408</v>
      </c>
    </row>
    <row r="41" spans="1:9" s="58" customFormat="1" ht="43.5">
      <c r="A41" s="50" t="s">
        <v>516</v>
      </c>
      <c r="B41" s="51" t="str">
        <f>IF($A41="","",NumList())</f>
        <v/>
      </c>
      <c r="C41" s="63" t="s">
        <v>535</v>
      </c>
      <c r="D41" s="55">
        <f t="shared" si="1"/>
        <v>0</v>
      </c>
      <c r="E41" s="55"/>
      <c r="F41" s="55"/>
      <c r="G41" s="59"/>
      <c r="H41" s="60"/>
      <c r="I41" s="60">
        <f t="shared" si="0"/>
        <v>0</v>
      </c>
    </row>
    <row r="42" spans="1:9" s="58" customFormat="1" ht="14.25">
      <c r="A42" s="50" t="s">
        <v>516</v>
      </c>
      <c r="B42" s="51" t="str">
        <f>IF($A42="","",NumList())</f>
        <v/>
      </c>
      <c r="C42" s="54"/>
      <c r="D42" s="55">
        <f t="shared" si="1"/>
        <v>0</v>
      </c>
      <c r="E42" s="55"/>
      <c r="F42" s="55"/>
      <c r="G42" s="59"/>
      <c r="H42" s="60"/>
      <c r="I42" s="60">
        <f t="shared" si="0"/>
        <v>0</v>
      </c>
    </row>
    <row r="43" spans="1:9" s="58" customFormat="1" ht="28.5">
      <c r="A43" s="50">
        <v>2</v>
      </c>
      <c r="B43" s="51" t="str">
        <f ca="1">IF($A43="","",NumList())</f>
        <v>1.3</v>
      </c>
      <c r="C43" s="54" t="s">
        <v>280</v>
      </c>
      <c r="D43" s="55">
        <f t="shared" si="1"/>
        <v>0</v>
      </c>
      <c r="E43" s="55"/>
      <c r="F43" s="55"/>
      <c r="G43" s="59"/>
      <c r="H43" s="60"/>
      <c r="I43" s="60">
        <f t="shared" si="0"/>
        <v>0</v>
      </c>
    </row>
    <row r="44" spans="1:9" s="58" customFormat="1" ht="14.25">
      <c r="A44" s="50">
        <v>3</v>
      </c>
      <c r="B44" s="51" t="str">
        <f ca="1">IF($A44="","",NumList())</f>
        <v>1.3.1</v>
      </c>
      <c r="C44" s="61" t="s">
        <v>300</v>
      </c>
      <c r="D44" s="55">
        <f t="shared" si="1"/>
        <v>1</v>
      </c>
      <c r="E44" s="55"/>
      <c r="F44" s="55">
        <f ca="1">RANDBETWEEN(1,100)</f>
        <v>68</v>
      </c>
      <c r="G44" s="59" t="s">
        <v>81</v>
      </c>
      <c r="H44" s="60">
        <f ca="1">RANDBETWEEN(1,100)</f>
        <v>14</v>
      </c>
      <c r="I44" s="60">
        <f t="shared" ca="1" si="0"/>
        <v>952</v>
      </c>
    </row>
    <row r="45" spans="1:9" s="58" customFormat="1" ht="28.15" customHeight="1">
      <c r="A45" s="50">
        <v>3</v>
      </c>
      <c r="B45" s="51" t="str">
        <f ca="1">IF($A45="","",NumList())</f>
        <v>1.3.2</v>
      </c>
      <c r="C45" s="61" t="s">
        <v>378</v>
      </c>
      <c r="D45" s="55">
        <f t="shared" si="1"/>
        <v>1</v>
      </c>
      <c r="E45" s="55"/>
      <c r="F45" s="55">
        <f t="shared" ref="F45:F55" ca="1" si="4">RANDBETWEEN(1,100)</f>
        <v>10</v>
      </c>
      <c r="G45" s="59" t="s">
        <v>81</v>
      </c>
      <c r="H45" s="60">
        <f ca="1">RANDBETWEEN(1,100)</f>
        <v>56</v>
      </c>
      <c r="I45" s="60">
        <f t="shared" ca="1" si="0"/>
        <v>560</v>
      </c>
    </row>
    <row r="46" spans="1:9" s="58" customFormat="1" ht="14.25">
      <c r="A46" s="50" t="s">
        <v>516</v>
      </c>
      <c r="B46" s="51" t="str">
        <f>IF($A46="","",NumList())</f>
        <v/>
      </c>
      <c r="C46" s="54"/>
      <c r="D46" s="55">
        <f t="shared" si="1"/>
        <v>0</v>
      </c>
      <c r="E46" s="55"/>
      <c r="F46" s="55"/>
      <c r="G46" s="59"/>
      <c r="H46" s="60"/>
      <c r="I46" s="60">
        <f t="shared" si="0"/>
        <v>0</v>
      </c>
    </row>
    <row r="47" spans="1:9" s="41" customFormat="1" ht="15">
      <c r="A47" s="50">
        <v>1</v>
      </c>
      <c r="B47" s="51">
        <f ca="1">IF($A47="","",NumList())</f>
        <v>2</v>
      </c>
      <c r="C47" s="52" t="s">
        <v>82</v>
      </c>
      <c r="D47" s="55">
        <f t="shared" si="1"/>
        <v>0</v>
      </c>
      <c r="E47" s="48"/>
      <c r="F47" s="55"/>
      <c r="G47" s="64"/>
      <c r="H47" s="60"/>
      <c r="I47" s="60">
        <f t="shared" si="0"/>
        <v>0</v>
      </c>
    </row>
    <row r="48" spans="1:9" s="41" customFormat="1" ht="15">
      <c r="A48" s="50">
        <v>2</v>
      </c>
      <c r="B48" s="51" t="str">
        <f ca="1">IF($A48="","",NumList())</f>
        <v>2.1</v>
      </c>
      <c r="C48" s="52" t="s">
        <v>579</v>
      </c>
      <c r="D48" s="55">
        <f t="shared" si="1"/>
        <v>0</v>
      </c>
      <c r="E48" s="48"/>
      <c r="F48" s="55"/>
      <c r="G48" s="64"/>
      <c r="H48" s="60"/>
      <c r="I48" s="60">
        <f t="shared" si="0"/>
        <v>0</v>
      </c>
    </row>
    <row r="49" spans="1:9" s="58" customFormat="1" ht="14.25">
      <c r="A49" s="50">
        <v>3</v>
      </c>
      <c r="B49" s="51" t="str">
        <f ca="1">IF($A49="","",NumList())</f>
        <v>2.1.1</v>
      </c>
      <c r="C49" s="54" t="s">
        <v>83</v>
      </c>
      <c r="D49" s="55">
        <f t="shared" si="1"/>
        <v>0</v>
      </c>
      <c r="E49" s="55"/>
      <c r="F49" s="55"/>
      <c r="G49" s="59"/>
      <c r="H49" s="60"/>
      <c r="I49" s="60">
        <f t="shared" si="0"/>
        <v>0</v>
      </c>
    </row>
    <row r="50" spans="1:9" s="58" customFormat="1" ht="14.25" customHeight="1">
      <c r="A50" s="50">
        <v>4</v>
      </c>
      <c r="B50" s="51" t="str">
        <f ca="1">IF($A50="","",NumList())</f>
        <v>2.1.1.1</v>
      </c>
      <c r="C50" s="61"/>
      <c r="D50" s="55">
        <f t="shared" si="1"/>
        <v>1</v>
      </c>
      <c r="E50" s="55"/>
      <c r="F50" s="55">
        <f t="shared" ca="1" si="4"/>
        <v>1</v>
      </c>
      <c r="G50" s="65" t="s">
        <v>81</v>
      </c>
      <c r="H50" s="60">
        <f ca="1">RANDBETWEEN(1,100)</f>
        <v>62</v>
      </c>
      <c r="I50" s="60">
        <f t="shared" ca="1" si="0"/>
        <v>62</v>
      </c>
    </row>
    <row r="51" spans="1:9" s="58" customFormat="1" ht="14.25" customHeight="1">
      <c r="A51" s="50">
        <v>4</v>
      </c>
      <c r="B51" s="51" t="str">
        <f ca="1">IF($A51="","",NumList())</f>
        <v>2.1.1.2</v>
      </c>
      <c r="C51" s="61" t="s">
        <v>517</v>
      </c>
      <c r="D51" s="55">
        <f t="shared" si="1"/>
        <v>1</v>
      </c>
      <c r="E51" s="55"/>
      <c r="F51" s="55">
        <f t="shared" ca="1" si="4"/>
        <v>4</v>
      </c>
      <c r="G51" s="65" t="s">
        <v>81</v>
      </c>
      <c r="H51" s="60">
        <f t="shared" ref="H51:H55" ca="1" si="5">RANDBETWEEN(1,100)</f>
        <v>82</v>
      </c>
      <c r="I51" s="60">
        <f t="shared" ca="1" si="0"/>
        <v>328</v>
      </c>
    </row>
    <row r="52" spans="1:9" s="58" customFormat="1" ht="14.25" customHeight="1">
      <c r="A52" s="50">
        <v>4</v>
      </c>
      <c r="B52" s="51" t="str">
        <f ca="1">IF($A52="","",NumList())</f>
        <v>2.1.1.3</v>
      </c>
      <c r="C52" s="61" t="s">
        <v>517</v>
      </c>
      <c r="D52" s="55">
        <f t="shared" si="1"/>
        <v>1</v>
      </c>
      <c r="E52" s="55"/>
      <c r="F52" s="55">
        <f t="shared" ca="1" si="4"/>
        <v>60</v>
      </c>
      <c r="G52" s="65" t="s">
        <v>81</v>
      </c>
      <c r="H52" s="60">
        <f t="shared" ca="1" si="5"/>
        <v>39</v>
      </c>
      <c r="I52" s="60">
        <f t="shared" ca="1" si="0"/>
        <v>2340</v>
      </c>
    </row>
    <row r="53" spans="1:9" s="58" customFormat="1" ht="14.25">
      <c r="A53" s="50">
        <v>4</v>
      </c>
      <c r="B53" s="51" t="str">
        <f ca="1">IF($A53="","",NumList())</f>
        <v>2.1.1.4</v>
      </c>
      <c r="C53" s="62" t="s">
        <v>291</v>
      </c>
      <c r="D53" s="55">
        <f t="shared" si="1"/>
        <v>1</v>
      </c>
      <c r="E53" s="55"/>
      <c r="F53" s="55">
        <f t="shared" ca="1" si="4"/>
        <v>62</v>
      </c>
      <c r="G53" s="65" t="str">
        <f>G55</f>
        <v>sq.m.</v>
      </c>
      <c r="H53" s="60">
        <f t="shared" ca="1" si="5"/>
        <v>68</v>
      </c>
      <c r="I53" s="60">
        <f t="shared" ca="1" si="0"/>
        <v>4216</v>
      </c>
    </row>
    <row r="54" spans="1:9" s="58" customFormat="1" ht="14.25">
      <c r="A54" s="50">
        <v>4</v>
      </c>
      <c r="B54" s="51" t="str">
        <f ca="1">IF($A54="","",NumList())</f>
        <v>2.1.1.5</v>
      </c>
      <c r="C54" s="62" t="s">
        <v>87</v>
      </c>
      <c r="D54" s="55">
        <f t="shared" si="1"/>
        <v>1</v>
      </c>
      <c r="E54" s="55"/>
      <c r="F54" s="55">
        <f t="shared" ca="1" si="4"/>
        <v>2</v>
      </c>
      <c r="G54" s="65" t="s">
        <v>86</v>
      </c>
      <c r="H54" s="60">
        <f t="shared" ca="1" si="5"/>
        <v>50</v>
      </c>
      <c r="I54" s="60">
        <f t="shared" ca="1" si="0"/>
        <v>100</v>
      </c>
    </row>
    <row r="55" spans="1:9" s="58" customFormat="1" ht="14.25">
      <c r="A55" s="50">
        <v>4</v>
      </c>
      <c r="B55" s="51" t="str">
        <f ca="1">IF($A55="","",NumList())</f>
        <v>2.1.1.6</v>
      </c>
      <c r="C55" s="62" t="s">
        <v>240</v>
      </c>
      <c r="D55" s="55">
        <f t="shared" si="1"/>
        <v>1</v>
      </c>
      <c r="E55" s="55"/>
      <c r="F55" s="55">
        <f t="shared" ca="1" si="4"/>
        <v>53</v>
      </c>
      <c r="G55" s="65" t="s">
        <v>86</v>
      </c>
      <c r="H55" s="60">
        <f t="shared" ca="1" si="5"/>
        <v>69</v>
      </c>
      <c r="I55" s="60">
        <f t="shared" ca="1" si="0"/>
        <v>3657</v>
      </c>
    </row>
    <row r="56" spans="1:9" s="58" customFormat="1" ht="14.25">
      <c r="A56" s="50" t="s">
        <v>516</v>
      </c>
      <c r="B56" s="51" t="str">
        <f>IF($A56="","",NumList())</f>
        <v/>
      </c>
      <c r="C56" s="62"/>
      <c r="D56" s="55">
        <f t="shared" si="1"/>
        <v>0</v>
      </c>
      <c r="E56" s="55"/>
      <c r="F56" s="55"/>
      <c r="G56" s="65"/>
      <c r="H56" s="60"/>
      <c r="I56" s="60">
        <f t="shared" si="0"/>
        <v>0</v>
      </c>
    </row>
    <row r="57" spans="1:9" s="58" customFormat="1" ht="14.25">
      <c r="A57" s="50">
        <v>3</v>
      </c>
      <c r="B57" s="51" t="str">
        <f ca="1">IF($A57="","",NumList())</f>
        <v>2.1.2</v>
      </c>
      <c r="C57" s="54" t="s">
        <v>88</v>
      </c>
      <c r="D57" s="55">
        <f t="shared" si="1"/>
        <v>0</v>
      </c>
      <c r="E57" s="55"/>
      <c r="F57" s="55"/>
      <c r="G57" s="65"/>
      <c r="H57" s="60"/>
      <c r="I57" s="60">
        <f t="shared" si="0"/>
        <v>0</v>
      </c>
    </row>
    <row r="58" spans="1:9" s="58" customFormat="1" ht="14.25">
      <c r="A58" s="50">
        <v>4</v>
      </c>
      <c r="B58" s="51" t="str">
        <f ca="1">IF($A58="","",NumList())</f>
        <v>2.1.2.1</v>
      </c>
      <c r="C58" s="61" t="s">
        <v>92</v>
      </c>
      <c r="D58" s="55">
        <f t="shared" si="1"/>
        <v>0</v>
      </c>
      <c r="E58" s="55"/>
      <c r="F58" s="55"/>
      <c r="G58" s="65"/>
      <c r="H58" s="60"/>
      <c r="I58" s="60">
        <f t="shared" si="0"/>
        <v>0</v>
      </c>
    </row>
    <row r="59" spans="1:9" s="58" customFormat="1" ht="14.25">
      <c r="A59" s="50" t="s">
        <v>516</v>
      </c>
      <c r="B59" s="51" t="str">
        <f>IF($A59="","",NumList())</f>
        <v/>
      </c>
      <c r="C59" s="61" t="s">
        <v>94</v>
      </c>
      <c r="D59" s="55">
        <f t="shared" si="1"/>
        <v>1</v>
      </c>
      <c r="E59" s="55"/>
      <c r="F59" s="55">
        <f ca="1">RANDBETWEEN(1,100)</f>
        <v>21</v>
      </c>
      <c r="G59" s="65" t="s">
        <v>81</v>
      </c>
      <c r="H59" s="60">
        <f ca="1">RANDBETWEEN(1,100)</f>
        <v>33</v>
      </c>
      <c r="I59" s="60">
        <f t="shared" ca="1" si="0"/>
        <v>693</v>
      </c>
    </row>
    <row r="60" spans="1:9" s="58" customFormat="1" ht="14.25">
      <c r="A60" s="50" t="s">
        <v>516</v>
      </c>
      <c r="B60" s="51" t="str">
        <f>IF($A60="","",NumList())</f>
        <v/>
      </c>
      <c r="C60" s="61" t="s">
        <v>91</v>
      </c>
      <c r="D60" s="55">
        <f t="shared" si="1"/>
        <v>1</v>
      </c>
      <c r="E60" s="55"/>
      <c r="F60" s="55">
        <f ca="1">RANDBETWEEN(1,100)</f>
        <v>20</v>
      </c>
      <c r="G60" s="65" t="s">
        <v>81</v>
      </c>
      <c r="H60" s="60">
        <f ca="1">RANDBETWEEN(1,100)</f>
        <v>4</v>
      </c>
      <c r="I60" s="60">
        <f t="shared" ca="1" si="0"/>
        <v>80</v>
      </c>
    </row>
    <row r="61" spans="1:9" s="58" customFormat="1" ht="14.25">
      <c r="A61" s="50">
        <v>4</v>
      </c>
      <c r="B61" s="51" t="str">
        <f ca="1">IF($A61="","",NumList())</f>
        <v>2.1.2.2</v>
      </c>
      <c r="C61" s="61" t="s">
        <v>520</v>
      </c>
      <c r="D61" s="55">
        <f t="shared" si="1"/>
        <v>0</v>
      </c>
      <c r="E61" s="55"/>
      <c r="F61" s="55"/>
      <c r="G61" s="65"/>
      <c r="H61" s="60"/>
      <c r="I61" s="60">
        <f t="shared" si="0"/>
        <v>0</v>
      </c>
    </row>
    <row r="62" spans="1:9" s="58" customFormat="1" ht="14.25">
      <c r="A62" s="50" t="s">
        <v>516</v>
      </c>
      <c r="B62" s="51" t="str">
        <f>IF($A62="","",NumList())</f>
        <v/>
      </c>
      <c r="C62" s="61" t="s">
        <v>93</v>
      </c>
      <c r="D62" s="55">
        <f t="shared" si="1"/>
        <v>1</v>
      </c>
      <c r="E62" s="55"/>
      <c r="F62" s="55">
        <f ca="1">IF(ISTEXT(G62),RANDBETWEEN(1,100),0)</f>
        <v>57</v>
      </c>
      <c r="G62" s="65" t="s">
        <v>81</v>
      </c>
      <c r="H62" s="60">
        <f ca="1">RANDBETWEEN(1,100)</f>
        <v>10</v>
      </c>
      <c r="I62" s="60">
        <f t="shared" ca="1" si="0"/>
        <v>570</v>
      </c>
    </row>
    <row r="63" spans="1:9" s="58" customFormat="1" ht="14.25">
      <c r="A63" s="50" t="s">
        <v>516</v>
      </c>
      <c r="B63" s="51" t="str">
        <f>IF($A63="","",NumList())</f>
        <v/>
      </c>
      <c r="C63" s="61" t="s">
        <v>94</v>
      </c>
      <c r="D63" s="55">
        <f t="shared" si="1"/>
        <v>1</v>
      </c>
      <c r="E63" s="55"/>
      <c r="F63" s="55">
        <f t="shared" ref="F63:F126" ca="1" si="6">IF(ISTEXT(G63),RANDBETWEEN(1,100),0)</f>
        <v>5</v>
      </c>
      <c r="G63" s="65" t="s">
        <v>81</v>
      </c>
      <c r="H63" s="60">
        <f t="shared" ref="H63:H64" ca="1" si="7">RANDBETWEEN(1,100)</f>
        <v>93</v>
      </c>
      <c r="I63" s="60">
        <f t="shared" ca="1" si="0"/>
        <v>465</v>
      </c>
    </row>
    <row r="64" spans="1:9" s="58" customFormat="1" ht="14.25">
      <c r="A64" s="50" t="s">
        <v>516</v>
      </c>
      <c r="B64" s="51" t="str">
        <f>IF($A64="","",NumList())</f>
        <v/>
      </c>
      <c r="C64" s="61" t="s">
        <v>519</v>
      </c>
      <c r="D64" s="55">
        <f t="shared" si="1"/>
        <v>1</v>
      </c>
      <c r="E64" s="55"/>
      <c r="F64" s="55">
        <f t="shared" ca="1" si="6"/>
        <v>70</v>
      </c>
      <c r="G64" s="65" t="s">
        <v>81</v>
      </c>
      <c r="H64" s="60">
        <f t="shared" ca="1" si="7"/>
        <v>5</v>
      </c>
      <c r="I64" s="60">
        <f t="shared" ca="1" si="0"/>
        <v>350</v>
      </c>
    </row>
    <row r="65" spans="1:9" s="58" customFormat="1" ht="14.25">
      <c r="A65" s="50">
        <v>4</v>
      </c>
      <c r="B65" s="51" t="str">
        <f ca="1">IF($A65="","",NumList())</f>
        <v>2.1.2.3</v>
      </c>
      <c r="C65" s="62" t="s">
        <v>95</v>
      </c>
      <c r="D65" s="55">
        <f t="shared" si="1"/>
        <v>0</v>
      </c>
      <c r="E65" s="55"/>
      <c r="F65" s="55">
        <f t="shared" ca="1" si="6"/>
        <v>0</v>
      </c>
      <c r="G65" s="65"/>
      <c r="H65" s="60"/>
      <c r="I65" s="60">
        <f t="shared" ca="1" si="0"/>
        <v>0</v>
      </c>
    </row>
    <row r="66" spans="1:9" s="58" customFormat="1" ht="14.25">
      <c r="A66" s="50" t="s">
        <v>516</v>
      </c>
      <c r="B66" s="51" t="str">
        <f>IF($A66="","",NumList())</f>
        <v/>
      </c>
      <c r="C66" s="61" t="s">
        <v>94</v>
      </c>
      <c r="D66" s="55">
        <f t="shared" si="1"/>
        <v>1</v>
      </c>
      <c r="E66" s="55"/>
      <c r="F66" s="55">
        <f t="shared" ca="1" si="6"/>
        <v>59</v>
      </c>
      <c r="G66" s="65" t="s">
        <v>81</v>
      </c>
      <c r="H66" s="60">
        <f ca="1">RANDBETWEEN(1,100)</f>
        <v>90</v>
      </c>
      <c r="I66" s="60">
        <f t="shared" ca="1" si="0"/>
        <v>5310</v>
      </c>
    </row>
    <row r="67" spans="1:9" s="58" customFormat="1" ht="14.25">
      <c r="A67" s="50" t="s">
        <v>516</v>
      </c>
      <c r="B67" s="51" t="str">
        <f>IF($A67="","",NumList())</f>
        <v/>
      </c>
      <c r="C67" s="61"/>
      <c r="D67" s="55">
        <f t="shared" si="1"/>
        <v>0</v>
      </c>
      <c r="E67" s="55"/>
      <c r="F67" s="55">
        <f t="shared" ca="1" si="6"/>
        <v>0</v>
      </c>
      <c r="G67" s="65"/>
      <c r="H67" s="60"/>
      <c r="I67" s="60">
        <f t="shared" ca="1" si="0"/>
        <v>0</v>
      </c>
    </row>
    <row r="68" spans="1:9" s="41" customFormat="1" ht="15">
      <c r="A68" s="50">
        <v>2</v>
      </c>
      <c r="B68" s="51" t="str">
        <f ca="1">IF($A68="","",NumList())</f>
        <v>2.2</v>
      </c>
      <c r="C68" s="52" t="s">
        <v>579</v>
      </c>
      <c r="D68" s="55">
        <f t="shared" si="1"/>
        <v>0</v>
      </c>
      <c r="E68" s="48"/>
      <c r="F68" s="55">
        <f t="shared" ca="1" si="6"/>
        <v>0</v>
      </c>
      <c r="G68" s="64"/>
      <c r="H68" s="60"/>
      <c r="I68" s="60">
        <f t="shared" ca="1" si="0"/>
        <v>0</v>
      </c>
    </row>
    <row r="69" spans="1:9" s="58" customFormat="1" ht="14.25">
      <c r="A69" s="50">
        <v>3</v>
      </c>
      <c r="B69" s="51" t="str">
        <f ca="1">IF($A69="","",NumList())</f>
        <v>2.2.1</v>
      </c>
      <c r="C69" s="54" t="s">
        <v>83</v>
      </c>
      <c r="D69" s="55">
        <f t="shared" si="1"/>
        <v>0</v>
      </c>
      <c r="E69" s="55"/>
      <c r="F69" s="55">
        <f t="shared" ca="1" si="6"/>
        <v>0</v>
      </c>
      <c r="G69" s="59"/>
      <c r="H69" s="60"/>
      <c r="I69" s="60">
        <f t="shared" ca="1" si="0"/>
        <v>0</v>
      </c>
    </row>
    <row r="70" spans="1:9" s="58" customFormat="1" ht="14.25" customHeight="1">
      <c r="A70" s="50">
        <v>4</v>
      </c>
      <c r="B70" s="51" t="str">
        <f ca="1">IF($A70="","",NumList())</f>
        <v>2.2.1.1</v>
      </c>
      <c r="C70" s="61" t="s">
        <v>518</v>
      </c>
      <c r="D70" s="55">
        <f t="shared" si="1"/>
        <v>1</v>
      </c>
      <c r="E70" s="55"/>
      <c r="F70" s="55">
        <f t="shared" ca="1" si="6"/>
        <v>84</v>
      </c>
      <c r="G70" s="65" t="s">
        <v>81</v>
      </c>
      <c r="H70" s="60">
        <f ca="1">RANDBETWEEN(1,100)</f>
        <v>45</v>
      </c>
      <c r="I70" s="60">
        <f t="shared" ca="1" si="0"/>
        <v>3780</v>
      </c>
    </row>
    <row r="71" spans="1:9" s="58" customFormat="1" ht="14.25" customHeight="1">
      <c r="A71" s="50">
        <v>4</v>
      </c>
      <c r="B71" s="51" t="str">
        <f ca="1">IF($A71="","",NumList())</f>
        <v>2.2.1.2</v>
      </c>
      <c r="C71" s="61" t="s">
        <v>84</v>
      </c>
      <c r="D71" s="55">
        <f t="shared" si="1"/>
        <v>1</v>
      </c>
      <c r="E71" s="55"/>
      <c r="F71" s="55">
        <f t="shared" ca="1" si="6"/>
        <v>25</v>
      </c>
      <c r="G71" s="65" t="s">
        <v>81</v>
      </c>
      <c r="H71" s="60">
        <f t="shared" ref="H71:H75" ca="1" si="8">RANDBETWEEN(1,100)</f>
        <v>28</v>
      </c>
      <c r="I71" s="60">
        <f t="shared" ca="1" si="0"/>
        <v>700</v>
      </c>
    </row>
    <row r="72" spans="1:9" s="58" customFormat="1" ht="14.25" customHeight="1">
      <c r="A72" s="50">
        <v>4</v>
      </c>
      <c r="B72" s="51" t="str">
        <f ca="1">IF($A72="","",NumList())</f>
        <v>2.2.1.3</v>
      </c>
      <c r="C72" s="61" t="s">
        <v>85</v>
      </c>
      <c r="D72" s="55">
        <f t="shared" si="1"/>
        <v>1</v>
      </c>
      <c r="E72" s="55"/>
      <c r="F72" s="55">
        <f t="shared" ca="1" si="6"/>
        <v>67</v>
      </c>
      <c r="G72" s="65" t="s">
        <v>81</v>
      </c>
      <c r="H72" s="60">
        <f t="shared" ca="1" si="8"/>
        <v>56</v>
      </c>
      <c r="I72" s="60">
        <f t="shared" ca="1" si="0"/>
        <v>3752</v>
      </c>
    </row>
    <row r="73" spans="1:9" s="58" customFormat="1" ht="14.25">
      <c r="A73" s="50">
        <v>4</v>
      </c>
      <c r="B73" s="51" t="str">
        <f ca="1">IF($A73="","",NumList())</f>
        <v>2.2.1.4</v>
      </c>
      <c r="C73" s="62" t="s">
        <v>291</v>
      </c>
      <c r="D73" s="55">
        <f t="shared" si="1"/>
        <v>1</v>
      </c>
      <c r="E73" s="55"/>
      <c r="F73" s="55">
        <f t="shared" ca="1" si="6"/>
        <v>5</v>
      </c>
      <c r="G73" s="65" t="str">
        <f>G75</f>
        <v>sq.m.</v>
      </c>
      <c r="H73" s="60">
        <f t="shared" ca="1" si="8"/>
        <v>15</v>
      </c>
      <c r="I73" s="60">
        <f t="shared" ca="1" si="0"/>
        <v>75</v>
      </c>
    </row>
    <row r="74" spans="1:9" s="58" customFormat="1" ht="14.25">
      <c r="A74" s="50">
        <v>4</v>
      </c>
      <c r="B74" s="51" t="str">
        <f ca="1">IF($A74="","",NumList())</f>
        <v>2.2.1.5</v>
      </c>
      <c r="C74" s="62" t="s">
        <v>87</v>
      </c>
      <c r="D74" s="55">
        <f t="shared" si="1"/>
        <v>1</v>
      </c>
      <c r="E74" s="55"/>
      <c r="F74" s="55">
        <f t="shared" ca="1" si="6"/>
        <v>33</v>
      </c>
      <c r="G74" s="65" t="s">
        <v>86</v>
      </c>
      <c r="H74" s="60">
        <f t="shared" ca="1" si="8"/>
        <v>74</v>
      </c>
      <c r="I74" s="60">
        <f t="shared" ca="1" si="0"/>
        <v>2442</v>
      </c>
    </row>
    <row r="75" spans="1:9" s="58" customFormat="1" ht="14.25">
      <c r="A75" s="50">
        <v>4</v>
      </c>
      <c r="B75" s="51" t="str">
        <f ca="1">IF($A75="","",NumList())</f>
        <v>2.2.1.6</v>
      </c>
      <c r="C75" s="62" t="s">
        <v>241</v>
      </c>
      <c r="D75" s="55">
        <f t="shared" si="1"/>
        <v>1</v>
      </c>
      <c r="E75" s="55"/>
      <c r="F75" s="55">
        <f t="shared" ca="1" si="6"/>
        <v>38</v>
      </c>
      <c r="G75" s="65" t="s">
        <v>86</v>
      </c>
      <c r="H75" s="60">
        <f t="shared" ca="1" si="8"/>
        <v>22</v>
      </c>
      <c r="I75" s="60">
        <f t="shared" ca="1" si="0"/>
        <v>836</v>
      </c>
    </row>
    <row r="76" spans="1:9" s="58" customFormat="1" ht="14.25">
      <c r="A76" s="50" t="s">
        <v>516</v>
      </c>
      <c r="B76" s="51" t="str">
        <f>IF($A76="","",NumList())</f>
        <v/>
      </c>
      <c r="C76" s="62"/>
      <c r="D76" s="55">
        <f t="shared" si="1"/>
        <v>0</v>
      </c>
      <c r="E76" s="55"/>
      <c r="F76" s="55">
        <f t="shared" ca="1" si="6"/>
        <v>0</v>
      </c>
      <c r="G76" s="65"/>
      <c r="H76" s="60"/>
      <c r="I76" s="60">
        <f t="shared" ca="1" si="0"/>
        <v>0</v>
      </c>
    </row>
    <row r="77" spans="1:9" s="58" customFormat="1" ht="14.25">
      <c r="A77" s="50">
        <v>3</v>
      </c>
      <c r="B77" s="51" t="str">
        <f ca="1">IF($A77="","",NumList())</f>
        <v>2.2.2</v>
      </c>
      <c r="C77" s="54" t="s">
        <v>88</v>
      </c>
      <c r="D77" s="55">
        <f t="shared" si="1"/>
        <v>0</v>
      </c>
      <c r="E77" s="55"/>
      <c r="F77" s="55">
        <f t="shared" ca="1" si="6"/>
        <v>0</v>
      </c>
      <c r="G77" s="65"/>
      <c r="H77" s="60"/>
      <c r="I77" s="60">
        <f t="shared" ca="1" si="0"/>
        <v>0</v>
      </c>
    </row>
    <row r="78" spans="1:9" s="58" customFormat="1" ht="14.25">
      <c r="A78" s="50">
        <v>4</v>
      </c>
      <c r="B78" s="51" t="str">
        <f ca="1">IF($A78="","",NumList())</f>
        <v>2.2.2.1</v>
      </c>
      <c r="C78" s="61" t="s">
        <v>522</v>
      </c>
      <c r="D78" s="55">
        <f t="shared" si="1"/>
        <v>0</v>
      </c>
      <c r="E78" s="55"/>
      <c r="F78" s="55">
        <f t="shared" ca="1" si="6"/>
        <v>0</v>
      </c>
      <c r="G78" s="65"/>
      <c r="H78" s="60"/>
      <c r="I78" s="60">
        <f t="shared" ca="1" si="0"/>
        <v>0</v>
      </c>
    </row>
    <row r="79" spans="1:9" s="58" customFormat="1" ht="14.25">
      <c r="A79" s="50" t="s">
        <v>516</v>
      </c>
      <c r="B79" s="51" t="str">
        <f>IF($A79="","",NumList())</f>
        <v/>
      </c>
      <c r="C79" s="61" t="s">
        <v>521</v>
      </c>
      <c r="D79" s="55">
        <f t="shared" si="1"/>
        <v>1</v>
      </c>
      <c r="E79" s="55"/>
      <c r="F79" s="55">
        <f t="shared" ca="1" si="6"/>
        <v>24</v>
      </c>
      <c r="G79" s="65" t="s">
        <v>81</v>
      </c>
      <c r="H79" s="60">
        <f ca="1">RANDBETWEEN(1,100)</f>
        <v>26</v>
      </c>
      <c r="I79" s="60">
        <f t="shared" ca="1" si="0"/>
        <v>624</v>
      </c>
    </row>
    <row r="80" spans="1:9" s="58" customFormat="1" ht="14.25">
      <c r="A80" s="50" t="s">
        <v>516</v>
      </c>
      <c r="B80" s="51" t="str">
        <f>IF($A80="","",NumList())</f>
        <v/>
      </c>
      <c r="C80" s="61" t="s">
        <v>91</v>
      </c>
      <c r="D80" s="55">
        <f t="shared" si="1"/>
        <v>1</v>
      </c>
      <c r="E80" s="55"/>
      <c r="F80" s="55">
        <f t="shared" ca="1" si="6"/>
        <v>75</v>
      </c>
      <c r="G80" s="65" t="s">
        <v>81</v>
      </c>
      <c r="H80" s="60">
        <f ca="1">RANDBETWEEN(1,100)</f>
        <v>46</v>
      </c>
      <c r="I80" s="60">
        <f t="shared" ca="1" si="0"/>
        <v>3450</v>
      </c>
    </row>
    <row r="81" spans="1:9" s="58" customFormat="1" ht="14.25">
      <c r="A81" s="50">
        <v>4</v>
      </c>
      <c r="B81" s="51" t="str">
        <f ca="1">IF($A81="","",NumList())</f>
        <v>2.2.2.2</v>
      </c>
      <c r="C81" s="61" t="s">
        <v>92</v>
      </c>
      <c r="D81" s="55">
        <f t="shared" si="1"/>
        <v>0</v>
      </c>
      <c r="E81" s="55"/>
      <c r="F81" s="55">
        <f t="shared" ca="1" si="6"/>
        <v>0</v>
      </c>
      <c r="G81" s="65"/>
      <c r="H81" s="60"/>
      <c r="I81" s="60">
        <f t="shared" ca="1" si="0"/>
        <v>0</v>
      </c>
    </row>
    <row r="82" spans="1:9" s="58" customFormat="1" ht="14.25">
      <c r="A82" s="50" t="s">
        <v>516</v>
      </c>
      <c r="B82" s="51" t="str">
        <f>IF($A82="","",NumList())</f>
        <v/>
      </c>
      <c r="C82" s="61" t="s">
        <v>93</v>
      </c>
      <c r="D82" s="55">
        <f t="shared" si="1"/>
        <v>1</v>
      </c>
      <c r="E82" s="55"/>
      <c r="F82" s="55">
        <f t="shared" ca="1" si="6"/>
        <v>29</v>
      </c>
      <c r="G82" s="65" t="s">
        <v>81</v>
      </c>
      <c r="H82" s="60">
        <f ca="1">RANDBETWEEN(1,100)</f>
        <v>9</v>
      </c>
      <c r="I82" s="60">
        <f t="shared" ca="1" si="0"/>
        <v>261</v>
      </c>
    </row>
    <row r="83" spans="1:9" s="58" customFormat="1" ht="14.25">
      <c r="A83" s="50" t="s">
        <v>516</v>
      </c>
      <c r="B83" s="51" t="str">
        <f>IF($A83="","",NumList())</f>
        <v/>
      </c>
      <c r="C83" s="61" t="s">
        <v>523</v>
      </c>
      <c r="D83" s="55">
        <f t="shared" si="1"/>
        <v>1</v>
      </c>
      <c r="E83" s="55"/>
      <c r="F83" s="55">
        <f t="shared" ca="1" si="6"/>
        <v>69</v>
      </c>
      <c r="G83" s="65" t="s">
        <v>81</v>
      </c>
      <c r="H83" s="60">
        <f t="shared" ref="H83:H84" ca="1" si="9">RANDBETWEEN(1,100)</f>
        <v>13</v>
      </c>
      <c r="I83" s="60">
        <f t="shared" ca="1" si="0"/>
        <v>897</v>
      </c>
    </row>
    <row r="84" spans="1:9" s="58" customFormat="1" ht="14.25">
      <c r="A84" s="50" t="s">
        <v>516</v>
      </c>
      <c r="B84" s="51" t="str">
        <f>IF($A84="","",NumList())</f>
        <v/>
      </c>
      <c r="C84" s="61" t="s">
        <v>91</v>
      </c>
      <c r="D84" s="55">
        <f t="shared" si="1"/>
        <v>1</v>
      </c>
      <c r="E84" s="55"/>
      <c r="F84" s="55">
        <f t="shared" ca="1" si="6"/>
        <v>69</v>
      </c>
      <c r="G84" s="65" t="s">
        <v>81</v>
      </c>
      <c r="H84" s="60">
        <f t="shared" ca="1" si="9"/>
        <v>37</v>
      </c>
      <c r="I84" s="60">
        <f t="shared" ca="1" si="0"/>
        <v>2553</v>
      </c>
    </row>
    <row r="85" spans="1:9" s="58" customFormat="1" ht="14.25">
      <c r="A85" s="50">
        <v>4</v>
      </c>
      <c r="B85" s="51" t="str">
        <f ca="1">IF($A85="","",NumList())</f>
        <v>2.2.2.3</v>
      </c>
      <c r="C85" s="62" t="s">
        <v>95</v>
      </c>
      <c r="D85" s="55">
        <f t="shared" si="1"/>
        <v>0</v>
      </c>
      <c r="E85" s="55"/>
      <c r="F85" s="55">
        <f t="shared" ca="1" si="6"/>
        <v>0</v>
      </c>
      <c r="G85" s="65"/>
      <c r="H85" s="60"/>
      <c r="I85" s="60">
        <f t="shared" ca="1" si="0"/>
        <v>0</v>
      </c>
    </row>
    <row r="86" spans="1:9" s="58" customFormat="1" ht="14.25">
      <c r="A86" s="50" t="s">
        <v>516</v>
      </c>
      <c r="B86" s="51" t="str">
        <f>IF($A86="","",NumList())</f>
        <v/>
      </c>
      <c r="C86" s="61" t="s">
        <v>94</v>
      </c>
      <c r="D86" s="55">
        <f t="shared" si="1"/>
        <v>1</v>
      </c>
      <c r="E86" s="55"/>
      <c r="F86" s="55">
        <f t="shared" ca="1" si="6"/>
        <v>20</v>
      </c>
      <c r="G86" s="65" t="s">
        <v>81</v>
      </c>
      <c r="H86" s="60">
        <f ca="1">RANDBETWEEN(1,100)</f>
        <v>63</v>
      </c>
      <c r="I86" s="60">
        <f t="shared" ca="1" si="0"/>
        <v>1260</v>
      </c>
    </row>
    <row r="87" spans="1:9" s="58" customFormat="1" ht="14.25">
      <c r="A87" s="50" t="s">
        <v>516</v>
      </c>
      <c r="B87" s="51" t="str">
        <f>IF($A87="","",NumList())</f>
        <v/>
      </c>
      <c r="C87" s="61"/>
      <c r="D87" s="55">
        <f t="shared" si="1"/>
        <v>0</v>
      </c>
      <c r="E87" s="55"/>
      <c r="F87" s="55">
        <f t="shared" ca="1" si="6"/>
        <v>0</v>
      </c>
      <c r="G87" s="65"/>
      <c r="H87" s="60"/>
      <c r="I87" s="60">
        <f t="shared" ca="1" si="0"/>
        <v>0</v>
      </c>
    </row>
    <row r="88" spans="1:9" s="41" customFormat="1" ht="15">
      <c r="A88" s="50">
        <v>2</v>
      </c>
      <c r="B88" s="51" t="str">
        <f ca="1">IF($A88="","",NumList())</f>
        <v>2.3</v>
      </c>
      <c r="C88" s="52" t="s">
        <v>579</v>
      </c>
      <c r="D88" s="55">
        <f t="shared" si="1"/>
        <v>0</v>
      </c>
      <c r="E88" s="48"/>
      <c r="F88" s="55">
        <f t="shared" ca="1" si="6"/>
        <v>0</v>
      </c>
      <c r="G88" s="64"/>
      <c r="H88" s="60"/>
      <c r="I88" s="60">
        <f t="shared" ca="1" si="0"/>
        <v>0</v>
      </c>
    </row>
    <row r="89" spans="1:9" s="58" customFormat="1" ht="14.25">
      <c r="A89" s="50">
        <v>3</v>
      </c>
      <c r="B89" s="51" t="str">
        <f ca="1">IF($A89="","",NumList())</f>
        <v>2.3.1</v>
      </c>
      <c r="C89" s="54" t="s">
        <v>83</v>
      </c>
      <c r="D89" s="55">
        <f t="shared" si="1"/>
        <v>0</v>
      </c>
      <c r="E89" s="55"/>
      <c r="F89" s="55">
        <f t="shared" ca="1" si="6"/>
        <v>0</v>
      </c>
      <c r="G89" s="59"/>
      <c r="H89" s="60"/>
      <c r="I89" s="60">
        <f t="shared" ca="1" si="0"/>
        <v>0</v>
      </c>
    </row>
    <row r="90" spans="1:9" s="58" customFormat="1" ht="14.25" customHeight="1">
      <c r="A90" s="50">
        <v>4</v>
      </c>
      <c r="B90" s="51" t="str">
        <f ca="1">IF($A90="","",NumList())</f>
        <v>2.3.1.1</v>
      </c>
      <c r="C90" s="61" t="s">
        <v>518</v>
      </c>
      <c r="D90" s="55">
        <f t="shared" si="1"/>
        <v>1</v>
      </c>
      <c r="E90" s="55"/>
      <c r="F90" s="55">
        <f t="shared" ca="1" si="6"/>
        <v>94</v>
      </c>
      <c r="G90" s="65" t="s">
        <v>81</v>
      </c>
      <c r="H90" s="60">
        <f ca="1">RANDBETWEEN(1,100)</f>
        <v>19</v>
      </c>
      <c r="I90" s="60">
        <f t="shared" ca="1" si="0"/>
        <v>1786</v>
      </c>
    </row>
    <row r="91" spans="1:9" s="58" customFormat="1" ht="14.25" customHeight="1">
      <c r="A91" s="50">
        <v>4</v>
      </c>
      <c r="B91" s="51" t="str">
        <f ca="1">IF($A91="","",NumList())</f>
        <v>2.3.1.2</v>
      </c>
      <c r="C91" s="61" t="s">
        <v>84</v>
      </c>
      <c r="D91" s="55">
        <f t="shared" si="1"/>
        <v>1</v>
      </c>
      <c r="E91" s="55"/>
      <c r="F91" s="55">
        <f t="shared" ca="1" si="6"/>
        <v>47</v>
      </c>
      <c r="G91" s="65" t="s">
        <v>81</v>
      </c>
      <c r="H91" s="60">
        <f t="shared" ref="H91:H95" ca="1" si="10">RANDBETWEEN(1,100)</f>
        <v>82</v>
      </c>
      <c r="I91" s="60">
        <f t="shared" ca="1" si="0"/>
        <v>3854</v>
      </c>
    </row>
    <row r="92" spans="1:9" s="58" customFormat="1" ht="14.25" customHeight="1">
      <c r="A92" s="50">
        <v>4</v>
      </c>
      <c r="B92" s="51" t="str">
        <f ca="1">IF($A92="","",NumList())</f>
        <v>2.3.1.3</v>
      </c>
      <c r="C92" s="61" t="s">
        <v>85</v>
      </c>
      <c r="D92" s="55">
        <f t="shared" si="1"/>
        <v>1</v>
      </c>
      <c r="E92" s="55"/>
      <c r="F92" s="55">
        <f t="shared" ca="1" si="6"/>
        <v>58</v>
      </c>
      <c r="G92" s="65" t="s">
        <v>81</v>
      </c>
      <c r="H92" s="60">
        <f t="shared" ca="1" si="10"/>
        <v>51</v>
      </c>
      <c r="I92" s="60">
        <f t="shared" ca="1" si="0"/>
        <v>2958</v>
      </c>
    </row>
    <row r="93" spans="1:9" s="58" customFormat="1" ht="14.25">
      <c r="A93" s="50">
        <v>4</v>
      </c>
      <c r="B93" s="51" t="str">
        <f ca="1">IF($A93="","",NumList())</f>
        <v>2.3.1.4</v>
      </c>
      <c r="C93" s="62" t="s">
        <v>291</v>
      </c>
      <c r="D93" s="55">
        <f t="shared" si="1"/>
        <v>1</v>
      </c>
      <c r="E93" s="55"/>
      <c r="F93" s="55">
        <f t="shared" ca="1" si="6"/>
        <v>95</v>
      </c>
      <c r="G93" s="65" t="str">
        <f>G95</f>
        <v>sq.m.</v>
      </c>
      <c r="H93" s="60">
        <f t="shared" ca="1" si="10"/>
        <v>3</v>
      </c>
      <c r="I93" s="60">
        <f t="shared" ca="1" si="0"/>
        <v>285</v>
      </c>
    </row>
    <row r="94" spans="1:9" s="58" customFormat="1" ht="14.25">
      <c r="A94" s="50">
        <v>4</v>
      </c>
      <c r="B94" s="51" t="str">
        <f ca="1">IF($A94="","",NumList())</f>
        <v>2.3.1.5</v>
      </c>
      <c r="C94" s="62" t="s">
        <v>87</v>
      </c>
      <c r="D94" s="55">
        <f t="shared" si="1"/>
        <v>1</v>
      </c>
      <c r="E94" s="55"/>
      <c r="F94" s="55">
        <f t="shared" ca="1" si="6"/>
        <v>92</v>
      </c>
      <c r="G94" s="65" t="s">
        <v>86</v>
      </c>
      <c r="H94" s="60">
        <f t="shared" ca="1" si="10"/>
        <v>17</v>
      </c>
      <c r="I94" s="60">
        <f t="shared" ref="I94:I106" ca="1" si="11">F94*H94</f>
        <v>1564</v>
      </c>
    </row>
    <row r="95" spans="1:9" s="58" customFormat="1" ht="14.25">
      <c r="A95" s="50">
        <v>4</v>
      </c>
      <c r="B95" s="51" t="str">
        <f ca="1">IF($A95="","",NumList())</f>
        <v>2.3.1.6</v>
      </c>
      <c r="C95" s="62" t="s">
        <v>242</v>
      </c>
      <c r="D95" s="55">
        <f t="shared" si="1"/>
        <v>1</v>
      </c>
      <c r="E95" s="55"/>
      <c r="F95" s="55">
        <f t="shared" ca="1" si="6"/>
        <v>11</v>
      </c>
      <c r="G95" s="65" t="s">
        <v>86</v>
      </c>
      <c r="H95" s="60">
        <f t="shared" ca="1" si="10"/>
        <v>82</v>
      </c>
      <c r="I95" s="60">
        <f t="shared" ca="1" si="11"/>
        <v>902</v>
      </c>
    </row>
    <row r="96" spans="1:9" s="58" customFormat="1" ht="14.25">
      <c r="A96" s="50" t="s">
        <v>516</v>
      </c>
      <c r="B96" s="51" t="str">
        <f>IF($A96="","",NumList())</f>
        <v/>
      </c>
      <c r="C96" s="62"/>
      <c r="D96" s="55">
        <f t="shared" si="1"/>
        <v>0</v>
      </c>
      <c r="E96" s="55"/>
      <c r="F96" s="55">
        <f t="shared" ca="1" si="6"/>
        <v>0</v>
      </c>
      <c r="G96" s="65"/>
      <c r="H96" s="60"/>
      <c r="I96" s="60">
        <f t="shared" ca="1" si="11"/>
        <v>0</v>
      </c>
    </row>
    <row r="97" spans="1:9" s="58" customFormat="1" ht="14.25">
      <c r="A97" s="50">
        <v>3</v>
      </c>
      <c r="B97" s="51" t="str">
        <f ca="1">IF($A97="","",NumList())</f>
        <v>2.3.2</v>
      </c>
      <c r="C97" s="54" t="s">
        <v>88</v>
      </c>
      <c r="D97" s="55">
        <f t="shared" si="1"/>
        <v>0</v>
      </c>
      <c r="E97" s="55"/>
      <c r="F97" s="55">
        <f t="shared" ca="1" si="6"/>
        <v>0</v>
      </c>
      <c r="G97" s="65"/>
      <c r="H97" s="60"/>
      <c r="I97" s="60">
        <f t="shared" ca="1" si="11"/>
        <v>0</v>
      </c>
    </row>
    <row r="98" spans="1:9" s="58" customFormat="1" ht="14.25">
      <c r="A98" s="50">
        <v>4</v>
      </c>
      <c r="B98" s="51" t="str">
        <f ca="1">IF($A98="","",NumList())</f>
        <v>2.3.2.1</v>
      </c>
      <c r="C98" s="61" t="s">
        <v>89</v>
      </c>
      <c r="D98" s="55">
        <f t="shared" si="1"/>
        <v>0</v>
      </c>
      <c r="E98" s="55"/>
      <c r="F98" s="55">
        <f t="shared" ca="1" si="6"/>
        <v>0</v>
      </c>
      <c r="G98" s="65"/>
      <c r="H98" s="60"/>
      <c r="I98" s="60">
        <f t="shared" ca="1" si="11"/>
        <v>0</v>
      </c>
    </row>
    <row r="99" spans="1:9" s="58" customFormat="1" ht="14.25">
      <c r="A99" s="50" t="s">
        <v>516</v>
      </c>
      <c r="B99" s="51" t="str">
        <f>IF($A99="","",NumList())</f>
        <v/>
      </c>
      <c r="C99" s="61" t="s">
        <v>90</v>
      </c>
      <c r="D99" s="55">
        <f t="shared" ref="D99:D162" si="12">IF(ISTEXT(G99),1,0)</f>
        <v>1</v>
      </c>
      <c r="E99" s="55"/>
      <c r="F99" s="55">
        <f t="shared" ca="1" si="6"/>
        <v>35</v>
      </c>
      <c r="G99" s="65" t="s">
        <v>81</v>
      </c>
      <c r="H99" s="60">
        <f ca="1">RANDBETWEEN(1,100)</f>
        <v>17</v>
      </c>
      <c r="I99" s="60">
        <f t="shared" ca="1" si="11"/>
        <v>595</v>
      </c>
    </row>
    <row r="100" spans="1:9" s="58" customFormat="1" ht="14.25">
      <c r="A100" s="50" t="s">
        <v>516</v>
      </c>
      <c r="B100" s="51" t="str">
        <f>IF($A100="","",NumList())</f>
        <v/>
      </c>
      <c r="C100" s="61" t="s">
        <v>91</v>
      </c>
      <c r="D100" s="55">
        <f t="shared" si="12"/>
        <v>1</v>
      </c>
      <c r="E100" s="55"/>
      <c r="F100" s="55">
        <f t="shared" ca="1" si="6"/>
        <v>73</v>
      </c>
      <c r="G100" s="65" t="s">
        <v>81</v>
      </c>
      <c r="H100" s="60">
        <f ca="1">RANDBETWEEN(1,100)</f>
        <v>52</v>
      </c>
      <c r="I100" s="60">
        <f t="shared" ca="1" si="11"/>
        <v>3796</v>
      </c>
    </row>
    <row r="101" spans="1:9" s="58" customFormat="1" ht="14.25">
      <c r="A101" s="50">
        <v>4</v>
      </c>
      <c r="B101" s="51" t="str">
        <f ca="1">IF($A101="","",NumList())</f>
        <v>2.3.2.2</v>
      </c>
      <c r="C101" s="61" t="s">
        <v>92</v>
      </c>
      <c r="D101" s="55">
        <f t="shared" si="12"/>
        <v>0</v>
      </c>
      <c r="E101" s="55"/>
      <c r="F101" s="55">
        <f t="shared" ca="1" si="6"/>
        <v>0</v>
      </c>
      <c r="G101" s="65"/>
      <c r="H101" s="60"/>
      <c r="I101" s="60">
        <f t="shared" ca="1" si="11"/>
        <v>0</v>
      </c>
    </row>
    <row r="102" spans="1:9" s="58" customFormat="1" ht="14.25">
      <c r="A102" s="50" t="s">
        <v>516</v>
      </c>
      <c r="B102" s="51" t="str">
        <f>IF($A102="","",NumList())</f>
        <v/>
      </c>
      <c r="C102" s="61" t="s">
        <v>93</v>
      </c>
      <c r="D102" s="55">
        <f t="shared" si="12"/>
        <v>1</v>
      </c>
      <c r="E102" s="55"/>
      <c r="F102" s="55">
        <f t="shared" ca="1" si="6"/>
        <v>16</v>
      </c>
      <c r="G102" s="65" t="s">
        <v>81</v>
      </c>
      <c r="H102" s="60">
        <f ca="1">RANDBETWEEN(1,100)</f>
        <v>33</v>
      </c>
      <c r="I102" s="60">
        <f t="shared" ca="1" si="11"/>
        <v>528</v>
      </c>
    </row>
    <row r="103" spans="1:9" s="58" customFormat="1" ht="14.25">
      <c r="A103" s="50" t="s">
        <v>516</v>
      </c>
      <c r="B103" s="51" t="str">
        <f>IF($A103="","",NumList())</f>
        <v/>
      </c>
      <c r="C103" s="61" t="s">
        <v>94</v>
      </c>
      <c r="D103" s="55">
        <f t="shared" si="12"/>
        <v>1</v>
      </c>
      <c r="E103" s="55"/>
      <c r="F103" s="55">
        <f t="shared" ca="1" si="6"/>
        <v>5</v>
      </c>
      <c r="G103" s="65" t="s">
        <v>81</v>
      </c>
      <c r="H103" s="60">
        <f t="shared" ref="H103:H104" ca="1" si="13">RANDBETWEEN(1,100)</f>
        <v>56</v>
      </c>
      <c r="I103" s="60">
        <f t="shared" ca="1" si="11"/>
        <v>280</v>
      </c>
    </row>
    <row r="104" spans="1:9" s="58" customFormat="1" ht="14.25">
      <c r="A104" s="50" t="s">
        <v>516</v>
      </c>
      <c r="B104" s="51" t="str">
        <f>IF($A104="","",NumList())</f>
        <v/>
      </c>
      <c r="C104" s="61" t="s">
        <v>91</v>
      </c>
      <c r="D104" s="55">
        <f t="shared" si="12"/>
        <v>1</v>
      </c>
      <c r="E104" s="55"/>
      <c r="F104" s="55">
        <f t="shared" ca="1" si="6"/>
        <v>96</v>
      </c>
      <c r="G104" s="65" t="s">
        <v>81</v>
      </c>
      <c r="H104" s="60">
        <f t="shared" ca="1" si="13"/>
        <v>59</v>
      </c>
      <c r="I104" s="60">
        <f t="shared" ca="1" si="11"/>
        <v>5664</v>
      </c>
    </row>
    <row r="105" spans="1:9" s="58" customFormat="1" ht="14.25">
      <c r="A105" s="50">
        <v>4</v>
      </c>
      <c r="B105" s="51" t="str">
        <f ca="1">IF($A105="","",NumList())</f>
        <v>2.3.2.3</v>
      </c>
      <c r="C105" s="62" t="s">
        <v>95</v>
      </c>
      <c r="D105" s="55">
        <f t="shared" si="12"/>
        <v>0</v>
      </c>
      <c r="E105" s="55"/>
      <c r="F105" s="55">
        <f t="shared" ca="1" si="6"/>
        <v>0</v>
      </c>
      <c r="G105" s="65"/>
      <c r="H105" s="60"/>
      <c r="I105" s="60">
        <f t="shared" ca="1" si="11"/>
        <v>0</v>
      </c>
    </row>
    <row r="106" spans="1:9" s="58" customFormat="1" ht="14.25">
      <c r="A106" s="50" t="s">
        <v>516</v>
      </c>
      <c r="B106" s="51" t="str">
        <f>IF($A106="","",NumList())</f>
        <v/>
      </c>
      <c r="C106" s="61" t="s">
        <v>94</v>
      </c>
      <c r="D106" s="55">
        <f t="shared" si="12"/>
        <v>1</v>
      </c>
      <c r="E106" s="55"/>
      <c r="F106" s="55">
        <f t="shared" ca="1" si="6"/>
        <v>35</v>
      </c>
      <c r="G106" s="65" t="s">
        <v>81</v>
      </c>
      <c r="H106" s="60">
        <f ca="1">RANDBETWEEN(1,100)</f>
        <v>45</v>
      </c>
      <c r="I106" s="60">
        <f t="shared" ca="1" si="11"/>
        <v>1575</v>
      </c>
    </row>
    <row r="107" spans="1:9" s="58" customFormat="1" ht="14.25">
      <c r="A107" s="50"/>
      <c r="B107" s="51"/>
      <c r="C107" s="61"/>
      <c r="D107" s="55">
        <f t="shared" si="12"/>
        <v>0</v>
      </c>
      <c r="E107" s="55"/>
      <c r="F107" s="55">
        <f t="shared" ca="1" si="6"/>
        <v>0</v>
      </c>
      <c r="G107" s="65"/>
      <c r="H107" s="60"/>
      <c r="I107" s="60"/>
    </row>
    <row r="108" spans="1:9" s="58" customFormat="1" ht="57">
      <c r="A108" s="50">
        <v>3</v>
      </c>
      <c r="B108" s="51" t="str">
        <f ca="1">IF($A108="","",NumList())</f>
        <v>2.3.3</v>
      </c>
      <c r="C108" s="61" t="s">
        <v>524</v>
      </c>
      <c r="D108" s="55">
        <f t="shared" si="12"/>
        <v>0</v>
      </c>
      <c r="E108" s="55"/>
      <c r="F108" s="55">
        <f t="shared" ca="1" si="6"/>
        <v>0</v>
      </c>
      <c r="G108" s="65"/>
      <c r="H108" s="60"/>
      <c r="I108" s="60"/>
    </row>
    <row r="109" spans="1:9" s="58" customFormat="1" ht="14.25">
      <c r="A109" s="50" t="s">
        <v>516</v>
      </c>
      <c r="B109" s="51" t="str">
        <f>IF($A109="","",NumList())</f>
        <v/>
      </c>
      <c r="C109" s="61"/>
      <c r="D109" s="55">
        <f t="shared" si="12"/>
        <v>0</v>
      </c>
      <c r="E109" s="55"/>
      <c r="F109" s="55">
        <f t="shared" ca="1" si="6"/>
        <v>0</v>
      </c>
      <c r="G109" s="65"/>
      <c r="H109" s="60"/>
      <c r="I109" s="60">
        <f ca="1">F109*H109</f>
        <v>0</v>
      </c>
    </row>
    <row r="110" spans="1:9" s="41" customFormat="1" ht="15">
      <c r="A110" s="50">
        <v>2</v>
      </c>
      <c r="B110" s="51" t="str">
        <f ca="1">IF($A110="","",NumList())</f>
        <v>2.4</v>
      </c>
      <c r="C110" s="52" t="s">
        <v>579</v>
      </c>
      <c r="D110" s="55">
        <f t="shared" si="12"/>
        <v>0</v>
      </c>
      <c r="E110" s="48"/>
      <c r="F110" s="55">
        <f t="shared" ca="1" si="6"/>
        <v>0</v>
      </c>
      <c r="G110" s="64"/>
      <c r="H110" s="60"/>
      <c r="I110" s="60">
        <f t="shared" ref="I110:I181" ca="1" si="14">F110*H110</f>
        <v>0</v>
      </c>
    </row>
    <row r="111" spans="1:9" s="58" customFormat="1" ht="14.25">
      <c r="A111" s="50">
        <v>3</v>
      </c>
      <c r="B111" s="51" t="str">
        <f ca="1">IF($A111="","",NumList())</f>
        <v>2.4.1</v>
      </c>
      <c r="C111" s="54" t="s">
        <v>83</v>
      </c>
      <c r="D111" s="55">
        <f t="shared" si="12"/>
        <v>0</v>
      </c>
      <c r="E111" s="55"/>
      <c r="F111" s="55">
        <f t="shared" ca="1" si="6"/>
        <v>0</v>
      </c>
      <c r="G111" s="59"/>
      <c r="H111" s="60"/>
      <c r="I111" s="60">
        <f t="shared" ca="1" si="14"/>
        <v>0</v>
      </c>
    </row>
    <row r="112" spans="1:9" s="58" customFormat="1" ht="14.25" customHeight="1">
      <c r="A112" s="50">
        <v>4</v>
      </c>
      <c r="B112" s="51" t="str">
        <f ca="1">IF($A112="","",NumList())</f>
        <v>2.4.1.1</v>
      </c>
      <c r="C112" s="61" t="s">
        <v>518</v>
      </c>
      <c r="D112" s="55">
        <f t="shared" si="12"/>
        <v>1</v>
      </c>
      <c r="E112" s="55"/>
      <c r="F112" s="55">
        <f t="shared" ca="1" si="6"/>
        <v>96</v>
      </c>
      <c r="G112" s="65" t="s">
        <v>81</v>
      </c>
      <c r="H112" s="60">
        <f ca="1">RANDBETWEEN(1,100)</f>
        <v>48</v>
      </c>
      <c r="I112" s="60">
        <f t="shared" ca="1" si="14"/>
        <v>4608</v>
      </c>
    </row>
    <row r="113" spans="1:9" s="58" customFormat="1" ht="14.25" customHeight="1">
      <c r="A113" s="50">
        <v>4</v>
      </c>
      <c r="B113" s="51" t="str">
        <f ca="1">IF($A113="","",NumList())</f>
        <v>2.4.1.2</v>
      </c>
      <c r="C113" s="61" t="s">
        <v>84</v>
      </c>
      <c r="D113" s="55">
        <f t="shared" si="12"/>
        <v>1</v>
      </c>
      <c r="E113" s="55"/>
      <c r="F113" s="55">
        <f t="shared" ca="1" si="6"/>
        <v>87</v>
      </c>
      <c r="G113" s="65" t="s">
        <v>81</v>
      </c>
      <c r="H113" s="60">
        <f t="shared" ref="H113:H117" ca="1" si="15">RANDBETWEEN(1,100)</f>
        <v>5</v>
      </c>
      <c r="I113" s="60">
        <f t="shared" ca="1" si="14"/>
        <v>435</v>
      </c>
    </row>
    <row r="114" spans="1:9" s="58" customFormat="1" ht="14.25" customHeight="1">
      <c r="A114" s="50">
        <v>4</v>
      </c>
      <c r="B114" s="51" t="str">
        <f ca="1">IF($A114="","",NumList())</f>
        <v>2.4.1.3</v>
      </c>
      <c r="C114" s="61" t="s">
        <v>85</v>
      </c>
      <c r="D114" s="55">
        <f t="shared" si="12"/>
        <v>1</v>
      </c>
      <c r="E114" s="55"/>
      <c r="F114" s="55">
        <f t="shared" ca="1" si="6"/>
        <v>20</v>
      </c>
      <c r="G114" s="65" t="s">
        <v>81</v>
      </c>
      <c r="H114" s="60">
        <f t="shared" ca="1" si="15"/>
        <v>83</v>
      </c>
      <c r="I114" s="60">
        <f t="shared" ca="1" si="14"/>
        <v>1660</v>
      </c>
    </row>
    <row r="115" spans="1:9" s="58" customFormat="1" ht="14.25">
      <c r="A115" s="50">
        <v>4</v>
      </c>
      <c r="B115" s="51" t="str">
        <f ca="1">IF($A115="","",NumList())</f>
        <v>2.4.1.4</v>
      </c>
      <c r="C115" s="62" t="s">
        <v>291</v>
      </c>
      <c r="D115" s="55">
        <f t="shared" si="12"/>
        <v>1</v>
      </c>
      <c r="E115" s="55"/>
      <c r="F115" s="55">
        <f t="shared" ca="1" si="6"/>
        <v>40</v>
      </c>
      <c r="G115" s="65" t="str">
        <f>G117</f>
        <v>sq.m.</v>
      </c>
      <c r="H115" s="60">
        <f t="shared" ca="1" si="15"/>
        <v>43</v>
      </c>
      <c r="I115" s="60">
        <f t="shared" ca="1" si="14"/>
        <v>1720</v>
      </c>
    </row>
    <row r="116" spans="1:9" s="58" customFormat="1" ht="14.25">
      <c r="A116" s="50">
        <v>4</v>
      </c>
      <c r="B116" s="51" t="str">
        <f ca="1">IF($A116="","",NumList())</f>
        <v>2.4.1.5</v>
      </c>
      <c r="C116" s="62" t="s">
        <v>87</v>
      </c>
      <c r="D116" s="55">
        <f t="shared" si="12"/>
        <v>1</v>
      </c>
      <c r="E116" s="55"/>
      <c r="F116" s="55">
        <f t="shared" ca="1" si="6"/>
        <v>77</v>
      </c>
      <c r="G116" s="65" t="s">
        <v>86</v>
      </c>
      <c r="H116" s="60">
        <f t="shared" ca="1" si="15"/>
        <v>10</v>
      </c>
      <c r="I116" s="60">
        <f t="shared" ca="1" si="14"/>
        <v>770</v>
      </c>
    </row>
    <row r="117" spans="1:9" s="58" customFormat="1" ht="14.25">
      <c r="A117" s="50">
        <v>4</v>
      </c>
      <c r="B117" s="51" t="str">
        <f ca="1">IF($A117="","",NumList())</f>
        <v>2.4.1.6</v>
      </c>
      <c r="C117" s="62" t="s">
        <v>242</v>
      </c>
      <c r="D117" s="55">
        <f t="shared" si="12"/>
        <v>1</v>
      </c>
      <c r="E117" s="55"/>
      <c r="F117" s="55">
        <f t="shared" ca="1" si="6"/>
        <v>27</v>
      </c>
      <c r="G117" s="65" t="s">
        <v>86</v>
      </c>
      <c r="H117" s="60">
        <f t="shared" ca="1" si="15"/>
        <v>50</v>
      </c>
      <c r="I117" s="60">
        <f t="shared" ca="1" si="14"/>
        <v>1350</v>
      </c>
    </row>
    <row r="118" spans="1:9" s="58" customFormat="1" ht="14.25">
      <c r="A118" s="50" t="s">
        <v>516</v>
      </c>
      <c r="B118" s="51" t="str">
        <f>IF($A118="","",NumList())</f>
        <v/>
      </c>
      <c r="C118" s="62"/>
      <c r="D118" s="55">
        <f t="shared" si="12"/>
        <v>0</v>
      </c>
      <c r="E118" s="55"/>
      <c r="F118" s="55">
        <f t="shared" ca="1" si="6"/>
        <v>0</v>
      </c>
      <c r="G118" s="65"/>
      <c r="H118" s="60"/>
      <c r="I118" s="60">
        <f t="shared" ca="1" si="14"/>
        <v>0</v>
      </c>
    </row>
    <row r="119" spans="1:9" s="58" customFormat="1" ht="14.25">
      <c r="A119" s="50">
        <v>4</v>
      </c>
      <c r="B119" s="51" t="str">
        <f ca="1">IF($A119="","",NumList())</f>
        <v>2.4.1.7</v>
      </c>
      <c r="C119" s="54" t="s">
        <v>88</v>
      </c>
      <c r="D119" s="55">
        <f t="shared" si="12"/>
        <v>0</v>
      </c>
      <c r="E119" s="55"/>
      <c r="F119" s="55">
        <f t="shared" ca="1" si="6"/>
        <v>0</v>
      </c>
      <c r="G119" s="65"/>
      <c r="H119" s="60"/>
      <c r="I119" s="60">
        <f t="shared" ca="1" si="14"/>
        <v>0</v>
      </c>
    </row>
    <row r="120" spans="1:9" s="58" customFormat="1" ht="14.25">
      <c r="A120" s="50" t="s">
        <v>516</v>
      </c>
      <c r="B120" s="51" t="str">
        <f>IF($A120="","",NumList())</f>
        <v/>
      </c>
      <c r="C120" s="61" t="s">
        <v>89</v>
      </c>
      <c r="D120" s="55">
        <f t="shared" si="12"/>
        <v>0</v>
      </c>
      <c r="E120" s="55"/>
      <c r="F120" s="55">
        <f t="shared" ca="1" si="6"/>
        <v>0</v>
      </c>
      <c r="G120" s="65"/>
      <c r="H120" s="60"/>
      <c r="I120" s="60">
        <f t="shared" ca="1" si="14"/>
        <v>0</v>
      </c>
    </row>
    <row r="121" spans="1:9" s="58" customFormat="1" ht="14.25">
      <c r="A121" s="50" t="s">
        <v>516</v>
      </c>
      <c r="B121" s="51" t="str">
        <f>IF($A121="","",NumList())</f>
        <v/>
      </c>
      <c r="C121" s="61" t="s">
        <v>521</v>
      </c>
      <c r="D121" s="55">
        <f t="shared" si="12"/>
        <v>1</v>
      </c>
      <c r="E121" s="55"/>
      <c r="F121" s="55">
        <f t="shared" ca="1" si="6"/>
        <v>29</v>
      </c>
      <c r="G121" s="65" t="s">
        <v>81</v>
      </c>
      <c r="H121" s="60">
        <f ca="1">RANDBETWEEN(1,100)</f>
        <v>83</v>
      </c>
      <c r="I121" s="60">
        <f t="shared" ca="1" si="14"/>
        <v>2407</v>
      </c>
    </row>
    <row r="122" spans="1:9" s="58" customFormat="1" ht="14.25">
      <c r="A122" s="50" t="s">
        <v>516</v>
      </c>
      <c r="B122" s="51" t="str">
        <f>IF($A122="","",NumList())</f>
        <v/>
      </c>
      <c r="C122" s="61" t="s">
        <v>91</v>
      </c>
      <c r="D122" s="55">
        <f t="shared" si="12"/>
        <v>1</v>
      </c>
      <c r="E122" s="55"/>
      <c r="F122" s="55">
        <f t="shared" ca="1" si="6"/>
        <v>91</v>
      </c>
      <c r="G122" s="65" t="s">
        <v>81</v>
      </c>
      <c r="H122" s="60">
        <f ca="1">RANDBETWEEN(1,100)</f>
        <v>96</v>
      </c>
      <c r="I122" s="60">
        <f t="shared" ca="1" si="14"/>
        <v>8736</v>
      </c>
    </row>
    <row r="123" spans="1:9" s="58" customFormat="1" ht="14.25">
      <c r="A123" s="50">
        <v>4</v>
      </c>
      <c r="B123" s="51" t="str">
        <f ca="1">IF($A123="","",NumList())</f>
        <v>2.4.1.8</v>
      </c>
      <c r="C123" s="61" t="s">
        <v>92</v>
      </c>
      <c r="D123" s="55">
        <f t="shared" si="12"/>
        <v>0</v>
      </c>
      <c r="E123" s="55"/>
      <c r="F123" s="55">
        <f t="shared" ca="1" si="6"/>
        <v>0</v>
      </c>
      <c r="G123" s="65"/>
      <c r="H123" s="60"/>
      <c r="I123" s="60">
        <f t="shared" ca="1" si="14"/>
        <v>0</v>
      </c>
    </row>
    <row r="124" spans="1:9" s="58" customFormat="1" ht="14.25">
      <c r="A124" s="50" t="s">
        <v>516</v>
      </c>
      <c r="B124" s="51" t="str">
        <f>IF($A124="","",NumList())</f>
        <v/>
      </c>
      <c r="C124" s="61" t="s">
        <v>93</v>
      </c>
      <c r="D124" s="55">
        <f t="shared" si="12"/>
        <v>1</v>
      </c>
      <c r="E124" s="55"/>
      <c r="F124" s="55">
        <f t="shared" ca="1" si="6"/>
        <v>8</v>
      </c>
      <c r="G124" s="65" t="s">
        <v>81</v>
      </c>
      <c r="H124" s="60">
        <f ca="1">RANDBETWEEN(1,100)</f>
        <v>18</v>
      </c>
      <c r="I124" s="60">
        <f t="shared" ca="1" si="14"/>
        <v>144</v>
      </c>
    </row>
    <row r="125" spans="1:9" s="58" customFormat="1" ht="14.25">
      <c r="A125" s="50" t="s">
        <v>516</v>
      </c>
      <c r="B125" s="51" t="str">
        <f>IF($A125="","",NumList())</f>
        <v/>
      </c>
      <c r="C125" s="61" t="s">
        <v>94</v>
      </c>
      <c r="D125" s="55">
        <f t="shared" si="12"/>
        <v>1</v>
      </c>
      <c r="E125" s="55"/>
      <c r="F125" s="55">
        <f t="shared" ca="1" si="6"/>
        <v>67</v>
      </c>
      <c r="G125" s="65" t="s">
        <v>81</v>
      </c>
      <c r="H125" s="60">
        <f t="shared" ref="H125:H126" ca="1" si="16">RANDBETWEEN(1,100)</f>
        <v>66</v>
      </c>
      <c r="I125" s="60">
        <f t="shared" ca="1" si="14"/>
        <v>4422</v>
      </c>
    </row>
    <row r="126" spans="1:9" s="58" customFormat="1" ht="14.25">
      <c r="A126" s="50" t="s">
        <v>516</v>
      </c>
      <c r="B126" s="51" t="str">
        <f>IF($A126="","",NumList())</f>
        <v/>
      </c>
      <c r="C126" s="61" t="s">
        <v>91</v>
      </c>
      <c r="D126" s="55">
        <f t="shared" si="12"/>
        <v>1</v>
      </c>
      <c r="E126" s="55"/>
      <c r="F126" s="55">
        <f t="shared" ca="1" si="6"/>
        <v>94</v>
      </c>
      <c r="G126" s="65" t="s">
        <v>81</v>
      </c>
      <c r="H126" s="60">
        <f t="shared" ca="1" si="16"/>
        <v>48</v>
      </c>
      <c r="I126" s="60">
        <f t="shared" ca="1" si="14"/>
        <v>4512</v>
      </c>
    </row>
    <row r="127" spans="1:9" s="58" customFormat="1" ht="14.25">
      <c r="A127" s="50">
        <v>4</v>
      </c>
      <c r="B127" s="51" t="str">
        <f ca="1">IF($A127="","",NumList())</f>
        <v>2.4.1.9</v>
      </c>
      <c r="C127" s="62" t="s">
        <v>95</v>
      </c>
      <c r="D127" s="55">
        <f t="shared" si="12"/>
        <v>0</v>
      </c>
      <c r="E127" s="55"/>
      <c r="F127" s="55">
        <f t="shared" ref="F127:F190" ca="1" si="17">IF(ISTEXT(G127),RANDBETWEEN(1,100),0)</f>
        <v>0</v>
      </c>
      <c r="G127" s="65"/>
      <c r="H127" s="60"/>
      <c r="I127" s="60">
        <f t="shared" ca="1" si="14"/>
        <v>0</v>
      </c>
    </row>
    <row r="128" spans="1:9" s="58" customFormat="1" ht="14.25">
      <c r="A128" s="50" t="s">
        <v>516</v>
      </c>
      <c r="B128" s="51" t="str">
        <f>IF($A128="","",NumList())</f>
        <v/>
      </c>
      <c r="C128" s="61" t="s">
        <v>94</v>
      </c>
      <c r="D128" s="55">
        <f t="shared" si="12"/>
        <v>1</v>
      </c>
      <c r="E128" s="55"/>
      <c r="F128" s="55">
        <f t="shared" ca="1" si="17"/>
        <v>62</v>
      </c>
      <c r="G128" s="65" t="s">
        <v>81</v>
      </c>
      <c r="H128" s="60">
        <f ca="1">RANDBETWEEN(1,100)</f>
        <v>25</v>
      </c>
      <c r="I128" s="60">
        <f t="shared" ca="1" si="14"/>
        <v>1550</v>
      </c>
    </row>
    <row r="129" spans="1:9" s="58" customFormat="1" ht="14.25">
      <c r="A129" s="50" t="s">
        <v>516</v>
      </c>
      <c r="B129" s="51" t="str">
        <f>IF($A129="","",NumList())</f>
        <v/>
      </c>
      <c r="C129" s="61"/>
      <c r="D129" s="55">
        <f t="shared" si="12"/>
        <v>0</v>
      </c>
      <c r="E129" s="55"/>
      <c r="F129" s="55">
        <f t="shared" ca="1" si="17"/>
        <v>0</v>
      </c>
      <c r="G129" s="65"/>
      <c r="H129" s="60"/>
      <c r="I129" s="60">
        <f t="shared" ca="1" si="14"/>
        <v>0</v>
      </c>
    </row>
    <row r="130" spans="1:9" s="41" customFormat="1" ht="15">
      <c r="A130" s="50">
        <v>2</v>
      </c>
      <c r="B130" s="51" t="str">
        <f ca="1">IF($A130="","",NumList())</f>
        <v>2.5</v>
      </c>
      <c r="C130" s="52" t="s">
        <v>579</v>
      </c>
      <c r="D130" s="55">
        <f t="shared" si="12"/>
        <v>0</v>
      </c>
      <c r="E130" s="48"/>
      <c r="F130" s="55">
        <f t="shared" ca="1" si="17"/>
        <v>0</v>
      </c>
      <c r="G130" s="64"/>
      <c r="H130" s="60"/>
      <c r="I130" s="60">
        <f t="shared" ref="I130:I171" ca="1" si="18">F130*H130</f>
        <v>0</v>
      </c>
    </row>
    <row r="131" spans="1:9" s="58" customFormat="1" ht="14.25">
      <c r="A131" s="50">
        <v>3</v>
      </c>
      <c r="B131" s="51" t="str">
        <f ca="1">IF($A131="","",NumList())</f>
        <v>2.5.1</v>
      </c>
      <c r="C131" s="54" t="s">
        <v>83</v>
      </c>
      <c r="D131" s="55">
        <f t="shared" si="12"/>
        <v>0</v>
      </c>
      <c r="E131" s="55"/>
      <c r="F131" s="55">
        <f t="shared" ca="1" si="17"/>
        <v>0</v>
      </c>
      <c r="G131" s="59"/>
      <c r="H131" s="60"/>
      <c r="I131" s="60">
        <f t="shared" ca="1" si="18"/>
        <v>0</v>
      </c>
    </row>
    <row r="132" spans="1:9" s="58" customFormat="1" ht="14.25" customHeight="1">
      <c r="A132" s="50">
        <v>4</v>
      </c>
      <c r="B132" s="51" t="str">
        <f ca="1">IF($A132="","",NumList())</f>
        <v>2.5.1.1</v>
      </c>
      <c r="C132" s="61" t="s">
        <v>518</v>
      </c>
      <c r="D132" s="55">
        <f t="shared" si="12"/>
        <v>1</v>
      </c>
      <c r="E132" s="55"/>
      <c r="F132" s="55">
        <f t="shared" ca="1" si="17"/>
        <v>39</v>
      </c>
      <c r="G132" s="65" t="s">
        <v>81</v>
      </c>
      <c r="H132" s="60">
        <f ca="1">RANDBETWEEN(1,100)</f>
        <v>47</v>
      </c>
      <c r="I132" s="60">
        <f t="shared" ca="1" si="18"/>
        <v>1833</v>
      </c>
    </row>
    <row r="133" spans="1:9" s="58" customFormat="1" ht="14.25" customHeight="1">
      <c r="A133" s="50">
        <v>4</v>
      </c>
      <c r="B133" s="51" t="str">
        <f ca="1">IF($A133="","",NumList())</f>
        <v>2.5.1.2</v>
      </c>
      <c r="C133" s="61" t="s">
        <v>84</v>
      </c>
      <c r="D133" s="55">
        <f t="shared" si="12"/>
        <v>1</v>
      </c>
      <c r="E133" s="55"/>
      <c r="F133" s="55">
        <f t="shared" ca="1" si="17"/>
        <v>10</v>
      </c>
      <c r="G133" s="65" t="s">
        <v>81</v>
      </c>
      <c r="H133" s="60">
        <f t="shared" ref="H133:H137" ca="1" si="19">RANDBETWEEN(1,100)</f>
        <v>50</v>
      </c>
      <c r="I133" s="60">
        <f t="shared" ca="1" si="18"/>
        <v>500</v>
      </c>
    </row>
    <row r="134" spans="1:9" s="58" customFormat="1" ht="14.25" customHeight="1">
      <c r="A134" s="50">
        <v>4</v>
      </c>
      <c r="B134" s="51" t="str">
        <f ca="1">IF($A134="","",NumList())</f>
        <v>2.5.1.3</v>
      </c>
      <c r="C134" s="61" t="s">
        <v>85</v>
      </c>
      <c r="D134" s="55">
        <f t="shared" si="12"/>
        <v>1</v>
      </c>
      <c r="E134" s="55"/>
      <c r="F134" s="55">
        <f t="shared" ca="1" si="17"/>
        <v>30</v>
      </c>
      <c r="G134" s="65" t="s">
        <v>81</v>
      </c>
      <c r="H134" s="60">
        <f t="shared" ca="1" si="19"/>
        <v>3</v>
      </c>
      <c r="I134" s="60">
        <f t="shared" ca="1" si="18"/>
        <v>90</v>
      </c>
    </row>
    <row r="135" spans="1:9" s="58" customFormat="1" ht="14.25">
      <c r="A135" s="50">
        <v>4</v>
      </c>
      <c r="B135" s="51" t="str">
        <f ca="1">IF($A135="","",NumList())</f>
        <v>2.5.1.4</v>
      </c>
      <c r="C135" s="62" t="s">
        <v>291</v>
      </c>
      <c r="D135" s="55">
        <f t="shared" si="12"/>
        <v>1</v>
      </c>
      <c r="E135" s="55"/>
      <c r="F135" s="55">
        <f t="shared" ca="1" si="17"/>
        <v>64</v>
      </c>
      <c r="G135" s="65" t="str">
        <f>G137</f>
        <v>sq.m.</v>
      </c>
      <c r="H135" s="60">
        <f t="shared" ca="1" si="19"/>
        <v>19</v>
      </c>
      <c r="I135" s="60">
        <f t="shared" ca="1" si="18"/>
        <v>1216</v>
      </c>
    </row>
    <row r="136" spans="1:9" s="58" customFormat="1" ht="14.25">
      <c r="A136" s="50">
        <v>4</v>
      </c>
      <c r="B136" s="51" t="str">
        <f ca="1">IF($A136="","",NumList())</f>
        <v>2.5.1.5</v>
      </c>
      <c r="C136" s="62" t="s">
        <v>87</v>
      </c>
      <c r="D136" s="55">
        <f t="shared" si="12"/>
        <v>1</v>
      </c>
      <c r="E136" s="55"/>
      <c r="F136" s="55">
        <f t="shared" ca="1" si="17"/>
        <v>34</v>
      </c>
      <c r="G136" s="65" t="s">
        <v>86</v>
      </c>
      <c r="H136" s="60">
        <f t="shared" ca="1" si="19"/>
        <v>58</v>
      </c>
      <c r="I136" s="60">
        <f t="shared" ca="1" si="18"/>
        <v>1972</v>
      </c>
    </row>
    <row r="137" spans="1:9" s="58" customFormat="1" ht="14.25">
      <c r="A137" s="50">
        <v>4</v>
      </c>
      <c r="B137" s="51" t="str">
        <f ca="1">IF($A137="","",NumList())</f>
        <v>2.5.1.6</v>
      </c>
      <c r="C137" s="62" t="s">
        <v>241</v>
      </c>
      <c r="D137" s="55">
        <f t="shared" si="12"/>
        <v>1</v>
      </c>
      <c r="E137" s="55"/>
      <c r="F137" s="55">
        <f t="shared" ca="1" si="17"/>
        <v>54</v>
      </c>
      <c r="G137" s="65" t="s">
        <v>86</v>
      </c>
      <c r="H137" s="60">
        <f t="shared" ca="1" si="19"/>
        <v>6</v>
      </c>
      <c r="I137" s="60">
        <f t="shared" ca="1" si="18"/>
        <v>324</v>
      </c>
    </row>
    <row r="138" spans="1:9" s="58" customFormat="1" ht="14.25">
      <c r="A138" s="50" t="s">
        <v>516</v>
      </c>
      <c r="B138" s="51" t="str">
        <f>IF($A138="","",NumList())</f>
        <v/>
      </c>
      <c r="C138" s="62"/>
      <c r="D138" s="55">
        <f t="shared" si="12"/>
        <v>0</v>
      </c>
      <c r="E138" s="55"/>
      <c r="F138" s="55">
        <f t="shared" ca="1" si="17"/>
        <v>0</v>
      </c>
      <c r="G138" s="65"/>
      <c r="H138" s="60"/>
      <c r="I138" s="60">
        <f t="shared" ca="1" si="18"/>
        <v>0</v>
      </c>
    </row>
    <row r="139" spans="1:9" s="58" customFormat="1" ht="14.25">
      <c r="A139" s="50">
        <v>3</v>
      </c>
      <c r="B139" s="51" t="str">
        <f ca="1">IF($A139="","",NumList())</f>
        <v>2.5.2</v>
      </c>
      <c r="C139" s="54" t="s">
        <v>88</v>
      </c>
      <c r="D139" s="55">
        <f t="shared" si="12"/>
        <v>0</v>
      </c>
      <c r="E139" s="55"/>
      <c r="F139" s="55">
        <f t="shared" ca="1" si="17"/>
        <v>0</v>
      </c>
      <c r="G139" s="65"/>
      <c r="H139" s="60"/>
      <c r="I139" s="60">
        <f t="shared" ca="1" si="18"/>
        <v>0</v>
      </c>
    </row>
    <row r="140" spans="1:9" s="58" customFormat="1" ht="14.25">
      <c r="A140" s="50">
        <v>4</v>
      </c>
      <c r="B140" s="51" t="str">
        <f ca="1">IF($A140="","",NumList())</f>
        <v>2.5.2.1</v>
      </c>
      <c r="C140" s="61" t="s">
        <v>522</v>
      </c>
      <c r="D140" s="55">
        <f t="shared" si="12"/>
        <v>0</v>
      </c>
      <c r="E140" s="55"/>
      <c r="F140" s="55">
        <f t="shared" ca="1" si="17"/>
        <v>0</v>
      </c>
      <c r="G140" s="65"/>
      <c r="H140" s="60"/>
      <c r="I140" s="60">
        <f t="shared" ca="1" si="18"/>
        <v>0</v>
      </c>
    </row>
    <row r="141" spans="1:9" s="58" customFormat="1" ht="14.25">
      <c r="A141" s="50" t="s">
        <v>516</v>
      </c>
      <c r="B141" s="51" t="str">
        <f>IF($A141="","",NumList())</f>
        <v/>
      </c>
      <c r="C141" s="61" t="s">
        <v>521</v>
      </c>
      <c r="D141" s="55">
        <f t="shared" si="12"/>
        <v>1</v>
      </c>
      <c r="E141" s="55"/>
      <c r="F141" s="55">
        <f t="shared" ca="1" si="17"/>
        <v>17</v>
      </c>
      <c r="G141" s="65" t="s">
        <v>81</v>
      </c>
      <c r="H141" s="60">
        <f ca="1">RANDBETWEEN(1,100)</f>
        <v>40</v>
      </c>
      <c r="I141" s="60">
        <f t="shared" ca="1" si="18"/>
        <v>680</v>
      </c>
    </row>
    <row r="142" spans="1:9" s="58" customFormat="1" ht="14.25">
      <c r="A142" s="50" t="s">
        <v>516</v>
      </c>
      <c r="B142" s="51" t="str">
        <f>IF($A142="","",NumList())</f>
        <v/>
      </c>
      <c r="C142" s="61" t="s">
        <v>91</v>
      </c>
      <c r="D142" s="55">
        <f t="shared" si="12"/>
        <v>1</v>
      </c>
      <c r="E142" s="55"/>
      <c r="F142" s="55">
        <f t="shared" ca="1" si="17"/>
        <v>11</v>
      </c>
      <c r="G142" s="65" t="s">
        <v>81</v>
      </c>
      <c r="H142" s="60">
        <f ca="1">RANDBETWEEN(1,100)</f>
        <v>31</v>
      </c>
      <c r="I142" s="60">
        <f t="shared" ca="1" si="18"/>
        <v>341</v>
      </c>
    </row>
    <row r="143" spans="1:9" s="58" customFormat="1" ht="14.25">
      <c r="A143" s="50">
        <v>4</v>
      </c>
      <c r="B143" s="51" t="str">
        <f ca="1">IF($A143="","",NumList())</f>
        <v>2.5.2.2</v>
      </c>
      <c r="C143" s="61" t="s">
        <v>92</v>
      </c>
      <c r="D143" s="55">
        <f t="shared" si="12"/>
        <v>0</v>
      </c>
      <c r="E143" s="55"/>
      <c r="F143" s="55">
        <f t="shared" ca="1" si="17"/>
        <v>0</v>
      </c>
      <c r="G143" s="65"/>
      <c r="H143" s="60"/>
      <c r="I143" s="60">
        <f t="shared" ca="1" si="18"/>
        <v>0</v>
      </c>
    </row>
    <row r="144" spans="1:9" s="58" customFormat="1" ht="14.25">
      <c r="A144" s="50" t="s">
        <v>516</v>
      </c>
      <c r="B144" s="51" t="str">
        <f>IF($A144="","",NumList())</f>
        <v/>
      </c>
      <c r="C144" s="61" t="s">
        <v>93</v>
      </c>
      <c r="D144" s="55">
        <f t="shared" si="12"/>
        <v>1</v>
      </c>
      <c r="E144" s="55"/>
      <c r="F144" s="55">
        <f t="shared" ca="1" si="17"/>
        <v>18</v>
      </c>
      <c r="G144" s="65" t="s">
        <v>81</v>
      </c>
      <c r="H144" s="60">
        <f ca="1">RANDBETWEEN(1,100)</f>
        <v>72</v>
      </c>
      <c r="I144" s="60">
        <f t="shared" ca="1" si="18"/>
        <v>1296</v>
      </c>
    </row>
    <row r="145" spans="1:9" s="58" customFormat="1" ht="14.25">
      <c r="A145" s="50" t="s">
        <v>516</v>
      </c>
      <c r="B145" s="51" t="str">
        <f>IF($A145="","",NumList())</f>
        <v/>
      </c>
      <c r="C145" s="61" t="s">
        <v>523</v>
      </c>
      <c r="D145" s="55">
        <f t="shared" si="12"/>
        <v>1</v>
      </c>
      <c r="E145" s="55"/>
      <c r="F145" s="55">
        <f t="shared" ca="1" si="17"/>
        <v>33</v>
      </c>
      <c r="G145" s="65" t="s">
        <v>81</v>
      </c>
      <c r="H145" s="60">
        <f t="shared" ref="H145:H146" ca="1" si="20">RANDBETWEEN(1,100)</f>
        <v>85</v>
      </c>
      <c r="I145" s="60">
        <f t="shared" ca="1" si="18"/>
        <v>2805</v>
      </c>
    </row>
    <row r="146" spans="1:9" s="58" customFormat="1" ht="14.25">
      <c r="A146" s="50" t="s">
        <v>516</v>
      </c>
      <c r="B146" s="51" t="str">
        <f>IF($A146="","",NumList())</f>
        <v/>
      </c>
      <c r="C146" s="61" t="s">
        <v>91</v>
      </c>
      <c r="D146" s="55">
        <f t="shared" si="12"/>
        <v>1</v>
      </c>
      <c r="E146" s="55"/>
      <c r="F146" s="55">
        <f t="shared" ca="1" si="17"/>
        <v>58</v>
      </c>
      <c r="G146" s="65" t="s">
        <v>81</v>
      </c>
      <c r="H146" s="60">
        <f t="shared" ca="1" si="20"/>
        <v>84</v>
      </c>
      <c r="I146" s="60">
        <f t="shared" ca="1" si="18"/>
        <v>4872</v>
      </c>
    </row>
    <row r="147" spans="1:9" s="58" customFormat="1" ht="14.25">
      <c r="A147" s="50">
        <v>4</v>
      </c>
      <c r="B147" s="51" t="str">
        <f ca="1">IF($A147="","",NumList())</f>
        <v>2.5.2.3</v>
      </c>
      <c r="C147" s="62" t="s">
        <v>95</v>
      </c>
      <c r="D147" s="55">
        <f t="shared" si="12"/>
        <v>0</v>
      </c>
      <c r="E147" s="55"/>
      <c r="F147" s="55">
        <f t="shared" ca="1" si="17"/>
        <v>0</v>
      </c>
      <c r="G147" s="65"/>
      <c r="H147" s="60"/>
      <c r="I147" s="60">
        <f t="shared" ca="1" si="18"/>
        <v>0</v>
      </c>
    </row>
    <row r="148" spans="1:9" s="58" customFormat="1" ht="14.25">
      <c r="A148" s="50" t="s">
        <v>516</v>
      </c>
      <c r="B148" s="51" t="str">
        <f>IF($A148="","",NumList())</f>
        <v/>
      </c>
      <c r="C148" s="61" t="s">
        <v>94</v>
      </c>
      <c r="D148" s="55">
        <f t="shared" si="12"/>
        <v>1</v>
      </c>
      <c r="E148" s="55"/>
      <c r="F148" s="55">
        <f t="shared" ca="1" si="17"/>
        <v>87</v>
      </c>
      <c r="G148" s="65" t="s">
        <v>81</v>
      </c>
      <c r="H148" s="60">
        <f ca="1">RANDBETWEEN(1,100)</f>
        <v>21</v>
      </c>
      <c r="I148" s="60">
        <f t="shared" ca="1" si="18"/>
        <v>1827</v>
      </c>
    </row>
    <row r="149" spans="1:9" s="58" customFormat="1" ht="14.25">
      <c r="A149" s="50" t="s">
        <v>516</v>
      </c>
      <c r="B149" s="51" t="str">
        <f>IF($A149="","",NumList())</f>
        <v/>
      </c>
      <c r="C149" s="61"/>
      <c r="D149" s="55">
        <f t="shared" si="12"/>
        <v>0</v>
      </c>
      <c r="E149" s="55"/>
      <c r="F149" s="55">
        <f t="shared" ca="1" si="17"/>
        <v>0</v>
      </c>
      <c r="G149" s="65"/>
      <c r="H149" s="60"/>
      <c r="I149" s="60">
        <f t="shared" ca="1" si="18"/>
        <v>0</v>
      </c>
    </row>
    <row r="150" spans="1:9" s="41" customFormat="1" ht="15">
      <c r="A150" s="50">
        <v>2</v>
      </c>
      <c r="B150" s="51" t="str">
        <f ca="1">IF($A150="","",NumList())</f>
        <v>2.6</v>
      </c>
      <c r="C150" s="52" t="s">
        <v>579</v>
      </c>
      <c r="D150" s="55">
        <f t="shared" si="12"/>
        <v>0</v>
      </c>
      <c r="E150" s="48"/>
      <c r="F150" s="55">
        <f t="shared" ca="1" si="17"/>
        <v>0</v>
      </c>
      <c r="G150" s="64"/>
      <c r="H150" s="60"/>
      <c r="I150" s="60">
        <f t="shared" ca="1" si="18"/>
        <v>0</v>
      </c>
    </row>
    <row r="151" spans="1:9" s="58" customFormat="1" ht="14.25">
      <c r="A151" s="50">
        <v>3</v>
      </c>
      <c r="B151" s="51" t="str">
        <f ca="1">IF($A151="","",NumList())</f>
        <v>2.6.1</v>
      </c>
      <c r="C151" s="54" t="s">
        <v>83</v>
      </c>
      <c r="D151" s="55">
        <f t="shared" si="12"/>
        <v>0</v>
      </c>
      <c r="E151" s="55"/>
      <c r="F151" s="55">
        <f t="shared" ca="1" si="17"/>
        <v>0</v>
      </c>
      <c r="G151" s="59"/>
      <c r="H151" s="60"/>
      <c r="I151" s="60">
        <f t="shared" ca="1" si="18"/>
        <v>0</v>
      </c>
    </row>
    <row r="152" spans="1:9" s="58" customFormat="1" ht="14.25" customHeight="1">
      <c r="A152" s="50">
        <v>4</v>
      </c>
      <c r="B152" s="51" t="str">
        <f ca="1">IF($A152="","",NumList())</f>
        <v>2.6.1.1</v>
      </c>
      <c r="C152" s="61" t="s">
        <v>518</v>
      </c>
      <c r="D152" s="55">
        <f t="shared" si="12"/>
        <v>1</v>
      </c>
      <c r="E152" s="55"/>
      <c r="F152" s="55">
        <f t="shared" ca="1" si="17"/>
        <v>97</v>
      </c>
      <c r="G152" s="65" t="s">
        <v>81</v>
      </c>
      <c r="H152" s="60">
        <f ca="1">RANDBETWEEN(1,100)</f>
        <v>27</v>
      </c>
      <c r="I152" s="60">
        <f t="shared" ca="1" si="18"/>
        <v>2619</v>
      </c>
    </row>
    <row r="153" spans="1:9" s="58" customFormat="1" ht="14.25" customHeight="1">
      <c r="A153" s="50">
        <v>4</v>
      </c>
      <c r="B153" s="51" t="str">
        <f ca="1">IF($A153="","",NumList())</f>
        <v>2.6.1.2</v>
      </c>
      <c r="C153" s="61" t="s">
        <v>84</v>
      </c>
      <c r="D153" s="55">
        <f t="shared" si="12"/>
        <v>1</v>
      </c>
      <c r="E153" s="55"/>
      <c r="F153" s="55">
        <f t="shared" ca="1" si="17"/>
        <v>34</v>
      </c>
      <c r="G153" s="65" t="s">
        <v>81</v>
      </c>
      <c r="H153" s="60">
        <f t="shared" ref="H153:H157" ca="1" si="21">RANDBETWEEN(1,100)</f>
        <v>44</v>
      </c>
      <c r="I153" s="60">
        <f t="shared" ca="1" si="18"/>
        <v>1496</v>
      </c>
    </row>
    <row r="154" spans="1:9" s="58" customFormat="1" ht="14.25" customHeight="1">
      <c r="A154" s="50">
        <v>4</v>
      </c>
      <c r="B154" s="51" t="str">
        <f ca="1">IF($A154="","",NumList())</f>
        <v>2.6.1.3</v>
      </c>
      <c r="C154" s="61" t="s">
        <v>85</v>
      </c>
      <c r="D154" s="55">
        <f t="shared" si="12"/>
        <v>1</v>
      </c>
      <c r="E154" s="55"/>
      <c r="F154" s="55">
        <f t="shared" ca="1" si="17"/>
        <v>94</v>
      </c>
      <c r="G154" s="65" t="s">
        <v>81</v>
      </c>
      <c r="H154" s="60">
        <f t="shared" ca="1" si="21"/>
        <v>45</v>
      </c>
      <c r="I154" s="60">
        <f t="shared" ca="1" si="18"/>
        <v>4230</v>
      </c>
    </row>
    <row r="155" spans="1:9" s="58" customFormat="1" ht="14.25">
      <c r="A155" s="50">
        <v>4</v>
      </c>
      <c r="B155" s="51" t="str">
        <f ca="1">IF($A155="","",NumList())</f>
        <v>2.6.1.4</v>
      </c>
      <c r="C155" s="62" t="s">
        <v>291</v>
      </c>
      <c r="D155" s="55">
        <f t="shared" si="12"/>
        <v>1</v>
      </c>
      <c r="E155" s="55"/>
      <c r="F155" s="55">
        <f t="shared" ca="1" si="17"/>
        <v>93</v>
      </c>
      <c r="G155" s="65" t="str">
        <f>G157</f>
        <v>sq.m.</v>
      </c>
      <c r="H155" s="60">
        <f t="shared" ca="1" si="21"/>
        <v>51</v>
      </c>
      <c r="I155" s="60">
        <f t="shared" ca="1" si="18"/>
        <v>4743</v>
      </c>
    </row>
    <row r="156" spans="1:9" s="58" customFormat="1" ht="14.25">
      <c r="A156" s="50">
        <v>4</v>
      </c>
      <c r="B156" s="51" t="str">
        <f ca="1">IF($A156="","",NumList())</f>
        <v>2.6.1.5</v>
      </c>
      <c r="C156" s="62" t="s">
        <v>87</v>
      </c>
      <c r="D156" s="55">
        <f t="shared" si="12"/>
        <v>1</v>
      </c>
      <c r="E156" s="55"/>
      <c r="F156" s="55">
        <f t="shared" ca="1" si="17"/>
        <v>71</v>
      </c>
      <c r="G156" s="65" t="s">
        <v>86</v>
      </c>
      <c r="H156" s="60">
        <f t="shared" ca="1" si="21"/>
        <v>70</v>
      </c>
      <c r="I156" s="60">
        <f t="shared" ca="1" si="18"/>
        <v>4970</v>
      </c>
    </row>
    <row r="157" spans="1:9" s="58" customFormat="1" ht="14.25">
      <c r="A157" s="50">
        <v>4</v>
      </c>
      <c r="B157" s="51" t="str">
        <f ca="1">IF($A157="","",NumList())</f>
        <v>2.6.1.6</v>
      </c>
      <c r="C157" s="62" t="s">
        <v>241</v>
      </c>
      <c r="D157" s="55">
        <f t="shared" si="12"/>
        <v>1</v>
      </c>
      <c r="E157" s="55"/>
      <c r="F157" s="55">
        <f t="shared" ca="1" si="17"/>
        <v>41</v>
      </c>
      <c r="G157" s="65" t="s">
        <v>86</v>
      </c>
      <c r="H157" s="60">
        <f t="shared" ca="1" si="21"/>
        <v>2</v>
      </c>
      <c r="I157" s="60">
        <f t="shared" ca="1" si="18"/>
        <v>82</v>
      </c>
    </row>
    <row r="158" spans="1:9" s="58" customFormat="1" ht="14.25">
      <c r="A158" s="50" t="s">
        <v>516</v>
      </c>
      <c r="B158" s="51" t="str">
        <f>IF($A158="","",NumList())</f>
        <v/>
      </c>
      <c r="C158" s="62"/>
      <c r="D158" s="55">
        <f t="shared" si="12"/>
        <v>0</v>
      </c>
      <c r="E158" s="55"/>
      <c r="F158" s="55">
        <f t="shared" ca="1" si="17"/>
        <v>0</v>
      </c>
      <c r="G158" s="65"/>
      <c r="H158" s="60"/>
      <c r="I158" s="60">
        <f t="shared" ca="1" si="18"/>
        <v>0</v>
      </c>
    </row>
    <row r="159" spans="1:9" s="58" customFormat="1" ht="14.25">
      <c r="A159" s="50">
        <v>3</v>
      </c>
      <c r="B159" s="51" t="str">
        <f ca="1">IF($A159="","",NumList())</f>
        <v>2.6.2</v>
      </c>
      <c r="C159" s="54" t="s">
        <v>88</v>
      </c>
      <c r="D159" s="55">
        <f t="shared" si="12"/>
        <v>0</v>
      </c>
      <c r="E159" s="55"/>
      <c r="F159" s="55">
        <f t="shared" ca="1" si="17"/>
        <v>0</v>
      </c>
      <c r="G159" s="65"/>
      <c r="H159" s="60"/>
      <c r="I159" s="60">
        <f t="shared" ca="1" si="18"/>
        <v>0</v>
      </c>
    </row>
    <row r="160" spans="1:9" s="58" customFormat="1" ht="14.25">
      <c r="A160" s="50">
        <v>4</v>
      </c>
      <c r="B160" s="51" t="str">
        <f ca="1">IF($A160="","",NumList())</f>
        <v>2.6.2.1</v>
      </c>
      <c r="C160" s="61" t="s">
        <v>522</v>
      </c>
      <c r="D160" s="55">
        <f t="shared" si="12"/>
        <v>0</v>
      </c>
      <c r="E160" s="55"/>
      <c r="F160" s="55">
        <f t="shared" ca="1" si="17"/>
        <v>0</v>
      </c>
      <c r="G160" s="65"/>
      <c r="H160" s="60"/>
      <c r="I160" s="60">
        <f t="shared" ca="1" si="18"/>
        <v>0</v>
      </c>
    </row>
    <row r="161" spans="1:9" s="58" customFormat="1" ht="14.25">
      <c r="A161" s="50" t="s">
        <v>516</v>
      </c>
      <c r="B161" s="51" t="str">
        <f>IF($A161="","",NumList())</f>
        <v/>
      </c>
      <c r="C161" s="61" t="s">
        <v>525</v>
      </c>
      <c r="D161" s="55">
        <f t="shared" si="12"/>
        <v>1</v>
      </c>
      <c r="E161" s="55"/>
      <c r="F161" s="55">
        <f t="shared" ca="1" si="17"/>
        <v>10</v>
      </c>
      <c r="G161" s="65" t="s">
        <v>81</v>
      </c>
      <c r="H161" s="60">
        <f ca="1">RANDBETWEEN(1,100)</f>
        <v>18</v>
      </c>
      <c r="I161" s="60">
        <f t="shared" ca="1" si="18"/>
        <v>180</v>
      </c>
    </row>
    <row r="162" spans="1:9" s="58" customFormat="1" ht="14.25">
      <c r="A162" s="50" t="s">
        <v>516</v>
      </c>
      <c r="B162" s="51" t="str">
        <f>IF($A162="","",NumList())</f>
        <v/>
      </c>
      <c r="C162" s="61" t="s">
        <v>91</v>
      </c>
      <c r="D162" s="55">
        <f t="shared" si="12"/>
        <v>1</v>
      </c>
      <c r="E162" s="55"/>
      <c r="F162" s="55">
        <f t="shared" ca="1" si="17"/>
        <v>61</v>
      </c>
      <c r="G162" s="65" t="s">
        <v>81</v>
      </c>
      <c r="H162" s="60">
        <f ca="1">RANDBETWEEN(1,100)</f>
        <v>6</v>
      </c>
      <c r="I162" s="60">
        <f t="shared" ca="1" si="18"/>
        <v>366</v>
      </c>
    </row>
    <row r="163" spans="1:9" s="58" customFormat="1" ht="14.25">
      <c r="A163" s="50">
        <v>4</v>
      </c>
      <c r="B163" s="51" t="str">
        <f ca="1">IF($A163="","",NumList())</f>
        <v>2.6.2.2</v>
      </c>
      <c r="C163" s="61" t="s">
        <v>92</v>
      </c>
      <c r="D163" s="55">
        <f t="shared" ref="D163:D226" si="22">IF(ISTEXT(G163),1,0)</f>
        <v>0</v>
      </c>
      <c r="E163" s="55"/>
      <c r="F163" s="55">
        <f t="shared" ca="1" si="17"/>
        <v>0</v>
      </c>
      <c r="G163" s="65"/>
      <c r="H163" s="60"/>
      <c r="I163" s="60">
        <f t="shared" ca="1" si="18"/>
        <v>0</v>
      </c>
    </row>
    <row r="164" spans="1:9" s="58" customFormat="1" ht="14.25">
      <c r="A164" s="50" t="s">
        <v>516</v>
      </c>
      <c r="B164" s="51" t="str">
        <f>IF($A164="","",NumList())</f>
        <v/>
      </c>
      <c r="C164" s="61" t="s">
        <v>93</v>
      </c>
      <c r="D164" s="55">
        <f t="shared" si="22"/>
        <v>1</v>
      </c>
      <c r="E164" s="55"/>
      <c r="F164" s="55">
        <f t="shared" ca="1" si="17"/>
        <v>98</v>
      </c>
      <c r="G164" s="65" t="s">
        <v>81</v>
      </c>
      <c r="H164" s="60">
        <f ca="1">RANDBETWEEN(1,100)</f>
        <v>53</v>
      </c>
      <c r="I164" s="60">
        <f t="shared" ca="1" si="18"/>
        <v>5194</v>
      </c>
    </row>
    <row r="165" spans="1:9" s="58" customFormat="1" ht="14.25">
      <c r="A165" s="50" t="s">
        <v>516</v>
      </c>
      <c r="B165" s="51" t="str">
        <f>IF($A165="","",NumList())</f>
        <v/>
      </c>
      <c r="C165" s="61" t="s">
        <v>90</v>
      </c>
      <c r="D165" s="55">
        <f t="shared" si="22"/>
        <v>1</v>
      </c>
      <c r="E165" s="55"/>
      <c r="F165" s="55">
        <f t="shared" ca="1" si="17"/>
        <v>33</v>
      </c>
      <c r="G165" s="65" t="s">
        <v>81</v>
      </c>
      <c r="H165" s="60">
        <f t="shared" ref="H165:H166" ca="1" si="23">RANDBETWEEN(1,100)</f>
        <v>81</v>
      </c>
      <c r="I165" s="60">
        <f t="shared" ca="1" si="18"/>
        <v>2673</v>
      </c>
    </row>
    <row r="166" spans="1:9" s="58" customFormat="1" ht="14.25">
      <c r="A166" s="50" t="s">
        <v>516</v>
      </c>
      <c r="B166" s="51" t="str">
        <f>IF($A166="","",NumList())</f>
        <v/>
      </c>
      <c r="C166" s="61" t="s">
        <v>91</v>
      </c>
      <c r="D166" s="55">
        <f t="shared" si="22"/>
        <v>1</v>
      </c>
      <c r="E166" s="55"/>
      <c r="F166" s="55">
        <f t="shared" ca="1" si="17"/>
        <v>55</v>
      </c>
      <c r="G166" s="65" t="s">
        <v>81</v>
      </c>
      <c r="H166" s="60">
        <f t="shared" ca="1" si="23"/>
        <v>90</v>
      </c>
      <c r="I166" s="60">
        <f t="shared" ca="1" si="18"/>
        <v>4950</v>
      </c>
    </row>
    <row r="167" spans="1:9" s="58" customFormat="1" ht="14.25">
      <c r="A167" s="50">
        <v>4</v>
      </c>
      <c r="B167" s="51" t="str">
        <f ca="1">IF($A167="","",NumList())</f>
        <v>2.6.2.3</v>
      </c>
      <c r="C167" s="61" t="s">
        <v>520</v>
      </c>
      <c r="D167" s="55">
        <f t="shared" si="22"/>
        <v>0</v>
      </c>
      <c r="E167" s="55"/>
      <c r="F167" s="55">
        <f t="shared" ca="1" si="17"/>
        <v>0</v>
      </c>
      <c r="G167" s="65"/>
      <c r="H167" s="60"/>
      <c r="I167" s="60">
        <f t="shared" ca="1" si="18"/>
        <v>0</v>
      </c>
    </row>
    <row r="168" spans="1:9" s="58" customFormat="1" ht="14.25">
      <c r="A168" s="50"/>
      <c r="B168" s="51" t="str">
        <f>IF($A168="","",NumList())</f>
        <v/>
      </c>
      <c r="C168" s="61" t="s">
        <v>526</v>
      </c>
      <c r="D168" s="55">
        <f t="shared" si="22"/>
        <v>1</v>
      </c>
      <c r="E168" s="55"/>
      <c r="F168" s="55">
        <f t="shared" ca="1" si="17"/>
        <v>4</v>
      </c>
      <c r="G168" s="65" t="s">
        <v>81</v>
      </c>
      <c r="H168" s="60">
        <f ca="1">RANDBETWEEN(1,100)</f>
        <v>78</v>
      </c>
      <c r="I168" s="60">
        <f t="shared" ca="1" si="18"/>
        <v>312</v>
      </c>
    </row>
    <row r="169" spans="1:9" s="58" customFormat="1" ht="14.25">
      <c r="A169" s="50">
        <v>4</v>
      </c>
      <c r="B169" s="51" t="str">
        <f ca="1">IF($A169="","",NumList())</f>
        <v>2.6.2.4</v>
      </c>
      <c r="C169" s="62" t="s">
        <v>95</v>
      </c>
      <c r="D169" s="55">
        <f t="shared" si="22"/>
        <v>0</v>
      </c>
      <c r="E169" s="55"/>
      <c r="F169" s="55">
        <f t="shared" ca="1" si="17"/>
        <v>0</v>
      </c>
      <c r="G169" s="65"/>
      <c r="H169" s="60"/>
      <c r="I169" s="60">
        <f t="shared" ca="1" si="18"/>
        <v>0</v>
      </c>
    </row>
    <row r="170" spans="1:9" s="58" customFormat="1" ht="14.25">
      <c r="A170" s="50" t="s">
        <v>516</v>
      </c>
      <c r="B170" s="51" t="str">
        <f>IF($A170="","",NumList())</f>
        <v/>
      </c>
      <c r="C170" s="61" t="s">
        <v>94</v>
      </c>
      <c r="D170" s="55">
        <f t="shared" si="22"/>
        <v>1</v>
      </c>
      <c r="E170" s="55"/>
      <c r="F170" s="55">
        <f t="shared" ca="1" si="17"/>
        <v>66</v>
      </c>
      <c r="G170" s="65" t="s">
        <v>81</v>
      </c>
      <c r="H170" s="60">
        <f ca="1">RANDBETWEEN(1,100)</f>
        <v>35</v>
      </c>
      <c r="I170" s="60">
        <f t="shared" ca="1" si="18"/>
        <v>2310</v>
      </c>
    </row>
    <row r="171" spans="1:9" s="58" customFormat="1" ht="14.25">
      <c r="A171" s="50" t="s">
        <v>516</v>
      </c>
      <c r="B171" s="51" t="str">
        <f>IF($A171="","",NumList())</f>
        <v/>
      </c>
      <c r="C171" s="61"/>
      <c r="D171" s="55">
        <f t="shared" si="22"/>
        <v>0</v>
      </c>
      <c r="E171" s="55"/>
      <c r="F171" s="55">
        <f t="shared" ca="1" si="17"/>
        <v>0</v>
      </c>
      <c r="G171" s="65"/>
      <c r="H171" s="60"/>
      <c r="I171" s="60">
        <f t="shared" ca="1" si="18"/>
        <v>0</v>
      </c>
    </row>
    <row r="172" spans="1:9" s="41" customFormat="1" ht="15">
      <c r="A172" s="50">
        <v>1</v>
      </c>
      <c r="B172" s="51">
        <f ca="1">IF($A172="","",NumList())</f>
        <v>3</v>
      </c>
      <c r="C172" s="52" t="s">
        <v>96</v>
      </c>
      <c r="D172" s="55">
        <f t="shared" si="22"/>
        <v>0</v>
      </c>
      <c r="E172" s="48"/>
      <c r="F172" s="55">
        <f t="shared" ca="1" si="17"/>
        <v>0</v>
      </c>
      <c r="G172" s="64"/>
      <c r="H172" s="60"/>
      <c r="I172" s="60">
        <f t="shared" ca="1" si="14"/>
        <v>0</v>
      </c>
    </row>
    <row r="173" spans="1:9" s="58" customFormat="1" ht="14.25">
      <c r="A173" s="50">
        <v>2</v>
      </c>
      <c r="B173" s="51" t="str">
        <f ca="1">IF($A173="","",NumList())</f>
        <v>3.1</v>
      </c>
      <c r="C173" s="54" t="s">
        <v>196</v>
      </c>
      <c r="D173" s="55">
        <f t="shared" si="22"/>
        <v>0</v>
      </c>
      <c r="E173" s="55"/>
      <c r="F173" s="55">
        <f t="shared" ca="1" si="17"/>
        <v>0</v>
      </c>
      <c r="G173" s="59"/>
      <c r="H173" s="60"/>
      <c r="I173" s="60">
        <f t="shared" ca="1" si="14"/>
        <v>0</v>
      </c>
    </row>
    <row r="174" spans="1:9" s="58" customFormat="1" ht="14.25">
      <c r="A174" s="50">
        <v>3</v>
      </c>
      <c r="B174" s="51" t="str">
        <f ca="1">IF($A174="","",NumList())</f>
        <v>3.1.1</v>
      </c>
      <c r="C174" s="54" t="s">
        <v>97</v>
      </c>
      <c r="D174" s="55">
        <f t="shared" si="22"/>
        <v>1</v>
      </c>
      <c r="E174" s="55"/>
      <c r="F174" s="55">
        <f t="shared" ca="1" si="17"/>
        <v>42</v>
      </c>
      <c r="G174" s="59" t="s">
        <v>98</v>
      </c>
      <c r="H174" s="60">
        <f ca="1">RANDBETWEEN(1,100)</f>
        <v>2</v>
      </c>
      <c r="I174" s="60">
        <f t="shared" ca="1" si="14"/>
        <v>84</v>
      </c>
    </row>
    <row r="175" spans="1:9" s="58" customFormat="1" ht="14.25">
      <c r="A175" s="50">
        <v>3</v>
      </c>
      <c r="B175" s="51" t="str">
        <f ca="1">IF($A175="","",NumList())</f>
        <v>3.1.2</v>
      </c>
      <c r="C175" s="61" t="s">
        <v>99</v>
      </c>
      <c r="D175" s="55">
        <f t="shared" si="22"/>
        <v>1</v>
      </c>
      <c r="E175" s="55"/>
      <c r="F175" s="55">
        <f t="shared" ca="1" si="17"/>
        <v>93</v>
      </c>
      <c r="G175" s="59" t="s">
        <v>98</v>
      </c>
      <c r="H175" s="60">
        <f t="shared" ref="H175:H184" ca="1" si="24">RANDBETWEEN(1,100)</f>
        <v>92</v>
      </c>
      <c r="I175" s="60">
        <f t="shared" ca="1" si="14"/>
        <v>8556</v>
      </c>
    </row>
    <row r="176" spans="1:9" s="58" customFormat="1" ht="14.25">
      <c r="A176" s="50">
        <v>3</v>
      </c>
      <c r="B176" s="51" t="str">
        <f ca="1">IF($A176="","",NumList())</f>
        <v>3.1.3</v>
      </c>
      <c r="C176" s="61" t="s">
        <v>100</v>
      </c>
      <c r="D176" s="55">
        <f t="shared" si="22"/>
        <v>1</v>
      </c>
      <c r="E176" s="55"/>
      <c r="F176" s="55">
        <f t="shared" ca="1" si="17"/>
        <v>60</v>
      </c>
      <c r="G176" s="59" t="s">
        <v>98</v>
      </c>
      <c r="H176" s="60">
        <f t="shared" ca="1" si="24"/>
        <v>54</v>
      </c>
      <c r="I176" s="60">
        <f t="shared" ca="1" si="14"/>
        <v>3240</v>
      </c>
    </row>
    <row r="177" spans="1:9" s="58" customFormat="1" ht="14.25">
      <c r="A177" s="50">
        <v>3</v>
      </c>
      <c r="B177" s="51" t="str">
        <f ca="1">IF($A177="","",NumList())</f>
        <v>3.1.4</v>
      </c>
      <c r="C177" s="61" t="s">
        <v>101</v>
      </c>
      <c r="D177" s="55">
        <f t="shared" si="22"/>
        <v>1</v>
      </c>
      <c r="E177" s="55"/>
      <c r="F177" s="55">
        <f t="shared" ca="1" si="17"/>
        <v>44</v>
      </c>
      <c r="G177" s="59" t="s">
        <v>98</v>
      </c>
      <c r="H177" s="60">
        <f t="shared" ca="1" si="24"/>
        <v>74</v>
      </c>
      <c r="I177" s="60">
        <f t="shared" ca="1" si="14"/>
        <v>3256</v>
      </c>
    </row>
    <row r="178" spans="1:9" s="58" customFormat="1" ht="14.25">
      <c r="A178" s="50">
        <v>3</v>
      </c>
      <c r="B178" s="51" t="str">
        <f ca="1">IF($A178="","",NumList())</f>
        <v>3.1.5</v>
      </c>
      <c r="C178" s="61" t="s">
        <v>102</v>
      </c>
      <c r="D178" s="55">
        <f t="shared" si="22"/>
        <v>1</v>
      </c>
      <c r="E178" s="55"/>
      <c r="F178" s="55">
        <f t="shared" ca="1" si="17"/>
        <v>70</v>
      </c>
      <c r="G178" s="59" t="s">
        <v>98</v>
      </c>
      <c r="H178" s="60">
        <f t="shared" ca="1" si="24"/>
        <v>25</v>
      </c>
      <c r="I178" s="60">
        <f t="shared" ca="1" si="14"/>
        <v>1750</v>
      </c>
    </row>
    <row r="179" spans="1:9" s="58" customFormat="1" ht="14.25">
      <c r="A179" s="50">
        <v>3</v>
      </c>
      <c r="B179" s="51" t="str">
        <f ca="1">IF($A179="","",NumList())</f>
        <v>3.1.6</v>
      </c>
      <c r="C179" s="61" t="s">
        <v>103</v>
      </c>
      <c r="D179" s="55">
        <f t="shared" si="22"/>
        <v>1</v>
      </c>
      <c r="E179" s="55"/>
      <c r="F179" s="55">
        <f t="shared" ca="1" si="17"/>
        <v>22</v>
      </c>
      <c r="G179" s="59" t="s">
        <v>98</v>
      </c>
      <c r="H179" s="60">
        <f t="shared" ca="1" si="24"/>
        <v>58</v>
      </c>
      <c r="I179" s="60">
        <f t="shared" ca="1" si="14"/>
        <v>1276</v>
      </c>
    </row>
    <row r="180" spans="1:9" s="58" customFormat="1" ht="14.25">
      <c r="A180" s="50">
        <v>3</v>
      </c>
      <c r="B180" s="51" t="str">
        <f ca="1">IF($A180="","",NumList())</f>
        <v>3.1.7</v>
      </c>
      <c r="C180" s="61" t="s">
        <v>104</v>
      </c>
      <c r="D180" s="55">
        <f t="shared" si="22"/>
        <v>1</v>
      </c>
      <c r="E180" s="55"/>
      <c r="F180" s="55">
        <f t="shared" ca="1" si="17"/>
        <v>21</v>
      </c>
      <c r="G180" s="59" t="s">
        <v>98</v>
      </c>
      <c r="H180" s="60">
        <f t="shared" ca="1" si="24"/>
        <v>68</v>
      </c>
      <c r="I180" s="60">
        <f t="shared" ca="1" si="14"/>
        <v>1428</v>
      </c>
    </row>
    <row r="181" spans="1:9" s="58" customFormat="1" ht="14.25">
      <c r="A181" s="50">
        <v>3</v>
      </c>
      <c r="B181" s="51" t="str">
        <f ca="1">IF($A181="","",NumList())</f>
        <v>3.1.8</v>
      </c>
      <c r="C181" s="62" t="s">
        <v>536</v>
      </c>
      <c r="D181" s="55">
        <f t="shared" si="22"/>
        <v>1</v>
      </c>
      <c r="E181" s="55"/>
      <c r="F181" s="55">
        <f t="shared" ca="1" si="17"/>
        <v>93</v>
      </c>
      <c r="G181" s="59" t="s">
        <v>98</v>
      </c>
      <c r="H181" s="60">
        <f t="shared" ca="1" si="24"/>
        <v>60</v>
      </c>
      <c r="I181" s="60">
        <f t="shared" ca="1" si="14"/>
        <v>5580</v>
      </c>
    </row>
    <row r="182" spans="1:9" s="58" customFormat="1" ht="14.25">
      <c r="A182" s="50">
        <v>3</v>
      </c>
      <c r="B182" s="51" t="str">
        <f ca="1">IF($A182="","",NumList())</f>
        <v>3.1.9</v>
      </c>
      <c r="C182" s="62" t="s">
        <v>537</v>
      </c>
      <c r="D182" s="55">
        <f t="shared" si="22"/>
        <v>1</v>
      </c>
      <c r="E182" s="55"/>
      <c r="F182" s="55">
        <f t="shared" ca="1" si="17"/>
        <v>60</v>
      </c>
      <c r="G182" s="59" t="s">
        <v>98</v>
      </c>
      <c r="H182" s="60">
        <f t="shared" ca="1" si="24"/>
        <v>33</v>
      </c>
      <c r="I182" s="60">
        <f t="shared" ref="I182:I245" ca="1" si="25">F182*H182</f>
        <v>1980</v>
      </c>
    </row>
    <row r="183" spans="1:9" s="58" customFormat="1" ht="14.25">
      <c r="A183" s="50">
        <v>3</v>
      </c>
      <c r="B183" s="51" t="str">
        <f ca="1">IF($A183="","",NumList())</f>
        <v>3.1.10</v>
      </c>
      <c r="C183" s="62" t="s">
        <v>197</v>
      </c>
      <c r="D183" s="55">
        <f t="shared" si="22"/>
        <v>1</v>
      </c>
      <c r="E183" s="55"/>
      <c r="F183" s="55">
        <f t="shared" ca="1" si="17"/>
        <v>20</v>
      </c>
      <c r="G183" s="59" t="s">
        <v>98</v>
      </c>
      <c r="H183" s="60">
        <f t="shared" ca="1" si="24"/>
        <v>25</v>
      </c>
      <c r="I183" s="60">
        <f t="shared" ca="1" si="25"/>
        <v>500</v>
      </c>
    </row>
    <row r="184" spans="1:9" s="58" customFormat="1" ht="14.25">
      <c r="A184" s="50">
        <v>3</v>
      </c>
      <c r="B184" s="51" t="str">
        <f ca="1">IF($A184="","",NumList())</f>
        <v>3.1.11</v>
      </c>
      <c r="C184" s="62" t="s">
        <v>105</v>
      </c>
      <c r="D184" s="55">
        <f t="shared" si="22"/>
        <v>1</v>
      </c>
      <c r="E184" s="55"/>
      <c r="F184" s="55">
        <f t="shared" ca="1" si="17"/>
        <v>34</v>
      </c>
      <c r="G184" s="59" t="s">
        <v>98</v>
      </c>
      <c r="H184" s="60">
        <f t="shared" ca="1" si="24"/>
        <v>18</v>
      </c>
      <c r="I184" s="60">
        <f t="shared" ca="1" si="25"/>
        <v>612</v>
      </c>
    </row>
    <row r="185" spans="1:9" s="58" customFormat="1" ht="14.25">
      <c r="A185" s="50" t="s">
        <v>516</v>
      </c>
      <c r="B185" s="51" t="str">
        <f>IF($A185="","",NumList())</f>
        <v/>
      </c>
      <c r="C185" s="61"/>
      <c r="D185" s="55">
        <f t="shared" si="22"/>
        <v>0</v>
      </c>
      <c r="E185" s="55"/>
      <c r="F185" s="55">
        <f t="shared" ca="1" si="17"/>
        <v>0</v>
      </c>
      <c r="G185" s="59"/>
      <c r="H185" s="60"/>
      <c r="I185" s="60">
        <f t="shared" ca="1" si="25"/>
        <v>0</v>
      </c>
    </row>
    <row r="186" spans="1:9" s="58" customFormat="1" ht="28.5">
      <c r="A186" s="50">
        <v>2</v>
      </c>
      <c r="B186" s="51" t="str">
        <f ca="1">IF($A186="","",NumList())</f>
        <v>3.2</v>
      </c>
      <c r="C186" s="61" t="s">
        <v>263</v>
      </c>
      <c r="D186" s="55">
        <f t="shared" si="22"/>
        <v>1</v>
      </c>
      <c r="E186" s="55"/>
      <c r="F186" s="55">
        <f t="shared" ca="1" si="17"/>
        <v>61</v>
      </c>
      <c r="G186" s="59" t="s">
        <v>98</v>
      </c>
      <c r="H186" s="60">
        <f ca="1">RANDBETWEEN(1,100)</f>
        <v>89</v>
      </c>
      <c r="I186" s="60">
        <f t="shared" ca="1" si="25"/>
        <v>5429</v>
      </c>
    </row>
    <row r="187" spans="1:9" s="58" customFormat="1" ht="28.5">
      <c r="A187" s="50">
        <v>3</v>
      </c>
      <c r="B187" s="51" t="str">
        <f ca="1">IF($A187="","",NumList())</f>
        <v>3.2.1</v>
      </c>
      <c r="C187" s="61" t="s">
        <v>264</v>
      </c>
      <c r="D187" s="55">
        <f t="shared" si="22"/>
        <v>1</v>
      </c>
      <c r="E187" s="55"/>
      <c r="F187" s="55">
        <f t="shared" ca="1" si="17"/>
        <v>44</v>
      </c>
      <c r="G187" s="59" t="s">
        <v>98</v>
      </c>
      <c r="H187" s="60">
        <f ca="1">RANDBETWEEN(1,100)</f>
        <v>50</v>
      </c>
      <c r="I187" s="60">
        <f t="shared" ca="1" si="25"/>
        <v>2200</v>
      </c>
    </row>
    <row r="188" spans="1:9" s="58" customFormat="1" ht="14.25">
      <c r="A188" s="50" t="s">
        <v>516</v>
      </c>
      <c r="B188" s="51" t="str">
        <f>IF($A188="","",NumList())</f>
        <v/>
      </c>
      <c r="C188" s="54"/>
      <c r="D188" s="55">
        <f t="shared" si="22"/>
        <v>0</v>
      </c>
      <c r="E188" s="55"/>
      <c r="F188" s="55">
        <f t="shared" ca="1" si="17"/>
        <v>0</v>
      </c>
      <c r="G188" s="59"/>
      <c r="H188" s="60"/>
      <c r="I188" s="60">
        <f t="shared" ca="1" si="25"/>
        <v>0</v>
      </c>
    </row>
    <row r="189" spans="1:9" s="58" customFormat="1" ht="14.25">
      <c r="A189" s="50">
        <v>2</v>
      </c>
      <c r="B189" s="51" t="str">
        <f ca="1">IF($A189="","",NumList())</f>
        <v>3.3</v>
      </c>
      <c r="C189" s="61" t="s">
        <v>106</v>
      </c>
      <c r="D189" s="55">
        <f t="shared" si="22"/>
        <v>0</v>
      </c>
      <c r="E189" s="55"/>
      <c r="F189" s="55">
        <f t="shared" ca="1" si="17"/>
        <v>0</v>
      </c>
      <c r="G189" s="59"/>
      <c r="H189" s="60"/>
      <c r="I189" s="60">
        <f t="shared" ca="1" si="25"/>
        <v>0</v>
      </c>
    </row>
    <row r="190" spans="1:9" s="58" customFormat="1" ht="14.25">
      <c r="A190" s="50">
        <v>3</v>
      </c>
      <c r="B190" s="51" t="str">
        <f ca="1">IF($A190="","",NumList())</f>
        <v>3.3.1</v>
      </c>
      <c r="C190" s="61" t="s">
        <v>255</v>
      </c>
      <c r="D190" s="55">
        <f t="shared" si="22"/>
        <v>1</v>
      </c>
      <c r="E190" s="55"/>
      <c r="F190" s="55">
        <f t="shared" ca="1" si="17"/>
        <v>43</v>
      </c>
      <c r="G190" s="59" t="s">
        <v>81</v>
      </c>
      <c r="H190" s="60">
        <f ca="1">RANDBETWEEN(1,100)</f>
        <v>35</v>
      </c>
      <c r="I190" s="60">
        <f t="shared" ca="1" si="25"/>
        <v>1505</v>
      </c>
    </row>
    <row r="191" spans="1:9" s="58" customFormat="1" ht="14.25">
      <c r="A191" s="50">
        <v>3</v>
      </c>
      <c r="B191" s="51" t="str">
        <f ca="1">IF($A191="","",NumList())</f>
        <v>3.3.2</v>
      </c>
      <c r="C191" s="61" t="s">
        <v>256</v>
      </c>
      <c r="D191" s="55">
        <f t="shared" si="22"/>
        <v>1</v>
      </c>
      <c r="E191" s="55"/>
      <c r="F191" s="55">
        <f t="shared" ref="F191:F254" ca="1" si="26">IF(ISTEXT(G191),RANDBETWEEN(1,100),0)</f>
        <v>73</v>
      </c>
      <c r="G191" s="59" t="s">
        <v>81</v>
      </c>
      <c r="H191" s="60">
        <f t="shared" ref="H191:H193" ca="1" si="27">RANDBETWEEN(1,100)</f>
        <v>63</v>
      </c>
      <c r="I191" s="60">
        <f t="shared" ca="1" si="25"/>
        <v>4599</v>
      </c>
    </row>
    <row r="192" spans="1:9" s="58" customFormat="1" ht="14.25">
      <c r="A192" s="50">
        <v>3</v>
      </c>
      <c r="B192" s="51" t="str">
        <f ca="1">IF($A192="","",NumList())</f>
        <v>3.3.3</v>
      </c>
      <c r="C192" s="61" t="s">
        <v>531</v>
      </c>
      <c r="D192" s="55">
        <f t="shared" si="22"/>
        <v>1</v>
      </c>
      <c r="E192" s="55"/>
      <c r="F192" s="55">
        <f t="shared" ca="1" si="26"/>
        <v>58</v>
      </c>
      <c r="G192" s="59" t="s">
        <v>81</v>
      </c>
      <c r="H192" s="60">
        <f t="shared" ca="1" si="27"/>
        <v>77</v>
      </c>
      <c r="I192" s="60">
        <f t="shared" ca="1" si="25"/>
        <v>4466</v>
      </c>
    </row>
    <row r="193" spans="1:10" s="58" customFormat="1" ht="14.25">
      <c r="A193" s="50">
        <v>3</v>
      </c>
      <c r="B193" s="51" t="str">
        <f ca="1">IF($A193="","",NumList())</f>
        <v>3.3.4</v>
      </c>
      <c r="C193" s="62" t="s">
        <v>107</v>
      </c>
      <c r="D193" s="55">
        <f t="shared" si="22"/>
        <v>1</v>
      </c>
      <c r="E193" s="55"/>
      <c r="F193" s="55">
        <f t="shared" ca="1" si="26"/>
        <v>50</v>
      </c>
      <c r="G193" s="59" t="s">
        <v>289</v>
      </c>
      <c r="H193" s="60">
        <f t="shared" ca="1" si="27"/>
        <v>67</v>
      </c>
      <c r="I193" s="60">
        <f t="shared" ca="1" si="25"/>
        <v>3350</v>
      </c>
      <c r="J193" s="58" t="s">
        <v>382</v>
      </c>
    </row>
    <row r="194" spans="1:10" s="58" customFormat="1" ht="14.25">
      <c r="A194" s="50" t="s">
        <v>516</v>
      </c>
      <c r="B194" s="51" t="str">
        <f>IF($A194="","",NumList())</f>
        <v/>
      </c>
      <c r="C194" s="61"/>
      <c r="D194" s="55">
        <f t="shared" si="22"/>
        <v>0</v>
      </c>
      <c r="E194" s="55"/>
      <c r="F194" s="55">
        <f t="shared" ca="1" si="26"/>
        <v>0</v>
      </c>
      <c r="G194" s="59"/>
      <c r="H194" s="60"/>
      <c r="I194" s="60">
        <f t="shared" ca="1" si="25"/>
        <v>0</v>
      </c>
    </row>
    <row r="195" spans="1:10" s="58" customFormat="1" ht="14.25">
      <c r="A195" s="50">
        <v>2</v>
      </c>
      <c r="B195" s="51" t="str">
        <f ca="1">IF($A195="","",NumList())</f>
        <v>3.4</v>
      </c>
      <c r="C195" s="61" t="s">
        <v>108</v>
      </c>
      <c r="D195" s="55">
        <f t="shared" si="22"/>
        <v>0</v>
      </c>
      <c r="E195" s="55"/>
      <c r="F195" s="55">
        <f t="shared" ca="1" si="26"/>
        <v>0</v>
      </c>
      <c r="G195" s="59"/>
      <c r="H195" s="60"/>
      <c r="I195" s="60">
        <f t="shared" ca="1" si="25"/>
        <v>0</v>
      </c>
    </row>
    <row r="196" spans="1:10" s="58" customFormat="1" ht="14.25">
      <c r="A196" s="50">
        <v>3</v>
      </c>
      <c r="B196" s="51" t="str">
        <f ca="1">IF($A196="","",NumList())</f>
        <v>3.4.1</v>
      </c>
      <c r="C196" s="62" t="s">
        <v>109</v>
      </c>
      <c r="D196" s="55">
        <f t="shared" si="22"/>
        <v>1</v>
      </c>
      <c r="E196" s="55"/>
      <c r="F196" s="55">
        <f t="shared" ca="1" si="26"/>
        <v>2</v>
      </c>
      <c r="G196" s="59" t="s">
        <v>81</v>
      </c>
      <c r="H196" s="60">
        <f ca="1">RANDBETWEEN(1,100)</f>
        <v>28</v>
      </c>
      <c r="I196" s="60">
        <f t="shared" ca="1" si="25"/>
        <v>56</v>
      </c>
    </row>
    <row r="197" spans="1:10" s="58" customFormat="1" ht="14.25">
      <c r="A197" s="50">
        <v>3</v>
      </c>
      <c r="B197" s="51" t="str">
        <f ca="1">IF($A197="","",NumList())</f>
        <v>3.4.2</v>
      </c>
      <c r="C197" s="62" t="s">
        <v>110</v>
      </c>
      <c r="D197" s="55">
        <f t="shared" si="22"/>
        <v>1</v>
      </c>
      <c r="E197" s="55"/>
      <c r="F197" s="55">
        <f t="shared" ca="1" si="26"/>
        <v>14</v>
      </c>
      <c r="G197" s="59" t="s">
        <v>81</v>
      </c>
      <c r="H197" s="60">
        <f ca="1">RANDBETWEEN(1,100)</f>
        <v>55</v>
      </c>
      <c r="I197" s="60">
        <f t="shared" ca="1" si="25"/>
        <v>770</v>
      </c>
    </row>
    <row r="198" spans="1:10" s="58" customFormat="1" ht="14.25">
      <c r="A198" s="50" t="s">
        <v>516</v>
      </c>
      <c r="B198" s="51" t="str">
        <f>IF($A198="","",NumList())</f>
        <v/>
      </c>
      <c r="C198" s="62"/>
      <c r="D198" s="55">
        <f t="shared" si="22"/>
        <v>0</v>
      </c>
      <c r="E198" s="55"/>
      <c r="F198" s="55">
        <f t="shared" ca="1" si="26"/>
        <v>0</v>
      </c>
      <c r="G198" s="59"/>
      <c r="H198" s="60"/>
      <c r="I198" s="60">
        <f t="shared" ca="1" si="25"/>
        <v>0</v>
      </c>
    </row>
    <row r="199" spans="1:10" s="58" customFormat="1" ht="14.25">
      <c r="A199" s="50">
        <v>2</v>
      </c>
      <c r="B199" s="51" t="str">
        <f ca="1">IF($A199="","",NumList())</f>
        <v>3.5</v>
      </c>
      <c r="C199" s="62" t="s">
        <v>111</v>
      </c>
      <c r="D199" s="55">
        <f t="shared" si="22"/>
        <v>0</v>
      </c>
      <c r="E199" s="55"/>
      <c r="F199" s="55">
        <f t="shared" ca="1" si="26"/>
        <v>0</v>
      </c>
      <c r="H199" s="60"/>
      <c r="I199" s="60">
        <f t="shared" ca="1" si="25"/>
        <v>0</v>
      </c>
    </row>
    <row r="200" spans="1:10" s="58" customFormat="1" ht="29.25">
      <c r="A200" s="50" t="s">
        <v>516</v>
      </c>
      <c r="B200" s="51" t="str">
        <f>IF($A200="","",NumList())</f>
        <v/>
      </c>
      <c r="C200" s="61" t="s">
        <v>538</v>
      </c>
      <c r="D200" s="55">
        <f t="shared" si="22"/>
        <v>1</v>
      </c>
      <c r="E200" s="55"/>
      <c r="F200" s="55">
        <f t="shared" ca="1" si="26"/>
        <v>71</v>
      </c>
      <c r="G200" s="59" t="s">
        <v>81</v>
      </c>
      <c r="H200" s="60">
        <f ca="1">RANDBETWEEN(1,100)</f>
        <v>80</v>
      </c>
      <c r="I200" s="60">
        <f t="shared" ca="1" si="25"/>
        <v>5680</v>
      </c>
    </row>
    <row r="201" spans="1:10" s="58" customFormat="1" ht="14.25">
      <c r="A201" s="50" t="s">
        <v>516</v>
      </c>
      <c r="B201" s="51" t="str">
        <f>IF($A201="","",NumList())</f>
        <v/>
      </c>
      <c r="C201" s="62"/>
      <c r="D201" s="55">
        <f t="shared" si="22"/>
        <v>0</v>
      </c>
      <c r="E201" s="55"/>
      <c r="F201" s="55">
        <f t="shared" ca="1" si="26"/>
        <v>0</v>
      </c>
      <c r="G201" s="59"/>
      <c r="H201" s="60"/>
      <c r="I201" s="60">
        <f t="shared" ca="1" si="25"/>
        <v>0</v>
      </c>
    </row>
    <row r="202" spans="1:10" s="58" customFormat="1" ht="14.25">
      <c r="A202" s="50">
        <v>2</v>
      </c>
      <c r="B202" s="51" t="str">
        <f ca="1">IF($A202="","",NumList())</f>
        <v>3.6</v>
      </c>
      <c r="C202" s="62" t="s">
        <v>237</v>
      </c>
      <c r="D202" s="55">
        <f t="shared" si="22"/>
        <v>0</v>
      </c>
      <c r="E202" s="55"/>
      <c r="F202" s="55">
        <f t="shared" ca="1" si="26"/>
        <v>0</v>
      </c>
      <c r="G202" s="59"/>
      <c r="H202" s="60"/>
      <c r="I202" s="60">
        <f t="shared" ca="1" si="25"/>
        <v>0</v>
      </c>
    </row>
    <row r="203" spans="1:10" s="58" customFormat="1" ht="42.75">
      <c r="A203" s="50">
        <v>3</v>
      </c>
      <c r="B203" s="51" t="str">
        <f ca="1">IF($A203="","",NumList())</f>
        <v>3.6.1</v>
      </c>
      <c r="C203" s="61" t="s">
        <v>281</v>
      </c>
      <c r="D203" s="55">
        <f t="shared" si="22"/>
        <v>1</v>
      </c>
      <c r="E203" s="55"/>
      <c r="F203" s="55">
        <f t="shared" ca="1" si="26"/>
        <v>4</v>
      </c>
      <c r="G203" s="59" t="s">
        <v>81</v>
      </c>
      <c r="H203" s="60">
        <f ca="1">RANDBETWEEN(1,100)</f>
        <v>35</v>
      </c>
      <c r="I203" s="60">
        <f t="shared" ca="1" si="25"/>
        <v>140</v>
      </c>
    </row>
    <row r="204" spans="1:10" s="58" customFormat="1" ht="14.25">
      <c r="A204" s="50">
        <v>3</v>
      </c>
      <c r="B204" s="51" t="str">
        <f ca="1">IF($A204="","",NumList())</f>
        <v>3.6.2</v>
      </c>
      <c r="C204" s="61" t="s">
        <v>238</v>
      </c>
      <c r="D204" s="55">
        <f t="shared" si="22"/>
        <v>1</v>
      </c>
      <c r="E204" s="55"/>
      <c r="F204" s="55">
        <f t="shared" ca="1" si="26"/>
        <v>93</v>
      </c>
      <c r="G204" s="59" t="s">
        <v>81</v>
      </c>
      <c r="H204" s="60">
        <f ca="1">RANDBETWEEN(1,100)</f>
        <v>39</v>
      </c>
      <c r="I204" s="60">
        <f t="shared" ca="1" si="25"/>
        <v>3627</v>
      </c>
    </row>
    <row r="205" spans="1:10" s="58" customFormat="1" ht="14.25">
      <c r="A205" s="50" t="s">
        <v>516</v>
      </c>
      <c r="B205" s="51" t="str">
        <f>IF($A205="","",NumList())</f>
        <v/>
      </c>
      <c r="C205" s="62"/>
      <c r="D205" s="55">
        <f t="shared" si="22"/>
        <v>0</v>
      </c>
      <c r="E205" s="55"/>
      <c r="F205" s="55">
        <f t="shared" ca="1" si="26"/>
        <v>0</v>
      </c>
      <c r="G205" s="59"/>
      <c r="H205" s="60"/>
      <c r="I205" s="60">
        <f t="shared" ca="1" si="25"/>
        <v>0</v>
      </c>
    </row>
    <row r="206" spans="1:10" s="58" customFormat="1" ht="14.25">
      <c r="A206" s="50">
        <v>2</v>
      </c>
      <c r="B206" s="51" t="str">
        <f ca="1">IF($A206="","",NumList())</f>
        <v>3.7</v>
      </c>
      <c r="C206" s="62" t="s">
        <v>239</v>
      </c>
      <c r="D206" s="55">
        <f t="shared" si="22"/>
        <v>0</v>
      </c>
      <c r="E206" s="55"/>
      <c r="F206" s="55">
        <f t="shared" ca="1" si="26"/>
        <v>0</v>
      </c>
      <c r="G206" s="59"/>
      <c r="H206" s="60"/>
      <c r="I206" s="60">
        <f t="shared" ca="1" si="25"/>
        <v>0</v>
      </c>
    </row>
    <row r="207" spans="1:10" s="58" customFormat="1" ht="42.75">
      <c r="A207" s="50">
        <v>3</v>
      </c>
      <c r="B207" s="51" t="str">
        <f ca="1">IF($A207="","",NumList())</f>
        <v>3.7.1</v>
      </c>
      <c r="C207" s="61" t="s">
        <v>281</v>
      </c>
      <c r="D207" s="55">
        <f t="shared" si="22"/>
        <v>1</v>
      </c>
      <c r="E207" s="55"/>
      <c r="F207" s="55">
        <f t="shared" ca="1" si="26"/>
        <v>24</v>
      </c>
      <c r="G207" s="59" t="s">
        <v>81</v>
      </c>
      <c r="H207" s="60">
        <f ca="1">RANDBETWEEN(1,100)</f>
        <v>18</v>
      </c>
      <c r="I207" s="60">
        <f t="shared" ca="1" si="25"/>
        <v>432</v>
      </c>
    </row>
    <row r="208" spans="1:10" s="58" customFormat="1" ht="14.25">
      <c r="A208" s="50">
        <v>3</v>
      </c>
      <c r="B208" s="51" t="str">
        <f ca="1">IF($A208="","",NumList())</f>
        <v>3.7.2</v>
      </c>
      <c r="C208" s="61" t="s">
        <v>238</v>
      </c>
      <c r="D208" s="55">
        <f t="shared" si="22"/>
        <v>1</v>
      </c>
      <c r="E208" s="55"/>
      <c r="F208" s="55">
        <f t="shared" ca="1" si="26"/>
        <v>37</v>
      </c>
      <c r="G208" s="59" t="s">
        <v>81</v>
      </c>
      <c r="H208" s="60">
        <f ca="1">RANDBETWEEN(1,100)</f>
        <v>73</v>
      </c>
      <c r="I208" s="60">
        <f t="shared" ca="1" si="25"/>
        <v>2701</v>
      </c>
    </row>
    <row r="209" spans="1:9" s="58" customFormat="1" ht="14.25">
      <c r="A209" s="50" t="s">
        <v>516</v>
      </c>
      <c r="B209" s="51" t="str">
        <f>IF($A209="","",NumList())</f>
        <v/>
      </c>
      <c r="C209" s="62"/>
      <c r="D209" s="55">
        <f t="shared" si="22"/>
        <v>0</v>
      </c>
      <c r="E209" s="55"/>
      <c r="F209" s="55">
        <f t="shared" ca="1" si="26"/>
        <v>0</v>
      </c>
      <c r="G209" s="59"/>
      <c r="H209" s="60"/>
      <c r="I209" s="60">
        <f t="shared" ca="1" si="25"/>
        <v>0</v>
      </c>
    </row>
    <row r="210" spans="1:9" s="58" customFormat="1" ht="14.25">
      <c r="A210" s="50">
        <v>2</v>
      </c>
      <c r="B210" s="51" t="str">
        <f ca="1">IF($A210="","",NumList())</f>
        <v>3.8</v>
      </c>
      <c r="C210" s="61" t="s">
        <v>112</v>
      </c>
      <c r="D210" s="55">
        <f t="shared" si="22"/>
        <v>1</v>
      </c>
      <c r="E210" s="55"/>
      <c r="F210" s="55">
        <f t="shared" ca="1" si="26"/>
        <v>18</v>
      </c>
      <c r="G210" s="59" t="s">
        <v>8</v>
      </c>
      <c r="H210" s="60">
        <f ca="1">RANDBETWEEN(1,100)</f>
        <v>85</v>
      </c>
      <c r="I210" s="60">
        <f t="shared" ca="1" si="25"/>
        <v>1530</v>
      </c>
    </row>
    <row r="211" spans="1:9" s="58" customFormat="1" ht="42.75">
      <c r="A211" s="50">
        <v>3</v>
      </c>
      <c r="B211" s="51" t="str">
        <f ca="1">IF($A211="","",NumList())</f>
        <v>3.8.1</v>
      </c>
      <c r="C211" s="61" t="s">
        <v>281</v>
      </c>
      <c r="D211" s="55">
        <f t="shared" si="22"/>
        <v>1</v>
      </c>
      <c r="E211" s="55"/>
      <c r="F211" s="55">
        <f t="shared" ca="1" si="26"/>
        <v>20</v>
      </c>
      <c r="G211" s="59" t="s">
        <v>81</v>
      </c>
      <c r="H211" s="60">
        <f t="shared" ref="H211:H212" ca="1" si="28">RANDBETWEEN(1,100)</f>
        <v>57</v>
      </c>
      <c r="I211" s="60">
        <f t="shared" ca="1" si="25"/>
        <v>1140</v>
      </c>
    </row>
    <row r="212" spans="1:9" s="58" customFormat="1" ht="14.25">
      <c r="A212" s="50">
        <v>3</v>
      </c>
      <c r="B212" s="51" t="str">
        <f ca="1">IF($A212="","",NumList())</f>
        <v>3.8.2</v>
      </c>
      <c r="C212" s="61" t="s">
        <v>238</v>
      </c>
      <c r="D212" s="55">
        <f t="shared" si="22"/>
        <v>1</v>
      </c>
      <c r="E212" s="55"/>
      <c r="F212" s="55">
        <f t="shared" ca="1" si="26"/>
        <v>86</v>
      </c>
      <c r="G212" s="59" t="s">
        <v>81</v>
      </c>
      <c r="H212" s="60">
        <f t="shared" ca="1" si="28"/>
        <v>15</v>
      </c>
      <c r="I212" s="60">
        <f t="shared" ca="1" si="25"/>
        <v>1290</v>
      </c>
    </row>
    <row r="213" spans="1:9" s="58" customFormat="1" ht="14.25">
      <c r="A213" s="50" t="s">
        <v>516</v>
      </c>
      <c r="B213" s="51" t="str">
        <f>IF($A213="","",NumList())</f>
        <v/>
      </c>
      <c r="C213" s="54"/>
      <c r="D213" s="55">
        <f t="shared" si="22"/>
        <v>0</v>
      </c>
      <c r="E213" s="55"/>
      <c r="F213" s="55">
        <f t="shared" ca="1" si="26"/>
        <v>0</v>
      </c>
      <c r="G213" s="59"/>
      <c r="H213" s="60"/>
      <c r="I213" s="60">
        <f t="shared" ca="1" si="25"/>
        <v>0</v>
      </c>
    </row>
    <row r="214" spans="1:9" s="41" customFormat="1" ht="15">
      <c r="A214" s="50">
        <v>1</v>
      </c>
      <c r="B214" s="51">
        <f ca="1">IF($A214="","",NumList())</f>
        <v>4</v>
      </c>
      <c r="C214" s="52" t="s">
        <v>113</v>
      </c>
      <c r="D214" s="55">
        <f t="shared" si="22"/>
        <v>0</v>
      </c>
      <c r="E214" s="48"/>
      <c r="F214" s="55">
        <f t="shared" ca="1" si="26"/>
        <v>0</v>
      </c>
      <c r="G214" s="64"/>
      <c r="H214" s="60"/>
      <c r="I214" s="60">
        <f t="shared" ca="1" si="25"/>
        <v>0</v>
      </c>
    </row>
    <row r="215" spans="1:9" s="58" customFormat="1" ht="14.25">
      <c r="A215" s="50">
        <v>2</v>
      </c>
      <c r="B215" s="51" t="str">
        <f ca="1">IF($A215="","",NumList())</f>
        <v>4.1</v>
      </c>
      <c r="C215" s="61" t="s">
        <v>114</v>
      </c>
      <c r="D215" s="55">
        <f t="shared" si="22"/>
        <v>0</v>
      </c>
      <c r="E215" s="55"/>
      <c r="F215" s="55">
        <f t="shared" ca="1" si="26"/>
        <v>0</v>
      </c>
      <c r="G215" s="59"/>
      <c r="H215" s="60"/>
      <c r="I215" s="60">
        <f t="shared" ca="1" si="25"/>
        <v>0</v>
      </c>
    </row>
    <row r="216" spans="1:9" s="58" customFormat="1" ht="14.25">
      <c r="A216" s="50">
        <v>3</v>
      </c>
      <c r="B216" s="51" t="str">
        <f ca="1">IF($A216="","",NumList())</f>
        <v>4.1.1</v>
      </c>
      <c r="C216" s="66" t="s">
        <v>115</v>
      </c>
      <c r="D216" s="55">
        <f t="shared" si="22"/>
        <v>0</v>
      </c>
      <c r="E216" s="55"/>
      <c r="F216" s="55">
        <f t="shared" ca="1" si="26"/>
        <v>0</v>
      </c>
      <c r="G216" s="59"/>
      <c r="H216" s="60"/>
      <c r="I216" s="60">
        <f t="shared" ca="1" si="25"/>
        <v>0</v>
      </c>
    </row>
    <row r="217" spans="1:9" s="58" customFormat="1" ht="14.25">
      <c r="A217" s="50" t="s">
        <v>516</v>
      </c>
      <c r="B217" s="51" t="str">
        <f>IF($A217="","",NumList())</f>
        <v/>
      </c>
      <c r="C217" s="61" t="s">
        <v>116</v>
      </c>
      <c r="D217" s="55">
        <f t="shared" si="22"/>
        <v>1</v>
      </c>
      <c r="E217" s="55"/>
      <c r="F217" s="55">
        <f t="shared" ca="1" si="26"/>
        <v>95</v>
      </c>
      <c r="G217" s="59" t="s">
        <v>6</v>
      </c>
      <c r="H217" s="60">
        <f ca="1">RANDBETWEEN(1,100)</f>
        <v>85</v>
      </c>
      <c r="I217" s="60">
        <f t="shared" ca="1" si="25"/>
        <v>8075</v>
      </c>
    </row>
    <row r="218" spans="1:9" s="58" customFormat="1" ht="14.25">
      <c r="A218" s="50" t="s">
        <v>516</v>
      </c>
      <c r="B218" s="51" t="str">
        <f>IF($A218="","",NumList())</f>
        <v/>
      </c>
      <c r="C218" s="61" t="s">
        <v>117</v>
      </c>
      <c r="D218" s="55">
        <f t="shared" si="22"/>
        <v>1</v>
      </c>
      <c r="E218" s="55"/>
      <c r="F218" s="55">
        <f t="shared" ca="1" si="26"/>
        <v>12</v>
      </c>
      <c r="G218" s="59" t="s">
        <v>6</v>
      </c>
      <c r="H218" s="60">
        <f t="shared" ref="H218:H249" ca="1" si="29">RANDBETWEEN(1,100)</f>
        <v>82</v>
      </c>
      <c r="I218" s="60">
        <f t="shared" ca="1" si="25"/>
        <v>984</v>
      </c>
    </row>
    <row r="219" spans="1:9" s="58" customFormat="1" ht="14.25">
      <c r="A219" s="50" t="s">
        <v>516</v>
      </c>
      <c r="B219" s="51" t="str">
        <f>IF($A219="","",NumList())</f>
        <v/>
      </c>
      <c r="C219" s="61" t="s">
        <v>118</v>
      </c>
      <c r="D219" s="55">
        <f t="shared" si="22"/>
        <v>1</v>
      </c>
      <c r="E219" s="55"/>
      <c r="F219" s="55">
        <f t="shared" ca="1" si="26"/>
        <v>49</v>
      </c>
      <c r="G219" s="59" t="s">
        <v>6</v>
      </c>
      <c r="H219" s="60">
        <f t="shared" ca="1" si="29"/>
        <v>88</v>
      </c>
      <c r="I219" s="60">
        <f t="shared" ca="1" si="25"/>
        <v>4312</v>
      </c>
    </row>
    <row r="220" spans="1:9" s="58" customFormat="1" ht="14.25">
      <c r="A220" s="50" t="s">
        <v>516</v>
      </c>
      <c r="B220" s="51" t="str">
        <f>IF($A220="","",NumList())</f>
        <v/>
      </c>
      <c r="C220" s="61" t="s">
        <v>119</v>
      </c>
      <c r="D220" s="55">
        <f t="shared" si="22"/>
        <v>1</v>
      </c>
      <c r="E220" s="55"/>
      <c r="F220" s="55">
        <f t="shared" ca="1" si="26"/>
        <v>85</v>
      </c>
      <c r="G220" s="59" t="s">
        <v>6</v>
      </c>
      <c r="H220" s="60">
        <f t="shared" ca="1" si="29"/>
        <v>29</v>
      </c>
      <c r="I220" s="60">
        <f t="shared" ca="1" si="25"/>
        <v>2465</v>
      </c>
    </row>
    <row r="221" spans="1:9" s="58" customFormat="1" ht="14.25">
      <c r="A221" s="50" t="s">
        <v>516</v>
      </c>
      <c r="B221" s="51" t="str">
        <f>IF($A221="","",NumList())</f>
        <v/>
      </c>
      <c r="C221" s="61" t="s">
        <v>120</v>
      </c>
      <c r="D221" s="55">
        <f t="shared" si="22"/>
        <v>1</v>
      </c>
      <c r="E221" s="55"/>
      <c r="F221" s="55">
        <f t="shared" ca="1" si="26"/>
        <v>94</v>
      </c>
      <c r="G221" s="59" t="s">
        <v>6</v>
      </c>
      <c r="H221" s="60">
        <f t="shared" ca="1" si="29"/>
        <v>23</v>
      </c>
      <c r="I221" s="60">
        <f t="shared" ca="1" si="25"/>
        <v>2162</v>
      </c>
    </row>
    <row r="222" spans="1:9" s="58" customFormat="1" ht="14.25">
      <c r="A222" s="50" t="s">
        <v>516</v>
      </c>
      <c r="B222" s="51" t="str">
        <f>IF($A222="","",NumList())</f>
        <v/>
      </c>
      <c r="C222" s="61" t="s">
        <v>121</v>
      </c>
      <c r="D222" s="55">
        <f t="shared" si="22"/>
        <v>1</v>
      </c>
      <c r="E222" s="55"/>
      <c r="F222" s="55">
        <f t="shared" ca="1" si="26"/>
        <v>42</v>
      </c>
      <c r="G222" s="59" t="s">
        <v>6</v>
      </c>
      <c r="H222" s="60">
        <f t="shared" ca="1" si="29"/>
        <v>50</v>
      </c>
      <c r="I222" s="60">
        <f t="shared" ca="1" si="25"/>
        <v>2100</v>
      </c>
    </row>
    <row r="223" spans="1:9" s="58" customFormat="1" ht="14.25">
      <c r="A223" s="50" t="s">
        <v>516</v>
      </c>
      <c r="B223" s="51" t="str">
        <f>IF($A223="","",NumList())</f>
        <v/>
      </c>
      <c r="C223" s="61" t="s">
        <v>122</v>
      </c>
      <c r="D223" s="55">
        <f t="shared" si="22"/>
        <v>1</v>
      </c>
      <c r="E223" s="55"/>
      <c r="F223" s="55">
        <f t="shared" ca="1" si="26"/>
        <v>85</v>
      </c>
      <c r="G223" s="59" t="s">
        <v>6</v>
      </c>
      <c r="H223" s="60">
        <f t="shared" ca="1" si="29"/>
        <v>55</v>
      </c>
      <c r="I223" s="60">
        <f t="shared" ca="1" si="25"/>
        <v>4675</v>
      </c>
    </row>
    <row r="224" spans="1:9" s="58" customFormat="1" ht="14.25">
      <c r="A224" s="50" t="s">
        <v>516</v>
      </c>
      <c r="B224" s="51" t="str">
        <f>IF($A224="","",NumList())</f>
        <v/>
      </c>
      <c r="C224" s="61" t="s">
        <v>123</v>
      </c>
      <c r="D224" s="55">
        <f t="shared" si="22"/>
        <v>1</v>
      </c>
      <c r="E224" s="55"/>
      <c r="F224" s="55">
        <f t="shared" ca="1" si="26"/>
        <v>71</v>
      </c>
      <c r="G224" s="59" t="s">
        <v>6</v>
      </c>
      <c r="H224" s="60">
        <f t="shared" ca="1" si="29"/>
        <v>22</v>
      </c>
      <c r="I224" s="60">
        <f t="shared" ca="1" si="25"/>
        <v>1562</v>
      </c>
    </row>
    <row r="225" spans="1:9" s="58" customFormat="1" ht="14.25">
      <c r="A225" s="50" t="s">
        <v>516</v>
      </c>
      <c r="B225" s="51" t="str">
        <f>IF($A225="","",NumList())</f>
        <v/>
      </c>
      <c r="C225" s="61" t="s">
        <v>124</v>
      </c>
      <c r="D225" s="55">
        <f t="shared" si="22"/>
        <v>1</v>
      </c>
      <c r="E225" s="55"/>
      <c r="F225" s="55">
        <f t="shared" ca="1" si="26"/>
        <v>39</v>
      </c>
      <c r="G225" s="59" t="s">
        <v>6</v>
      </c>
      <c r="H225" s="60">
        <f t="shared" ca="1" si="29"/>
        <v>76</v>
      </c>
      <c r="I225" s="60">
        <f t="shared" ca="1" si="25"/>
        <v>2964</v>
      </c>
    </row>
    <row r="226" spans="1:9" s="58" customFormat="1" ht="14.25">
      <c r="A226" s="50" t="s">
        <v>516</v>
      </c>
      <c r="B226" s="51" t="str">
        <f>IF($A226="","",NumList())</f>
        <v/>
      </c>
      <c r="C226" s="61" t="s">
        <v>125</v>
      </c>
      <c r="D226" s="55">
        <f t="shared" si="22"/>
        <v>1</v>
      </c>
      <c r="E226" s="55"/>
      <c r="F226" s="55">
        <f t="shared" ca="1" si="26"/>
        <v>82</v>
      </c>
      <c r="G226" s="59" t="s">
        <v>6</v>
      </c>
      <c r="H226" s="60">
        <f t="shared" ca="1" si="29"/>
        <v>24</v>
      </c>
      <c r="I226" s="60">
        <f t="shared" ca="1" si="25"/>
        <v>1968</v>
      </c>
    </row>
    <row r="227" spans="1:9" s="58" customFormat="1" ht="14.25">
      <c r="A227" s="50" t="s">
        <v>516</v>
      </c>
      <c r="B227" s="51" t="str">
        <f>IF($A227="","",NumList())</f>
        <v/>
      </c>
      <c r="C227" s="61" t="s">
        <v>126</v>
      </c>
      <c r="D227" s="55">
        <f t="shared" ref="D227:D290" si="30">IF(ISTEXT(G227),1,0)</f>
        <v>1</v>
      </c>
      <c r="E227" s="55"/>
      <c r="F227" s="55">
        <f t="shared" ca="1" si="26"/>
        <v>93</v>
      </c>
      <c r="G227" s="59" t="s">
        <v>6</v>
      </c>
      <c r="H227" s="60">
        <f t="shared" ca="1" si="29"/>
        <v>66</v>
      </c>
      <c r="I227" s="60">
        <f t="shared" ca="1" si="25"/>
        <v>6138</v>
      </c>
    </row>
    <row r="228" spans="1:9" s="58" customFormat="1" ht="14.25">
      <c r="A228" s="50" t="s">
        <v>516</v>
      </c>
      <c r="B228" s="51" t="str">
        <f>IF($A228="","",NumList())</f>
        <v/>
      </c>
      <c r="C228" s="61" t="s">
        <v>127</v>
      </c>
      <c r="D228" s="55">
        <f t="shared" si="30"/>
        <v>1</v>
      </c>
      <c r="E228" s="55"/>
      <c r="F228" s="55">
        <f t="shared" ca="1" si="26"/>
        <v>18</v>
      </c>
      <c r="G228" s="59" t="s">
        <v>6</v>
      </c>
      <c r="H228" s="60">
        <f t="shared" ca="1" si="29"/>
        <v>62</v>
      </c>
      <c r="I228" s="60">
        <f t="shared" ca="1" si="25"/>
        <v>1116</v>
      </c>
    </row>
    <row r="229" spans="1:9" s="58" customFormat="1" ht="14.25">
      <c r="A229" s="50" t="s">
        <v>516</v>
      </c>
      <c r="B229" s="51" t="str">
        <f>IF($A229="","",NumList())</f>
        <v/>
      </c>
      <c r="C229" s="61" t="s">
        <v>128</v>
      </c>
      <c r="D229" s="55">
        <f t="shared" si="30"/>
        <v>1</v>
      </c>
      <c r="E229" s="55"/>
      <c r="F229" s="55">
        <f t="shared" ca="1" si="26"/>
        <v>48</v>
      </c>
      <c r="G229" s="59" t="s">
        <v>6</v>
      </c>
      <c r="H229" s="60">
        <f t="shared" ca="1" si="29"/>
        <v>64</v>
      </c>
      <c r="I229" s="60">
        <f t="shared" ca="1" si="25"/>
        <v>3072</v>
      </c>
    </row>
    <row r="230" spans="1:9" s="58" customFormat="1" ht="14.25">
      <c r="A230" s="50" t="s">
        <v>516</v>
      </c>
      <c r="B230" s="51" t="str">
        <f>IF($A230="","",NumList())</f>
        <v/>
      </c>
      <c r="C230" s="61" t="s">
        <v>129</v>
      </c>
      <c r="D230" s="55">
        <f t="shared" si="30"/>
        <v>1</v>
      </c>
      <c r="E230" s="55"/>
      <c r="F230" s="55">
        <f t="shared" ca="1" si="26"/>
        <v>84</v>
      </c>
      <c r="G230" s="59" t="s">
        <v>6</v>
      </c>
      <c r="H230" s="60">
        <f t="shared" ca="1" si="29"/>
        <v>76</v>
      </c>
      <c r="I230" s="60">
        <f t="shared" ca="1" si="25"/>
        <v>6384</v>
      </c>
    </row>
    <row r="231" spans="1:9" s="58" customFormat="1" ht="14.25">
      <c r="A231" s="50" t="s">
        <v>516</v>
      </c>
      <c r="B231" s="51" t="str">
        <f>IF($A231="","",NumList())</f>
        <v/>
      </c>
      <c r="C231" s="61" t="s">
        <v>130</v>
      </c>
      <c r="D231" s="55">
        <f t="shared" si="30"/>
        <v>1</v>
      </c>
      <c r="E231" s="55"/>
      <c r="F231" s="55">
        <f t="shared" ca="1" si="26"/>
        <v>9</v>
      </c>
      <c r="G231" s="59" t="s">
        <v>6</v>
      </c>
      <c r="H231" s="60">
        <f t="shared" ca="1" si="29"/>
        <v>19</v>
      </c>
      <c r="I231" s="60">
        <f t="shared" ca="1" si="25"/>
        <v>171</v>
      </c>
    </row>
    <row r="232" spans="1:9" s="58" customFormat="1" ht="14.25">
      <c r="A232" s="50" t="s">
        <v>516</v>
      </c>
      <c r="B232" s="51" t="str">
        <f>IF($A232="","",NumList())</f>
        <v/>
      </c>
      <c r="C232" s="61" t="s">
        <v>131</v>
      </c>
      <c r="D232" s="55">
        <f t="shared" si="30"/>
        <v>1</v>
      </c>
      <c r="E232" s="55"/>
      <c r="F232" s="55">
        <f t="shared" ca="1" si="26"/>
        <v>72</v>
      </c>
      <c r="G232" s="59" t="s">
        <v>6</v>
      </c>
      <c r="H232" s="60">
        <f t="shared" ca="1" si="29"/>
        <v>38</v>
      </c>
      <c r="I232" s="60">
        <f t="shared" ca="1" si="25"/>
        <v>2736</v>
      </c>
    </row>
    <row r="233" spans="1:9" s="58" customFormat="1" ht="14.25">
      <c r="A233" s="50" t="s">
        <v>516</v>
      </c>
      <c r="B233" s="51" t="str">
        <f>IF($A233="","",NumList())</f>
        <v/>
      </c>
      <c r="C233" s="61" t="s">
        <v>132</v>
      </c>
      <c r="D233" s="55">
        <f t="shared" si="30"/>
        <v>1</v>
      </c>
      <c r="E233" s="55"/>
      <c r="F233" s="55">
        <f t="shared" ca="1" si="26"/>
        <v>73</v>
      </c>
      <c r="G233" s="59" t="s">
        <v>6</v>
      </c>
      <c r="H233" s="60">
        <f t="shared" ca="1" si="29"/>
        <v>94</v>
      </c>
      <c r="I233" s="60">
        <f t="shared" ca="1" si="25"/>
        <v>6862</v>
      </c>
    </row>
    <row r="234" spans="1:9" s="58" customFormat="1" ht="14.25">
      <c r="A234" s="50" t="s">
        <v>516</v>
      </c>
      <c r="B234" s="51" t="str">
        <f>IF($A234="","",NumList())</f>
        <v/>
      </c>
      <c r="C234" s="61" t="s">
        <v>133</v>
      </c>
      <c r="D234" s="55">
        <f t="shared" si="30"/>
        <v>1</v>
      </c>
      <c r="E234" s="55"/>
      <c r="F234" s="55">
        <f t="shared" ca="1" si="26"/>
        <v>80</v>
      </c>
      <c r="G234" s="59" t="s">
        <v>6</v>
      </c>
      <c r="H234" s="60">
        <f t="shared" ca="1" si="29"/>
        <v>84</v>
      </c>
      <c r="I234" s="60">
        <f t="shared" ca="1" si="25"/>
        <v>6720</v>
      </c>
    </row>
    <row r="235" spans="1:9" s="58" customFormat="1" ht="14.25">
      <c r="A235" s="50" t="s">
        <v>516</v>
      </c>
      <c r="B235" s="51" t="str">
        <f>IF($A235="","",NumList())</f>
        <v/>
      </c>
      <c r="C235" s="61" t="s">
        <v>134</v>
      </c>
      <c r="D235" s="55">
        <f t="shared" si="30"/>
        <v>1</v>
      </c>
      <c r="E235" s="55"/>
      <c r="F235" s="55">
        <f t="shared" ca="1" si="26"/>
        <v>92</v>
      </c>
      <c r="G235" s="59" t="s">
        <v>6</v>
      </c>
      <c r="H235" s="60">
        <f t="shared" ca="1" si="29"/>
        <v>89</v>
      </c>
      <c r="I235" s="60">
        <f t="shared" ca="1" si="25"/>
        <v>8188</v>
      </c>
    </row>
    <row r="236" spans="1:9" s="58" customFormat="1" ht="14.25">
      <c r="A236" s="50" t="s">
        <v>516</v>
      </c>
      <c r="B236" s="51" t="str">
        <f>IF($A236="","",NumList())</f>
        <v/>
      </c>
      <c r="C236" s="61" t="s">
        <v>135</v>
      </c>
      <c r="D236" s="55">
        <f t="shared" si="30"/>
        <v>1</v>
      </c>
      <c r="E236" s="55"/>
      <c r="F236" s="55">
        <f t="shared" ca="1" si="26"/>
        <v>55</v>
      </c>
      <c r="G236" s="59" t="s">
        <v>6</v>
      </c>
      <c r="H236" s="60">
        <f t="shared" ca="1" si="29"/>
        <v>48</v>
      </c>
      <c r="I236" s="60">
        <f t="shared" ca="1" si="25"/>
        <v>2640</v>
      </c>
    </row>
    <row r="237" spans="1:9" s="58" customFormat="1" ht="14.25">
      <c r="A237" s="50" t="s">
        <v>516</v>
      </c>
      <c r="B237" s="51" t="str">
        <f>IF($A237="","",NumList())</f>
        <v/>
      </c>
      <c r="C237" s="61" t="s">
        <v>136</v>
      </c>
      <c r="D237" s="55">
        <f t="shared" si="30"/>
        <v>1</v>
      </c>
      <c r="E237" s="55"/>
      <c r="F237" s="55">
        <f t="shared" ca="1" si="26"/>
        <v>39</v>
      </c>
      <c r="G237" s="59" t="s">
        <v>6</v>
      </c>
      <c r="H237" s="60">
        <f t="shared" ca="1" si="29"/>
        <v>98</v>
      </c>
      <c r="I237" s="60">
        <f t="shared" ca="1" si="25"/>
        <v>3822</v>
      </c>
    </row>
    <row r="238" spans="1:9" s="58" customFormat="1" ht="14.25">
      <c r="A238" s="50" t="s">
        <v>516</v>
      </c>
      <c r="B238" s="51" t="str">
        <f>IF($A238="","",NumList())</f>
        <v/>
      </c>
      <c r="C238" s="61" t="s">
        <v>137</v>
      </c>
      <c r="D238" s="55">
        <f t="shared" si="30"/>
        <v>1</v>
      </c>
      <c r="E238" s="55"/>
      <c r="F238" s="55">
        <f t="shared" ca="1" si="26"/>
        <v>100</v>
      </c>
      <c r="G238" s="59" t="s">
        <v>6</v>
      </c>
      <c r="H238" s="60">
        <f t="shared" ca="1" si="29"/>
        <v>45</v>
      </c>
      <c r="I238" s="60">
        <f t="shared" ca="1" si="25"/>
        <v>4500</v>
      </c>
    </row>
    <row r="239" spans="1:9" s="58" customFormat="1" ht="14.25">
      <c r="A239" s="50" t="s">
        <v>516</v>
      </c>
      <c r="B239" s="51" t="str">
        <f>IF($A239="","",NumList())</f>
        <v/>
      </c>
      <c r="C239" s="61" t="s">
        <v>138</v>
      </c>
      <c r="D239" s="55">
        <f t="shared" si="30"/>
        <v>1</v>
      </c>
      <c r="E239" s="55"/>
      <c r="F239" s="55">
        <f t="shared" ca="1" si="26"/>
        <v>27</v>
      </c>
      <c r="G239" s="59" t="s">
        <v>6</v>
      </c>
      <c r="H239" s="60">
        <f t="shared" ca="1" si="29"/>
        <v>14</v>
      </c>
      <c r="I239" s="60">
        <f t="shared" ca="1" si="25"/>
        <v>378</v>
      </c>
    </row>
    <row r="240" spans="1:9" s="58" customFormat="1" ht="14.25">
      <c r="A240" s="50" t="s">
        <v>516</v>
      </c>
      <c r="B240" s="51" t="str">
        <f>IF($A240="","",NumList())</f>
        <v/>
      </c>
      <c r="C240" s="61" t="s">
        <v>139</v>
      </c>
      <c r="D240" s="55">
        <f t="shared" si="30"/>
        <v>1</v>
      </c>
      <c r="E240" s="55"/>
      <c r="F240" s="55">
        <f t="shared" ca="1" si="26"/>
        <v>38</v>
      </c>
      <c r="G240" s="59" t="s">
        <v>6</v>
      </c>
      <c r="H240" s="60">
        <f t="shared" ca="1" si="29"/>
        <v>76</v>
      </c>
      <c r="I240" s="60">
        <f t="shared" ca="1" si="25"/>
        <v>2888</v>
      </c>
    </row>
    <row r="241" spans="1:9" s="58" customFormat="1" ht="14.25">
      <c r="A241" s="50" t="s">
        <v>516</v>
      </c>
      <c r="B241" s="51" t="str">
        <f>IF($A241="","",NumList())</f>
        <v/>
      </c>
      <c r="C241" s="61" t="s">
        <v>140</v>
      </c>
      <c r="D241" s="55">
        <f t="shared" si="30"/>
        <v>1</v>
      </c>
      <c r="E241" s="55"/>
      <c r="F241" s="55">
        <f t="shared" ca="1" si="26"/>
        <v>97</v>
      </c>
      <c r="G241" s="59" t="s">
        <v>6</v>
      </c>
      <c r="H241" s="60">
        <f t="shared" ca="1" si="29"/>
        <v>37</v>
      </c>
      <c r="I241" s="60">
        <f t="shared" ca="1" si="25"/>
        <v>3589</v>
      </c>
    </row>
    <row r="242" spans="1:9" s="58" customFormat="1" ht="14.25">
      <c r="A242" s="50" t="s">
        <v>516</v>
      </c>
      <c r="B242" s="51" t="str">
        <f>IF($A242="","",NumList())</f>
        <v/>
      </c>
      <c r="C242" s="61" t="s">
        <v>141</v>
      </c>
      <c r="D242" s="55">
        <f t="shared" si="30"/>
        <v>1</v>
      </c>
      <c r="E242" s="55"/>
      <c r="F242" s="55">
        <f t="shared" ca="1" si="26"/>
        <v>65</v>
      </c>
      <c r="G242" s="59" t="s">
        <v>6</v>
      </c>
      <c r="H242" s="60">
        <f t="shared" ca="1" si="29"/>
        <v>17</v>
      </c>
      <c r="I242" s="60">
        <f t="shared" ca="1" si="25"/>
        <v>1105</v>
      </c>
    </row>
    <row r="243" spans="1:9" s="58" customFormat="1" ht="14.25">
      <c r="A243" s="50" t="s">
        <v>516</v>
      </c>
      <c r="B243" s="51" t="str">
        <f>IF($A243="","",NumList())</f>
        <v/>
      </c>
      <c r="C243" s="61" t="s">
        <v>142</v>
      </c>
      <c r="D243" s="55">
        <f t="shared" si="30"/>
        <v>1</v>
      </c>
      <c r="E243" s="55"/>
      <c r="F243" s="55">
        <f t="shared" ca="1" si="26"/>
        <v>47</v>
      </c>
      <c r="G243" s="59" t="s">
        <v>6</v>
      </c>
      <c r="H243" s="60">
        <f t="shared" ca="1" si="29"/>
        <v>10</v>
      </c>
      <c r="I243" s="60">
        <f t="shared" ca="1" si="25"/>
        <v>470</v>
      </c>
    </row>
    <row r="244" spans="1:9" s="58" customFormat="1" ht="14.25">
      <c r="A244" s="50" t="s">
        <v>516</v>
      </c>
      <c r="B244" s="51" t="str">
        <f>IF($A244="","",NumList())</f>
        <v/>
      </c>
      <c r="C244" s="61" t="s">
        <v>143</v>
      </c>
      <c r="D244" s="55">
        <f t="shared" si="30"/>
        <v>1</v>
      </c>
      <c r="E244" s="55"/>
      <c r="F244" s="55">
        <f t="shared" ca="1" si="26"/>
        <v>99</v>
      </c>
      <c r="G244" s="59" t="s">
        <v>6</v>
      </c>
      <c r="H244" s="60">
        <f t="shared" ca="1" si="29"/>
        <v>50</v>
      </c>
      <c r="I244" s="60">
        <f t="shared" ca="1" si="25"/>
        <v>4950</v>
      </c>
    </row>
    <row r="245" spans="1:9" s="58" customFormat="1" ht="14.25">
      <c r="A245" s="50" t="s">
        <v>516</v>
      </c>
      <c r="B245" s="51" t="str">
        <f>IF($A245="","",NumList())</f>
        <v/>
      </c>
      <c r="C245" s="61" t="s">
        <v>144</v>
      </c>
      <c r="D245" s="55">
        <f t="shared" si="30"/>
        <v>1</v>
      </c>
      <c r="E245" s="55"/>
      <c r="F245" s="55">
        <f t="shared" ca="1" si="26"/>
        <v>100</v>
      </c>
      <c r="G245" s="59" t="s">
        <v>6</v>
      </c>
      <c r="H245" s="60">
        <f t="shared" ca="1" si="29"/>
        <v>95</v>
      </c>
      <c r="I245" s="60">
        <f t="shared" ca="1" si="25"/>
        <v>9500</v>
      </c>
    </row>
    <row r="246" spans="1:9" s="58" customFormat="1" ht="14.25">
      <c r="A246" s="50" t="s">
        <v>516</v>
      </c>
      <c r="B246" s="51" t="str">
        <f>IF($A246="","",NumList())</f>
        <v/>
      </c>
      <c r="C246" s="61" t="s">
        <v>145</v>
      </c>
      <c r="D246" s="55">
        <f t="shared" si="30"/>
        <v>1</v>
      </c>
      <c r="E246" s="55"/>
      <c r="F246" s="55">
        <f t="shared" ca="1" si="26"/>
        <v>74</v>
      </c>
      <c r="G246" s="59" t="s">
        <v>6</v>
      </c>
      <c r="H246" s="60">
        <f t="shared" ca="1" si="29"/>
        <v>45</v>
      </c>
      <c r="I246" s="60">
        <f t="shared" ref="I246:I309" ca="1" si="31">F246*H246</f>
        <v>3330</v>
      </c>
    </row>
    <row r="247" spans="1:9" s="58" customFormat="1" ht="14.25">
      <c r="A247" s="50" t="s">
        <v>516</v>
      </c>
      <c r="B247" s="51" t="str">
        <f>IF($A247="","",NumList())</f>
        <v/>
      </c>
      <c r="C247" s="61" t="s">
        <v>146</v>
      </c>
      <c r="D247" s="55">
        <f t="shared" si="30"/>
        <v>1</v>
      </c>
      <c r="E247" s="55"/>
      <c r="F247" s="55">
        <f t="shared" ca="1" si="26"/>
        <v>56</v>
      </c>
      <c r="G247" s="59" t="s">
        <v>6</v>
      </c>
      <c r="H247" s="60">
        <f t="shared" ca="1" si="29"/>
        <v>50</v>
      </c>
      <c r="I247" s="60">
        <f t="shared" ca="1" si="31"/>
        <v>2800</v>
      </c>
    </row>
    <row r="248" spans="1:9" s="58" customFormat="1" ht="14.25">
      <c r="A248" s="50" t="s">
        <v>516</v>
      </c>
      <c r="B248" s="51" t="str">
        <f>IF($A248="","",NumList())</f>
        <v/>
      </c>
      <c r="C248" s="61" t="s">
        <v>147</v>
      </c>
      <c r="D248" s="55">
        <f t="shared" si="30"/>
        <v>1</v>
      </c>
      <c r="E248" s="55"/>
      <c r="F248" s="55">
        <f t="shared" ca="1" si="26"/>
        <v>4</v>
      </c>
      <c r="G248" s="59" t="s">
        <v>6</v>
      </c>
      <c r="H248" s="60">
        <f t="shared" ca="1" si="29"/>
        <v>95</v>
      </c>
      <c r="I248" s="60">
        <f t="shared" ca="1" si="31"/>
        <v>380</v>
      </c>
    </row>
    <row r="249" spans="1:9" s="58" customFormat="1" ht="14.25">
      <c r="A249" s="50" t="s">
        <v>516</v>
      </c>
      <c r="B249" s="51" t="str">
        <f>IF($A249="","",NumList())</f>
        <v/>
      </c>
      <c r="C249" s="61" t="s">
        <v>148</v>
      </c>
      <c r="D249" s="55">
        <f t="shared" si="30"/>
        <v>1</v>
      </c>
      <c r="E249" s="55"/>
      <c r="F249" s="55">
        <f t="shared" ca="1" si="26"/>
        <v>15</v>
      </c>
      <c r="G249" s="59" t="s">
        <v>6</v>
      </c>
      <c r="H249" s="60">
        <f t="shared" ca="1" si="29"/>
        <v>61</v>
      </c>
      <c r="I249" s="60">
        <f t="shared" ca="1" si="31"/>
        <v>915</v>
      </c>
    </row>
    <row r="250" spans="1:9" s="58" customFormat="1" ht="14.25">
      <c r="A250" s="50" t="s">
        <v>516</v>
      </c>
      <c r="B250" s="51" t="str">
        <f>IF($A250="","",NumList())</f>
        <v/>
      </c>
      <c r="C250" s="54"/>
      <c r="D250" s="55">
        <f t="shared" si="30"/>
        <v>0</v>
      </c>
      <c r="E250" s="55"/>
      <c r="F250" s="55">
        <f t="shared" ca="1" si="26"/>
        <v>0</v>
      </c>
      <c r="G250" s="59"/>
      <c r="H250" s="60"/>
      <c r="I250" s="60">
        <f t="shared" ca="1" si="31"/>
        <v>0</v>
      </c>
    </row>
    <row r="251" spans="1:9" s="58" customFormat="1" ht="14.25">
      <c r="A251" s="50">
        <v>3</v>
      </c>
      <c r="B251" s="51" t="str">
        <f ca="1">IF($A251="","",NumList())</f>
        <v>4.1.2</v>
      </c>
      <c r="C251" s="61" t="s">
        <v>149</v>
      </c>
      <c r="D251" s="55">
        <f t="shared" si="30"/>
        <v>0</v>
      </c>
      <c r="E251" s="55"/>
      <c r="F251" s="55">
        <f t="shared" ca="1" si="26"/>
        <v>0</v>
      </c>
      <c r="G251" s="59"/>
      <c r="H251" s="60"/>
      <c r="I251" s="60">
        <f t="shared" ca="1" si="31"/>
        <v>0</v>
      </c>
    </row>
    <row r="252" spans="1:9" s="58" customFormat="1" ht="14.25">
      <c r="A252" s="50" t="s">
        <v>516</v>
      </c>
      <c r="B252" s="51" t="str">
        <f>IF($A252="","",NumList())</f>
        <v/>
      </c>
      <c r="C252" s="61" t="s">
        <v>116</v>
      </c>
      <c r="D252" s="55">
        <f t="shared" si="30"/>
        <v>1</v>
      </c>
      <c r="E252" s="55"/>
      <c r="F252" s="55">
        <f t="shared" ca="1" si="26"/>
        <v>63</v>
      </c>
      <c r="G252" s="59" t="s">
        <v>6</v>
      </c>
      <c r="H252" s="60">
        <f ca="1">RANDBETWEEN(1,100)</f>
        <v>89</v>
      </c>
      <c r="I252" s="60">
        <f t="shared" ca="1" si="31"/>
        <v>5607</v>
      </c>
    </row>
    <row r="253" spans="1:9" s="58" customFormat="1" ht="14.25">
      <c r="A253" s="50" t="s">
        <v>516</v>
      </c>
      <c r="B253" s="51" t="str">
        <f>IF($A253="","",NumList())</f>
        <v/>
      </c>
      <c r="C253" s="61" t="s">
        <v>117</v>
      </c>
      <c r="D253" s="55">
        <f t="shared" si="30"/>
        <v>1</v>
      </c>
      <c r="E253" s="55"/>
      <c r="F253" s="55">
        <f t="shared" ca="1" si="26"/>
        <v>12</v>
      </c>
      <c r="G253" s="59" t="s">
        <v>6</v>
      </c>
      <c r="H253" s="60">
        <f t="shared" ref="H253:H284" ca="1" si="32">RANDBETWEEN(1,100)</f>
        <v>47</v>
      </c>
      <c r="I253" s="60">
        <f t="shared" ca="1" si="31"/>
        <v>564</v>
      </c>
    </row>
    <row r="254" spans="1:9" s="58" customFormat="1" ht="14.25">
      <c r="A254" s="50" t="s">
        <v>516</v>
      </c>
      <c r="B254" s="51" t="str">
        <f>IF($A254="","",NumList())</f>
        <v/>
      </c>
      <c r="C254" s="61" t="s">
        <v>118</v>
      </c>
      <c r="D254" s="55">
        <f t="shared" si="30"/>
        <v>1</v>
      </c>
      <c r="E254" s="55"/>
      <c r="F254" s="55">
        <f t="shared" ca="1" si="26"/>
        <v>18</v>
      </c>
      <c r="G254" s="59" t="s">
        <v>6</v>
      </c>
      <c r="H254" s="60">
        <f t="shared" ca="1" si="32"/>
        <v>60</v>
      </c>
      <c r="I254" s="60">
        <f t="shared" ca="1" si="31"/>
        <v>1080</v>
      </c>
    </row>
    <row r="255" spans="1:9" s="58" customFormat="1" ht="14.25">
      <c r="A255" s="50" t="s">
        <v>516</v>
      </c>
      <c r="B255" s="51" t="str">
        <f>IF($A255="","",NumList())</f>
        <v/>
      </c>
      <c r="C255" s="61" t="s">
        <v>119</v>
      </c>
      <c r="D255" s="55">
        <f t="shared" si="30"/>
        <v>1</v>
      </c>
      <c r="E255" s="55"/>
      <c r="F255" s="55">
        <f t="shared" ref="F255:F318" ca="1" si="33">IF(ISTEXT(G255),RANDBETWEEN(1,100),0)</f>
        <v>29</v>
      </c>
      <c r="G255" s="59" t="s">
        <v>6</v>
      </c>
      <c r="H255" s="60">
        <f t="shared" ca="1" si="32"/>
        <v>96</v>
      </c>
      <c r="I255" s="60">
        <f t="shared" ca="1" si="31"/>
        <v>2784</v>
      </c>
    </row>
    <row r="256" spans="1:9" s="58" customFormat="1" ht="14.25">
      <c r="A256" s="50" t="s">
        <v>516</v>
      </c>
      <c r="B256" s="51" t="str">
        <f>IF($A256="","",NumList())</f>
        <v/>
      </c>
      <c r="C256" s="61" t="s">
        <v>120</v>
      </c>
      <c r="D256" s="55">
        <f t="shared" si="30"/>
        <v>1</v>
      </c>
      <c r="E256" s="55"/>
      <c r="F256" s="55">
        <f t="shared" ca="1" si="33"/>
        <v>49</v>
      </c>
      <c r="G256" s="59" t="s">
        <v>6</v>
      </c>
      <c r="H256" s="60">
        <f t="shared" ca="1" si="32"/>
        <v>75</v>
      </c>
      <c r="I256" s="60">
        <f t="shared" ca="1" si="31"/>
        <v>3675</v>
      </c>
    </row>
    <row r="257" spans="1:9" s="58" customFormat="1" ht="14.25">
      <c r="A257" s="50" t="s">
        <v>516</v>
      </c>
      <c r="B257" s="51" t="str">
        <f>IF($A257="","",NumList())</f>
        <v/>
      </c>
      <c r="C257" s="61" t="s">
        <v>121</v>
      </c>
      <c r="D257" s="55">
        <f t="shared" si="30"/>
        <v>1</v>
      </c>
      <c r="E257" s="55"/>
      <c r="F257" s="55">
        <f t="shared" ca="1" si="33"/>
        <v>1</v>
      </c>
      <c r="G257" s="59" t="s">
        <v>6</v>
      </c>
      <c r="H257" s="60">
        <f t="shared" ca="1" si="32"/>
        <v>13</v>
      </c>
      <c r="I257" s="60">
        <f t="shared" ca="1" si="31"/>
        <v>13</v>
      </c>
    </row>
    <row r="258" spans="1:9" s="58" customFormat="1" ht="14.25">
      <c r="A258" s="50" t="s">
        <v>516</v>
      </c>
      <c r="B258" s="51" t="str">
        <f>IF($A258="","",NumList())</f>
        <v/>
      </c>
      <c r="C258" s="61" t="s">
        <v>122</v>
      </c>
      <c r="D258" s="55">
        <f t="shared" si="30"/>
        <v>1</v>
      </c>
      <c r="E258" s="55"/>
      <c r="F258" s="55">
        <f t="shared" ca="1" si="33"/>
        <v>57</v>
      </c>
      <c r="G258" s="59" t="s">
        <v>6</v>
      </c>
      <c r="H258" s="60">
        <f t="shared" ca="1" si="32"/>
        <v>60</v>
      </c>
      <c r="I258" s="60">
        <f t="shared" ca="1" si="31"/>
        <v>3420</v>
      </c>
    </row>
    <row r="259" spans="1:9" s="58" customFormat="1" ht="14.25">
      <c r="A259" s="50" t="s">
        <v>516</v>
      </c>
      <c r="B259" s="51" t="str">
        <f>IF($A259="","",NumList())</f>
        <v/>
      </c>
      <c r="C259" s="61" t="s">
        <v>123</v>
      </c>
      <c r="D259" s="55">
        <f t="shared" si="30"/>
        <v>1</v>
      </c>
      <c r="E259" s="55"/>
      <c r="F259" s="55">
        <f t="shared" ca="1" si="33"/>
        <v>55</v>
      </c>
      <c r="G259" s="59" t="s">
        <v>6</v>
      </c>
      <c r="H259" s="60">
        <f t="shared" ca="1" si="32"/>
        <v>39</v>
      </c>
      <c r="I259" s="60">
        <f t="shared" ca="1" si="31"/>
        <v>2145</v>
      </c>
    </row>
    <row r="260" spans="1:9" s="58" customFormat="1" ht="14.25">
      <c r="A260" s="50" t="s">
        <v>516</v>
      </c>
      <c r="B260" s="51" t="str">
        <f>IF($A260="","",NumList())</f>
        <v/>
      </c>
      <c r="C260" s="61" t="s">
        <v>124</v>
      </c>
      <c r="D260" s="55">
        <f t="shared" si="30"/>
        <v>1</v>
      </c>
      <c r="E260" s="55"/>
      <c r="F260" s="55">
        <f t="shared" ca="1" si="33"/>
        <v>20</v>
      </c>
      <c r="G260" s="59" t="s">
        <v>6</v>
      </c>
      <c r="H260" s="60">
        <f t="shared" ca="1" si="32"/>
        <v>89</v>
      </c>
      <c r="I260" s="60">
        <f t="shared" ca="1" si="31"/>
        <v>1780</v>
      </c>
    </row>
    <row r="261" spans="1:9" s="58" customFormat="1" ht="14.25">
      <c r="A261" s="50" t="s">
        <v>516</v>
      </c>
      <c r="B261" s="51" t="str">
        <f>IF($A261="","",NumList())</f>
        <v/>
      </c>
      <c r="C261" s="61" t="s">
        <v>125</v>
      </c>
      <c r="D261" s="55">
        <f t="shared" si="30"/>
        <v>1</v>
      </c>
      <c r="E261" s="55"/>
      <c r="F261" s="55">
        <f t="shared" ca="1" si="33"/>
        <v>67</v>
      </c>
      <c r="G261" s="59" t="s">
        <v>6</v>
      </c>
      <c r="H261" s="60">
        <f t="shared" ca="1" si="32"/>
        <v>41</v>
      </c>
      <c r="I261" s="60">
        <f t="shared" ca="1" si="31"/>
        <v>2747</v>
      </c>
    </row>
    <row r="262" spans="1:9" s="58" customFormat="1" ht="14.25">
      <c r="A262" s="50" t="s">
        <v>516</v>
      </c>
      <c r="B262" s="51" t="str">
        <f>IF($A262="","",NumList())</f>
        <v/>
      </c>
      <c r="C262" s="61" t="s">
        <v>126</v>
      </c>
      <c r="D262" s="55">
        <f t="shared" si="30"/>
        <v>1</v>
      </c>
      <c r="E262" s="55"/>
      <c r="F262" s="55">
        <f t="shared" ca="1" si="33"/>
        <v>20</v>
      </c>
      <c r="G262" s="59" t="s">
        <v>6</v>
      </c>
      <c r="H262" s="60">
        <f t="shared" ca="1" si="32"/>
        <v>66</v>
      </c>
      <c r="I262" s="60">
        <f t="shared" ca="1" si="31"/>
        <v>1320</v>
      </c>
    </row>
    <row r="263" spans="1:9" s="58" customFormat="1" ht="14.25">
      <c r="A263" s="50" t="s">
        <v>516</v>
      </c>
      <c r="B263" s="51" t="str">
        <f>IF($A263="","",NumList())</f>
        <v/>
      </c>
      <c r="C263" s="61" t="s">
        <v>127</v>
      </c>
      <c r="D263" s="55">
        <f t="shared" si="30"/>
        <v>1</v>
      </c>
      <c r="E263" s="55"/>
      <c r="F263" s="55">
        <f t="shared" ca="1" si="33"/>
        <v>51</v>
      </c>
      <c r="G263" s="59" t="s">
        <v>6</v>
      </c>
      <c r="H263" s="60">
        <f t="shared" ca="1" si="32"/>
        <v>24</v>
      </c>
      <c r="I263" s="60">
        <f t="shared" ca="1" si="31"/>
        <v>1224</v>
      </c>
    </row>
    <row r="264" spans="1:9" s="58" customFormat="1" ht="14.25">
      <c r="A264" s="50" t="s">
        <v>516</v>
      </c>
      <c r="B264" s="51" t="str">
        <f>IF($A264="","",NumList())</f>
        <v/>
      </c>
      <c r="C264" s="61" t="s">
        <v>128</v>
      </c>
      <c r="D264" s="55">
        <f t="shared" si="30"/>
        <v>1</v>
      </c>
      <c r="E264" s="55"/>
      <c r="F264" s="55">
        <f t="shared" ca="1" si="33"/>
        <v>44</v>
      </c>
      <c r="G264" s="59" t="s">
        <v>6</v>
      </c>
      <c r="H264" s="60">
        <f t="shared" ca="1" si="32"/>
        <v>1</v>
      </c>
      <c r="I264" s="60">
        <f t="shared" ca="1" si="31"/>
        <v>44</v>
      </c>
    </row>
    <row r="265" spans="1:9" s="58" customFormat="1" ht="14.25">
      <c r="A265" s="50" t="s">
        <v>516</v>
      </c>
      <c r="B265" s="51" t="str">
        <f>IF($A265="","",NumList())</f>
        <v/>
      </c>
      <c r="C265" s="61" t="s">
        <v>129</v>
      </c>
      <c r="D265" s="55">
        <f t="shared" si="30"/>
        <v>1</v>
      </c>
      <c r="E265" s="55"/>
      <c r="F265" s="55">
        <f t="shared" ca="1" si="33"/>
        <v>12</v>
      </c>
      <c r="G265" s="59" t="s">
        <v>6</v>
      </c>
      <c r="H265" s="60">
        <f t="shared" ca="1" si="32"/>
        <v>8</v>
      </c>
      <c r="I265" s="60">
        <f t="shared" ca="1" si="31"/>
        <v>96</v>
      </c>
    </row>
    <row r="266" spans="1:9" s="58" customFormat="1" ht="14.25">
      <c r="A266" s="50" t="s">
        <v>516</v>
      </c>
      <c r="B266" s="51" t="str">
        <f>IF($A266="","",NumList())</f>
        <v/>
      </c>
      <c r="C266" s="61" t="s">
        <v>130</v>
      </c>
      <c r="D266" s="55">
        <f t="shared" si="30"/>
        <v>1</v>
      </c>
      <c r="E266" s="55"/>
      <c r="F266" s="55">
        <f t="shared" ca="1" si="33"/>
        <v>11</v>
      </c>
      <c r="G266" s="59" t="s">
        <v>6</v>
      </c>
      <c r="H266" s="60">
        <f t="shared" ca="1" si="32"/>
        <v>98</v>
      </c>
      <c r="I266" s="60">
        <f t="shared" ca="1" si="31"/>
        <v>1078</v>
      </c>
    </row>
    <row r="267" spans="1:9" s="58" customFormat="1" ht="14.25">
      <c r="A267" s="50" t="s">
        <v>516</v>
      </c>
      <c r="B267" s="51" t="str">
        <f>IF($A267="","",NumList())</f>
        <v/>
      </c>
      <c r="C267" s="61" t="s">
        <v>131</v>
      </c>
      <c r="D267" s="55">
        <f t="shared" si="30"/>
        <v>1</v>
      </c>
      <c r="E267" s="55"/>
      <c r="F267" s="55">
        <f t="shared" ca="1" si="33"/>
        <v>20</v>
      </c>
      <c r="G267" s="59" t="s">
        <v>6</v>
      </c>
      <c r="H267" s="60">
        <f t="shared" ca="1" si="32"/>
        <v>9</v>
      </c>
      <c r="I267" s="60">
        <f t="shared" ca="1" si="31"/>
        <v>180</v>
      </c>
    </row>
    <row r="268" spans="1:9" s="58" customFormat="1" ht="14.25">
      <c r="A268" s="50" t="s">
        <v>516</v>
      </c>
      <c r="B268" s="51" t="str">
        <f>IF($A268="","",NumList())</f>
        <v/>
      </c>
      <c r="C268" s="61" t="s">
        <v>132</v>
      </c>
      <c r="D268" s="55">
        <f t="shared" si="30"/>
        <v>1</v>
      </c>
      <c r="E268" s="55"/>
      <c r="F268" s="55">
        <f t="shared" ca="1" si="33"/>
        <v>53</v>
      </c>
      <c r="G268" s="59" t="s">
        <v>6</v>
      </c>
      <c r="H268" s="60">
        <f t="shared" ca="1" si="32"/>
        <v>3</v>
      </c>
      <c r="I268" s="60">
        <f t="shared" ca="1" si="31"/>
        <v>159</v>
      </c>
    </row>
    <row r="269" spans="1:9" s="58" customFormat="1" ht="14.25">
      <c r="A269" s="50" t="s">
        <v>516</v>
      </c>
      <c r="B269" s="51" t="str">
        <f>IF($A269="","",NumList())</f>
        <v/>
      </c>
      <c r="C269" s="61" t="s">
        <v>133</v>
      </c>
      <c r="D269" s="55">
        <f t="shared" si="30"/>
        <v>1</v>
      </c>
      <c r="E269" s="55"/>
      <c r="F269" s="55">
        <f t="shared" ca="1" si="33"/>
        <v>68</v>
      </c>
      <c r="G269" s="59" t="s">
        <v>6</v>
      </c>
      <c r="H269" s="60">
        <f t="shared" ca="1" si="32"/>
        <v>89</v>
      </c>
      <c r="I269" s="60">
        <f t="shared" ca="1" si="31"/>
        <v>6052</v>
      </c>
    </row>
    <row r="270" spans="1:9" s="58" customFormat="1" ht="14.25">
      <c r="A270" s="50" t="s">
        <v>516</v>
      </c>
      <c r="B270" s="51" t="str">
        <f>IF($A270="","",NumList())</f>
        <v/>
      </c>
      <c r="C270" s="61" t="s">
        <v>134</v>
      </c>
      <c r="D270" s="55">
        <f t="shared" si="30"/>
        <v>1</v>
      </c>
      <c r="E270" s="55"/>
      <c r="F270" s="55">
        <f t="shared" ca="1" si="33"/>
        <v>20</v>
      </c>
      <c r="G270" s="59" t="s">
        <v>6</v>
      </c>
      <c r="H270" s="60">
        <f t="shared" ca="1" si="32"/>
        <v>56</v>
      </c>
      <c r="I270" s="60">
        <f t="shared" ca="1" si="31"/>
        <v>1120</v>
      </c>
    </row>
    <row r="271" spans="1:9" s="58" customFormat="1" ht="14.25">
      <c r="A271" s="50" t="s">
        <v>516</v>
      </c>
      <c r="B271" s="51" t="str">
        <f>IF($A271="","",NumList())</f>
        <v/>
      </c>
      <c r="C271" s="61" t="s">
        <v>135</v>
      </c>
      <c r="D271" s="55">
        <f t="shared" si="30"/>
        <v>1</v>
      </c>
      <c r="E271" s="55"/>
      <c r="F271" s="55">
        <f t="shared" ca="1" si="33"/>
        <v>90</v>
      </c>
      <c r="G271" s="59" t="s">
        <v>6</v>
      </c>
      <c r="H271" s="60">
        <f t="shared" ca="1" si="32"/>
        <v>98</v>
      </c>
      <c r="I271" s="60">
        <f t="shared" ca="1" si="31"/>
        <v>8820</v>
      </c>
    </row>
    <row r="272" spans="1:9" s="58" customFormat="1" ht="14.25">
      <c r="A272" s="50" t="s">
        <v>516</v>
      </c>
      <c r="B272" s="51" t="str">
        <f>IF($A272="","",NumList())</f>
        <v/>
      </c>
      <c r="C272" s="61" t="s">
        <v>136</v>
      </c>
      <c r="D272" s="55">
        <f t="shared" si="30"/>
        <v>1</v>
      </c>
      <c r="E272" s="55"/>
      <c r="F272" s="55">
        <f t="shared" ca="1" si="33"/>
        <v>63</v>
      </c>
      <c r="G272" s="59" t="s">
        <v>6</v>
      </c>
      <c r="H272" s="60">
        <f t="shared" ca="1" si="32"/>
        <v>1</v>
      </c>
      <c r="I272" s="60">
        <f t="shared" ca="1" si="31"/>
        <v>63</v>
      </c>
    </row>
    <row r="273" spans="1:10" s="58" customFormat="1" ht="14.25">
      <c r="A273" s="50" t="s">
        <v>516</v>
      </c>
      <c r="B273" s="51" t="str">
        <f>IF($A273="","",NumList())</f>
        <v/>
      </c>
      <c r="C273" s="61" t="s">
        <v>137</v>
      </c>
      <c r="D273" s="55">
        <f t="shared" si="30"/>
        <v>1</v>
      </c>
      <c r="E273" s="55"/>
      <c r="F273" s="55">
        <f t="shared" ca="1" si="33"/>
        <v>49</v>
      </c>
      <c r="G273" s="59" t="s">
        <v>6</v>
      </c>
      <c r="H273" s="60">
        <f t="shared" ca="1" si="32"/>
        <v>88</v>
      </c>
      <c r="I273" s="60">
        <f t="shared" ca="1" si="31"/>
        <v>4312</v>
      </c>
    </row>
    <row r="274" spans="1:10" s="58" customFormat="1" ht="14.25">
      <c r="A274" s="50" t="s">
        <v>516</v>
      </c>
      <c r="B274" s="51" t="str">
        <f>IF($A274="","",NumList())</f>
        <v/>
      </c>
      <c r="C274" s="61" t="s">
        <v>138</v>
      </c>
      <c r="D274" s="55">
        <f t="shared" si="30"/>
        <v>1</v>
      </c>
      <c r="E274" s="55"/>
      <c r="F274" s="55">
        <f t="shared" ca="1" si="33"/>
        <v>92</v>
      </c>
      <c r="G274" s="59" t="s">
        <v>6</v>
      </c>
      <c r="H274" s="60">
        <f t="shared" ca="1" si="32"/>
        <v>18</v>
      </c>
      <c r="I274" s="60">
        <f t="shared" ca="1" si="31"/>
        <v>1656</v>
      </c>
    </row>
    <row r="275" spans="1:10" s="58" customFormat="1" ht="14.25">
      <c r="A275" s="50" t="s">
        <v>516</v>
      </c>
      <c r="B275" s="51" t="str">
        <f>IF($A275="","",NumList())</f>
        <v/>
      </c>
      <c r="C275" s="61" t="s">
        <v>139</v>
      </c>
      <c r="D275" s="55">
        <f t="shared" si="30"/>
        <v>1</v>
      </c>
      <c r="E275" s="55"/>
      <c r="F275" s="55">
        <f t="shared" ca="1" si="33"/>
        <v>52</v>
      </c>
      <c r="G275" s="59" t="s">
        <v>6</v>
      </c>
      <c r="H275" s="60">
        <f t="shared" ca="1" si="32"/>
        <v>26</v>
      </c>
      <c r="I275" s="60">
        <f t="shared" ca="1" si="31"/>
        <v>1352</v>
      </c>
    </row>
    <row r="276" spans="1:10" s="58" customFormat="1" ht="14.25">
      <c r="A276" s="50" t="s">
        <v>516</v>
      </c>
      <c r="B276" s="51" t="str">
        <f>IF($A276="","",NumList())</f>
        <v/>
      </c>
      <c r="C276" s="61" t="s">
        <v>140</v>
      </c>
      <c r="D276" s="55">
        <f t="shared" si="30"/>
        <v>1</v>
      </c>
      <c r="E276" s="55"/>
      <c r="F276" s="55">
        <f t="shared" ca="1" si="33"/>
        <v>29</v>
      </c>
      <c r="G276" s="59" t="s">
        <v>6</v>
      </c>
      <c r="H276" s="60">
        <f t="shared" ca="1" si="32"/>
        <v>47</v>
      </c>
      <c r="I276" s="60">
        <f t="shared" ca="1" si="31"/>
        <v>1363</v>
      </c>
    </row>
    <row r="277" spans="1:10" s="58" customFormat="1" ht="14.25">
      <c r="A277" s="50" t="s">
        <v>516</v>
      </c>
      <c r="B277" s="51" t="str">
        <f>IF($A277="","",NumList())</f>
        <v/>
      </c>
      <c r="C277" s="61" t="s">
        <v>141</v>
      </c>
      <c r="D277" s="55">
        <f t="shared" si="30"/>
        <v>1</v>
      </c>
      <c r="E277" s="55"/>
      <c r="F277" s="55">
        <f t="shared" ca="1" si="33"/>
        <v>7</v>
      </c>
      <c r="G277" s="59" t="s">
        <v>6</v>
      </c>
      <c r="H277" s="60">
        <f t="shared" ca="1" si="32"/>
        <v>9</v>
      </c>
      <c r="I277" s="60">
        <f t="shared" ca="1" si="31"/>
        <v>63</v>
      </c>
    </row>
    <row r="278" spans="1:10" s="58" customFormat="1" ht="14.25">
      <c r="A278" s="50" t="s">
        <v>516</v>
      </c>
      <c r="B278" s="51" t="str">
        <f>IF($A278="","",NumList())</f>
        <v/>
      </c>
      <c r="C278" s="61" t="s">
        <v>142</v>
      </c>
      <c r="D278" s="55">
        <f t="shared" si="30"/>
        <v>1</v>
      </c>
      <c r="E278" s="55"/>
      <c r="F278" s="55">
        <f t="shared" ca="1" si="33"/>
        <v>41</v>
      </c>
      <c r="G278" s="59" t="s">
        <v>6</v>
      </c>
      <c r="H278" s="60">
        <f t="shared" ca="1" si="32"/>
        <v>21</v>
      </c>
      <c r="I278" s="60">
        <f t="shared" ca="1" si="31"/>
        <v>861</v>
      </c>
    </row>
    <row r="279" spans="1:10" s="58" customFormat="1" ht="14.25">
      <c r="A279" s="50" t="s">
        <v>516</v>
      </c>
      <c r="B279" s="51" t="str">
        <f>IF($A279="","",NumList())</f>
        <v/>
      </c>
      <c r="C279" s="61" t="s">
        <v>143</v>
      </c>
      <c r="D279" s="55">
        <f t="shared" si="30"/>
        <v>1</v>
      </c>
      <c r="E279" s="55"/>
      <c r="F279" s="55">
        <f t="shared" ca="1" si="33"/>
        <v>96</v>
      </c>
      <c r="G279" s="59" t="s">
        <v>6</v>
      </c>
      <c r="H279" s="60">
        <f t="shared" ca="1" si="32"/>
        <v>72</v>
      </c>
      <c r="I279" s="60">
        <f t="shared" ca="1" si="31"/>
        <v>6912</v>
      </c>
    </row>
    <row r="280" spans="1:10" s="58" customFormat="1" ht="14.25">
      <c r="A280" s="50" t="s">
        <v>516</v>
      </c>
      <c r="B280" s="51" t="str">
        <f>IF($A280="","",NumList())</f>
        <v/>
      </c>
      <c r="C280" s="61" t="s">
        <v>144</v>
      </c>
      <c r="D280" s="55">
        <f t="shared" si="30"/>
        <v>1</v>
      </c>
      <c r="E280" s="55"/>
      <c r="F280" s="55">
        <f t="shared" ca="1" si="33"/>
        <v>91</v>
      </c>
      <c r="G280" s="59" t="s">
        <v>6</v>
      </c>
      <c r="H280" s="60">
        <f t="shared" ca="1" si="32"/>
        <v>19</v>
      </c>
      <c r="I280" s="60">
        <f t="shared" ca="1" si="31"/>
        <v>1729</v>
      </c>
    </row>
    <row r="281" spans="1:10" s="58" customFormat="1" ht="14.25">
      <c r="A281" s="50" t="s">
        <v>516</v>
      </c>
      <c r="B281" s="51" t="str">
        <f>IF($A281="","",NumList())</f>
        <v/>
      </c>
      <c r="C281" s="61" t="s">
        <v>145</v>
      </c>
      <c r="D281" s="55">
        <f t="shared" si="30"/>
        <v>1</v>
      </c>
      <c r="E281" s="55"/>
      <c r="F281" s="55">
        <f t="shared" ca="1" si="33"/>
        <v>47</v>
      </c>
      <c r="G281" s="59" t="s">
        <v>6</v>
      </c>
      <c r="H281" s="60">
        <f t="shared" ca="1" si="32"/>
        <v>32</v>
      </c>
      <c r="I281" s="60">
        <f t="shared" ca="1" si="31"/>
        <v>1504</v>
      </c>
    </row>
    <row r="282" spans="1:10" s="58" customFormat="1" ht="14.25">
      <c r="A282" s="50" t="s">
        <v>516</v>
      </c>
      <c r="B282" s="51" t="str">
        <f>IF($A282="","",NumList())</f>
        <v/>
      </c>
      <c r="C282" s="61" t="s">
        <v>146</v>
      </c>
      <c r="D282" s="55">
        <f t="shared" si="30"/>
        <v>1</v>
      </c>
      <c r="E282" s="55"/>
      <c r="F282" s="55">
        <f t="shared" ca="1" si="33"/>
        <v>59</v>
      </c>
      <c r="G282" s="59" t="s">
        <v>6</v>
      </c>
      <c r="H282" s="60">
        <f t="shared" ca="1" si="32"/>
        <v>81</v>
      </c>
      <c r="I282" s="60">
        <f t="shared" ca="1" si="31"/>
        <v>4779</v>
      </c>
    </row>
    <row r="283" spans="1:10" s="58" customFormat="1" ht="14.25">
      <c r="A283" s="50" t="s">
        <v>516</v>
      </c>
      <c r="B283" s="51" t="str">
        <f>IF($A283="","",NumList())</f>
        <v/>
      </c>
      <c r="C283" s="61" t="s">
        <v>147</v>
      </c>
      <c r="D283" s="55">
        <f t="shared" si="30"/>
        <v>1</v>
      </c>
      <c r="E283" s="55"/>
      <c r="F283" s="55">
        <f t="shared" ca="1" si="33"/>
        <v>67</v>
      </c>
      <c r="G283" s="59" t="s">
        <v>6</v>
      </c>
      <c r="H283" s="60">
        <f t="shared" ca="1" si="32"/>
        <v>90</v>
      </c>
      <c r="I283" s="60">
        <f t="shared" ca="1" si="31"/>
        <v>6030</v>
      </c>
    </row>
    <row r="284" spans="1:10" s="58" customFormat="1" ht="14.25">
      <c r="A284" s="50" t="s">
        <v>516</v>
      </c>
      <c r="B284" s="51" t="str">
        <f>IF($A284="","",NumList())</f>
        <v/>
      </c>
      <c r="C284" s="61" t="s">
        <v>148</v>
      </c>
      <c r="D284" s="55">
        <f t="shared" si="30"/>
        <v>1</v>
      </c>
      <c r="E284" s="55"/>
      <c r="F284" s="55">
        <f t="shared" ca="1" si="33"/>
        <v>23</v>
      </c>
      <c r="G284" s="59" t="s">
        <v>6</v>
      </c>
      <c r="H284" s="60">
        <f t="shared" ca="1" si="32"/>
        <v>35</v>
      </c>
      <c r="I284" s="60">
        <f t="shared" ca="1" si="31"/>
        <v>805</v>
      </c>
    </row>
    <row r="285" spans="1:10" s="58" customFormat="1" ht="14.25">
      <c r="A285" s="50" t="s">
        <v>516</v>
      </c>
      <c r="B285" s="51" t="str">
        <f>IF($A285="","",NumList())</f>
        <v/>
      </c>
      <c r="C285" s="61"/>
      <c r="D285" s="55">
        <f t="shared" si="30"/>
        <v>0</v>
      </c>
      <c r="E285" s="55"/>
      <c r="F285" s="55">
        <f t="shared" ca="1" si="33"/>
        <v>0</v>
      </c>
      <c r="G285" s="59"/>
      <c r="H285" s="60"/>
      <c r="I285" s="60">
        <f t="shared" ca="1" si="31"/>
        <v>0</v>
      </c>
    </row>
    <row r="286" spans="1:10" s="58" customFormat="1" ht="14.25">
      <c r="A286" s="50">
        <v>3</v>
      </c>
      <c r="B286" s="51" t="str">
        <f ca="1">IF($A286="","",NumList())</f>
        <v>4.1.3</v>
      </c>
      <c r="C286" s="61" t="s">
        <v>150</v>
      </c>
      <c r="D286" s="55">
        <f t="shared" si="30"/>
        <v>0</v>
      </c>
      <c r="E286" s="55"/>
      <c r="F286" s="55">
        <f t="shared" ca="1" si="33"/>
        <v>0</v>
      </c>
      <c r="G286" s="59"/>
      <c r="H286" s="60"/>
      <c r="I286" s="60">
        <f t="shared" ca="1" si="31"/>
        <v>0</v>
      </c>
      <c r="J286" s="58" t="s">
        <v>386</v>
      </c>
    </row>
    <row r="287" spans="1:10" s="58" customFormat="1" ht="14.25">
      <c r="A287" s="50" t="s">
        <v>516</v>
      </c>
      <c r="B287" s="51" t="str">
        <f>IF($A287="","",NumList())</f>
        <v/>
      </c>
      <c r="C287" s="66" t="s">
        <v>151</v>
      </c>
      <c r="D287" s="55">
        <f t="shared" si="30"/>
        <v>1</v>
      </c>
      <c r="E287" s="55"/>
      <c r="F287" s="55">
        <f t="shared" ca="1" si="33"/>
        <v>78</v>
      </c>
      <c r="G287" s="59" t="s">
        <v>6</v>
      </c>
      <c r="H287" s="60">
        <f ca="1">RANDBETWEEN(1,100)</f>
        <v>21</v>
      </c>
      <c r="I287" s="60">
        <f t="shared" ca="1" si="31"/>
        <v>1638</v>
      </c>
    </row>
    <row r="288" spans="1:10" s="58" customFormat="1" ht="14.25">
      <c r="A288" s="50" t="s">
        <v>516</v>
      </c>
      <c r="B288" s="51" t="str">
        <f>IF($A288="","",NumList())</f>
        <v/>
      </c>
      <c r="C288" s="66" t="s">
        <v>152</v>
      </c>
      <c r="D288" s="55">
        <f t="shared" si="30"/>
        <v>1</v>
      </c>
      <c r="E288" s="55"/>
      <c r="F288" s="55">
        <f t="shared" ca="1" si="33"/>
        <v>81</v>
      </c>
      <c r="G288" s="59" t="s">
        <v>6</v>
      </c>
      <c r="H288" s="60">
        <f t="shared" ref="H288:H291" ca="1" si="34">RANDBETWEEN(1,100)</f>
        <v>34</v>
      </c>
      <c r="I288" s="60">
        <f t="shared" ca="1" si="31"/>
        <v>2754</v>
      </c>
    </row>
    <row r="289" spans="1:10" s="58" customFormat="1" ht="14.25">
      <c r="A289" s="50" t="s">
        <v>516</v>
      </c>
      <c r="B289" s="51" t="str">
        <f>IF($A289="","",NumList())</f>
        <v/>
      </c>
      <c r="C289" s="66" t="s">
        <v>153</v>
      </c>
      <c r="D289" s="55">
        <f t="shared" si="30"/>
        <v>1</v>
      </c>
      <c r="E289" s="55"/>
      <c r="F289" s="55">
        <f t="shared" ca="1" si="33"/>
        <v>5</v>
      </c>
      <c r="G289" s="59" t="s">
        <v>6</v>
      </c>
      <c r="H289" s="60">
        <f t="shared" ca="1" si="34"/>
        <v>70</v>
      </c>
      <c r="I289" s="60">
        <f t="shared" ca="1" si="31"/>
        <v>350</v>
      </c>
    </row>
    <row r="290" spans="1:10" s="58" customFormat="1" ht="14.25">
      <c r="A290" s="50" t="s">
        <v>516</v>
      </c>
      <c r="B290" s="51" t="str">
        <f>IF($A290="","",NumList())</f>
        <v/>
      </c>
      <c r="C290" s="66" t="s">
        <v>154</v>
      </c>
      <c r="D290" s="55">
        <f t="shared" si="30"/>
        <v>1</v>
      </c>
      <c r="E290" s="55"/>
      <c r="F290" s="55">
        <f t="shared" ca="1" si="33"/>
        <v>4</v>
      </c>
      <c r="G290" s="59" t="s">
        <v>6</v>
      </c>
      <c r="H290" s="60">
        <f t="shared" ca="1" si="34"/>
        <v>78</v>
      </c>
      <c r="I290" s="60">
        <f t="shared" ca="1" si="31"/>
        <v>312</v>
      </c>
    </row>
    <row r="291" spans="1:10" s="58" customFormat="1" ht="14.25">
      <c r="A291" s="50" t="s">
        <v>516</v>
      </c>
      <c r="B291" s="51" t="str">
        <f>IF($A291="","",NumList())</f>
        <v/>
      </c>
      <c r="C291" s="66" t="s">
        <v>155</v>
      </c>
      <c r="D291" s="55">
        <f t="shared" ref="D291:D354" si="35">IF(ISTEXT(G291),1,0)</f>
        <v>1</v>
      </c>
      <c r="E291" s="55"/>
      <c r="F291" s="55">
        <f t="shared" ca="1" si="33"/>
        <v>73</v>
      </c>
      <c r="G291" s="59" t="s">
        <v>6</v>
      </c>
      <c r="H291" s="60">
        <f t="shared" ca="1" si="34"/>
        <v>41</v>
      </c>
      <c r="I291" s="60">
        <f t="shared" ca="1" si="31"/>
        <v>2993</v>
      </c>
    </row>
    <row r="292" spans="1:10" s="58" customFormat="1" ht="14.25">
      <c r="A292" s="50" t="s">
        <v>516</v>
      </c>
      <c r="B292" s="51" t="str">
        <f>IF($A292="","",NumList())</f>
        <v/>
      </c>
      <c r="C292" s="66"/>
      <c r="D292" s="55">
        <f t="shared" si="35"/>
        <v>0</v>
      </c>
      <c r="E292" s="55"/>
      <c r="F292" s="55">
        <f t="shared" ca="1" si="33"/>
        <v>0</v>
      </c>
      <c r="G292" s="59"/>
      <c r="H292" s="60"/>
      <c r="I292" s="60">
        <f t="shared" ca="1" si="31"/>
        <v>0</v>
      </c>
    </row>
    <row r="293" spans="1:10" s="58" customFormat="1" ht="14.25">
      <c r="A293" s="50">
        <v>3</v>
      </c>
      <c r="B293" s="51" t="str">
        <f ca="1">IF($A293="","",NumList())</f>
        <v>4.1.4</v>
      </c>
      <c r="C293" s="61" t="s">
        <v>383</v>
      </c>
      <c r="D293" s="55">
        <f t="shared" si="35"/>
        <v>0</v>
      </c>
      <c r="E293" s="55"/>
      <c r="F293" s="55">
        <f t="shared" ca="1" si="33"/>
        <v>0</v>
      </c>
      <c r="G293" s="59"/>
      <c r="H293" s="60"/>
      <c r="I293" s="60">
        <f t="shared" ca="1" si="31"/>
        <v>0</v>
      </c>
      <c r="J293" s="58" t="str">
        <f>J286</f>
        <v>Note : Extra Over for pipe class is the additional cost to purchase a higher class of pipe over and above Class 2 pipes (item 4.1.1). These items are independent of depth</v>
      </c>
    </row>
    <row r="294" spans="1:10" s="58" customFormat="1" ht="14.25">
      <c r="A294" s="50" t="s">
        <v>516</v>
      </c>
      <c r="B294" s="51" t="str">
        <f>IF($A294="","",NumList())</f>
        <v/>
      </c>
      <c r="C294" s="66" t="s">
        <v>151</v>
      </c>
      <c r="D294" s="55">
        <f t="shared" si="35"/>
        <v>1</v>
      </c>
      <c r="E294" s="55"/>
      <c r="F294" s="55">
        <f t="shared" ca="1" si="33"/>
        <v>77</v>
      </c>
      <c r="G294" s="59" t="s">
        <v>6</v>
      </c>
      <c r="H294" s="60">
        <f ca="1">RANDBETWEEN(1,100)</f>
        <v>18</v>
      </c>
      <c r="I294" s="60">
        <f t="shared" ca="1" si="31"/>
        <v>1386</v>
      </c>
    </row>
    <row r="295" spans="1:10" s="58" customFormat="1" ht="14.25">
      <c r="A295" s="50" t="s">
        <v>516</v>
      </c>
      <c r="B295" s="51" t="str">
        <f>IF($A295="","",NumList())</f>
        <v/>
      </c>
      <c r="C295" s="66" t="s">
        <v>152</v>
      </c>
      <c r="D295" s="55">
        <f t="shared" si="35"/>
        <v>1</v>
      </c>
      <c r="E295" s="55"/>
      <c r="F295" s="55">
        <f t="shared" ca="1" si="33"/>
        <v>10</v>
      </c>
      <c r="G295" s="59" t="s">
        <v>6</v>
      </c>
      <c r="H295" s="60">
        <f t="shared" ref="H295:H298" ca="1" si="36">RANDBETWEEN(1,100)</f>
        <v>29</v>
      </c>
      <c r="I295" s="60">
        <f t="shared" ca="1" si="31"/>
        <v>290</v>
      </c>
    </row>
    <row r="296" spans="1:10" s="58" customFormat="1" ht="14.25">
      <c r="A296" s="50" t="s">
        <v>516</v>
      </c>
      <c r="B296" s="51" t="str">
        <f>IF($A296="","",NumList())</f>
        <v/>
      </c>
      <c r="C296" s="66" t="s">
        <v>153</v>
      </c>
      <c r="D296" s="55">
        <f t="shared" si="35"/>
        <v>1</v>
      </c>
      <c r="E296" s="55"/>
      <c r="F296" s="55">
        <f t="shared" ca="1" si="33"/>
        <v>5</v>
      </c>
      <c r="G296" s="59" t="s">
        <v>6</v>
      </c>
      <c r="H296" s="60">
        <f t="shared" ca="1" si="36"/>
        <v>37</v>
      </c>
      <c r="I296" s="60">
        <f t="shared" ca="1" si="31"/>
        <v>185</v>
      </c>
    </row>
    <row r="297" spans="1:10" s="58" customFormat="1" ht="14.25">
      <c r="A297" s="50" t="s">
        <v>516</v>
      </c>
      <c r="B297" s="51" t="str">
        <f>IF($A297="","",NumList())</f>
        <v/>
      </c>
      <c r="C297" s="66" t="s">
        <v>154</v>
      </c>
      <c r="D297" s="55">
        <f t="shared" si="35"/>
        <v>1</v>
      </c>
      <c r="E297" s="55"/>
      <c r="F297" s="55">
        <f t="shared" ca="1" si="33"/>
        <v>25</v>
      </c>
      <c r="G297" s="59" t="s">
        <v>6</v>
      </c>
      <c r="H297" s="60">
        <f t="shared" ca="1" si="36"/>
        <v>8</v>
      </c>
      <c r="I297" s="60">
        <f t="shared" ca="1" si="31"/>
        <v>200</v>
      </c>
    </row>
    <row r="298" spans="1:10" s="58" customFormat="1" ht="14.25">
      <c r="A298" s="50" t="s">
        <v>516</v>
      </c>
      <c r="B298" s="51" t="str">
        <f>IF($A298="","",NumList())</f>
        <v/>
      </c>
      <c r="C298" s="66" t="s">
        <v>155</v>
      </c>
      <c r="D298" s="55">
        <f t="shared" si="35"/>
        <v>1</v>
      </c>
      <c r="E298" s="55"/>
      <c r="F298" s="55">
        <f t="shared" ca="1" si="33"/>
        <v>93</v>
      </c>
      <c r="G298" s="59" t="s">
        <v>6</v>
      </c>
      <c r="H298" s="60">
        <f t="shared" ca="1" si="36"/>
        <v>2</v>
      </c>
      <c r="I298" s="60">
        <f t="shared" ca="1" si="31"/>
        <v>186</v>
      </c>
    </row>
    <row r="299" spans="1:10" s="58" customFormat="1" ht="14.25">
      <c r="A299" s="50" t="s">
        <v>516</v>
      </c>
      <c r="B299" s="51" t="str">
        <f>IF($A299="","",NumList())</f>
        <v/>
      </c>
      <c r="C299" s="66"/>
      <c r="D299" s="55">
        <f t="shared" si="35"/>
        <v>0</v>
      </c>
      <c r="E299" s="55"/>
      <c r="F299" s="55">
        <f t="shared" ca="1" si="33"/>
        <v>0</v>
      </c>
      <c r="G299" s="59"/>
      <c r="H299" s="60"/>
      <c r="I299" s="60">
        <f t="shared" ca="1" si="31"/>
        <v>0</v>
      </c>
    </row>
    <row r="300" spans="1:10" s="58" customFormat="1" ht="14.25">
      <c r="A300" s="50">
        <v>3</v>
      </c>
      <c r="B300" s="51" t="str">
        <f ca="1">IF($A300="","",NumList())</f>
        <v>4.1.5</v>
      </c>
      <c r="C300" s="61" t="s">
        <v>384</v>
      </c>
      <c r="D300" s="55">
        <f t="shared" si="35"/>
        <v>0</v>
      </c>
      <c r="E300" s="55"/>
      <c r="F300" s="55">
        <f t="shared" ca="1" si="33"/>
        <v>0</v>
      </c>
      <c r="G300" s="59"/>
      <c r="H300" s="60"/>
      <c r="I300" s="60">
        <f t="shared" ca="1" si="31"/>
        <v>0</v>
      </c>
      <c r="J300" s="58" t="str">
        <f>J293</f>
        <v>Note : Extra Over for pipe class is the additional cost to purchase a higher class of pipe over and above Class 2 pipes (item 4.1.1). These items are independent of depth</v>
      </c>
    </row>
    <row r="301" spans="1:10" s="58" customFormat="1" ht="14.25">
      <c r="A301" s="50" t="s">
        <v>516</v>
      </c>
      <c r="B301" s="51" t="str">
        <f>IF($A301="","",NumList())</f>
        <v/>
      </c>
      <c r="C301" s="66" t="s">
        <v>151</v>
      </c>
      <c r="D301" s="55">
        <f t="shared" si="35"/>
        <v>1</v>
      </c>
      <c r="E301" s="55"/>
      <c r="F301" s="55">
        <f t="shared" ca="1" si="33"/>
        <v>12</v>
      </c>
      <c r="G301" s="59" t="s">
        <v>6</v>
      </c>
      <c r="H301" s="60">
        <f ca="1">RANDBETWEEN(1,100)</f>
        <v>3</v>
      </c>
      <c r="I301" s="60">
        <f t="shared" ca="1" si="31"/>
        <v>36</v>
      </c>
    </row>
    <row r="302" spans="1:10" s="58" customFormat="1" ht="14.25">
      <c r="A302" s="50" t="s">
        <v>516</v>
      </c>
      <c r="B302" s="51" t="str">
        <f>IF($A302="","",NumList())</f>
        <v/>
      </c>
      <c r="C302" s="66" t="s">
        <v>152</v>
      </c>
      <c r="D302" s="55">
        <f t="shared" si="35"/>
        <v>1</v>
      </c>
      <c r="E302" s="55"/>
      <c r="F302" s="55">
        <f t="shared" ca="1" si="33"/>
        <v>60</v>
      </c>
      <c r="G302" s="59" t="s">
        <v>6</v>
      </c>
      <c r="H302" s="60">
        <f t="shared" ref="H302:H305" ca="1" si="37">RANDBETWEEN(1,100)</f>
        <v>15</v>
      </c>
      <c r="I302" s="60">
        <f t="shared" ca="1" si="31"/>
        <v>900</v>
      </c>
    </row>
    <row r="303" spans="1:10" s="58" customFormat="1" ht="14.25">
      <c r="A303" s="50" t="s">
        <v>516</v>
      </c>
      <c r="B303" s="51" t="str">
        <f>IF($A303="","",NumList())</f>
        <v/>
      </c>
      <c r="C303" s="66" t="s">
        <v>153</v>
      </c>
      <c r="D303" s="55">
        <f t="shared" si="35"/>
        <v>1</v>
      </c>
      <c r="E303" s="55"/>
      <c r="F303" s="55">
        <f t="shared" ca="1" si="33"/>
        <v>95</v>
      </c>
      <c r="G303" s="59" t="s">
        <v>6</v>
      </c>
      <c r="H303" s="60">
        <f t="shared" ca="1" si="37"/>
        <v>78</v>
      </c>
      <c r="I303" s="60">
        <f t="shared" ca="1" si="31"/>
        <v>7410</v>
      </c>
    </row>
    <row r="304" spans="1:10" s="58" customFormat="1" ht="14.25">
      <c r="A304" s="50" t="s">
        <v>516</v>
      </c>
      <c r="B304" s="51" t="str">
        <f>IF($A304="","",NumList())</f>
        <v/>
      </c>
      <c r="C304" s="66" t="s">
        <v>154</v>
      </c>
      <c r="D304" s="55">
        <f t="shared" si="35"/>
        <v>1</v>
      </c>
      <c r="E304" s="55"/>
      <c r="F304" s="55">
        <f t="shared" ca="1" si="33"/>
        <v>54</v>
      </c>
      <c r="G304" s="59" t="s">
        <v>6</v>
      </c>
      <c r="H304" s="60">
        <f t="shared" ca="1" si="37"/>
        <v>28</v>
      </c>
      <c r="I304" s="60">
        <f t="shared" ca="1" si="31"/>
        <v>1512</v>
      </c>
    </row>
    <row r="305" spans="1:10" s="58" customFormat="1" ht="14.25">
      <c r="A305" s="50" t="s">
        <v>516</v>
      </c>
      <c r="B305" s="51" t="str">
        <f>IF($A305="","",NumList())</f>
        <v/>
      </c>
      <c r="C305" s="66" t="s">
        <v>155</v>
      </c>
      <c r="D305" s="55">
        <f t="shared" si="35"/>
        <v>1</v>
      </c>
      <c r="E305" s="55"/>
      <c r="F305" s="55">
        <f t="shared" ca="1" si="33"/>
        <v>85</v>
      </c>
      <c r="G305" s="59" t="s">
        <v>6</v>
      </c>
      <c r="H305" s="60">
        <f t="shared" ca="1" si="37"/>
        <v>68</v>
      </c>
      <c r="I305" s="60">
        <f t="shared" ca="1" si="31"/>
        <v>5780</v>
      </c>
    </row>
    <row r="306" spans="1:10" s="58" customFormat="1" ht="14.25">
      <c r="A306" s="50" t="s">
        <v>516</v>
      </c>
      <c r="B306" s="51" t="str">
        <f>IF($A306="","",NumList())</f>
        <v/>
      </c>
      <c r="C306" s="66"/>
      <c r="D306" s="55">
        <f t="shared" si="35"/>
        <v>0</v>
      </c>
      <c r="E306" s="55"/>
      <c r="F306" s="55">
        <f t="shared" ca="1" si="33"/>
        <v>0</v>
      </c>
      <c r="G306" s="59"/>
      <c r="H306" s="60"/>
      <c r="I306" s="60">
        <f t="shared" ca="1" si="31"/>
        <v>0</v>
      </c>
    </row>
    <row r="307" spans="1:10" s="58" customFormat="1" ht="14.25">
      <c r="A307" s="50">
        <v>3</v>
      </c>
      <c r="B307" s="51" t="str">
        <f ca="1">IF($A307="","",NumList())</f>
        <v>4.1.6</v>
      </c>
      <c r="C307" s="61" t="s">
        <v>385</v>
      </c>
      <c r="D307" s="55">
        <f t="shared" si="35"/>
        <v>0</v>
      </c>
      <c r="E307" s="55"/>
      <c r="F307" s="55">
        <f t="shared" ca="1" si="33"/>
        <v>0</v>
      </c>
      <c r="G307" s="59"/>
      <c r="H307" s="60"/>
      <c r="I307" s="60">
        <f t="shared" ca="1" si="31"/>
        <v>0</v>
      </c>
      <c r="J307" s="58" t="str">
        <f>J300</f>
        <v>Note : Extra Over for pipe class is the additional cost to purchase a higher class of pipe over and above Class 2 pipes (item 4.1.1). These items are independent of depth</v>
      </c>
    </row>
    <row r="308" spans="1:10" s="58" customFormat="1" ht="14.25">
      <c r="A308" s="50" t="s">
        <v>516</v>
      </c>
      <c r="B308" s="51" t="str">
        <f>IF($A308="","",NumList())</f>
        <v/>
      </c>
      <c r="C308" s="66" t="s">
        <v>151</v>
      </c>
      <c r="D308" s="55">
        <f t="shared" si="35"/>
        <v>1</v>
      </c>
      <c r="E308" s="55"/>
      <c r="F308" s="55">
        <f t="shared" ca="1" si="33"/>
        <v>4</v>
      </c>
      <c r="G308" s="59" t="s">
        <v>6</v>
      </c>
      <c r="H308" s="60">
        <f ca="1">RANDBETWEEN(1,100)</f>
        <v>14</v>
      </c>
      <c r="I308" s="60">
        <f t="shared" ca="1" si="31"/>
        <v>56</v>
      </c>
    </row>
    <row r="309" spans="1:10" s="58" customFormat="1" ht="14.25">
      <c r="A309" s="50" t="s">
        <v>516</v>
      </c>
      <c r="B309" s="51" t="str">
        <f>IF($A309="","",NumList())</f>
        <v/>
      </c>
      <c r="C309" s="66" t="s">
        <v>152</v>
      </c>
      <c r="D309" s="55">
        <f t="shared" si="35"/>
        <v>1</v>
      </c>
      <c r="E309" s="55"/>
      <c r="F309" s="55">
        <f t="shared" ca="1" si="33"/>
        <v>37</v>
      </c>
      <c r="G309" s="59" t="s">
        <v>6</v>
      </c>
      <c r="H309" s="60">
        <f t="shared" ref="H309:H312" ca="1" si="38">RANDBETWEEN(1,100)</f>
        <v>23</v>
      </c>
      <c r="I309" s="60">
        <f t="shared" ca="1" si="31"/>
        <v>851</v>
      </c>
    </row>
    <row r="310" spans="1:10" s="58" customFormat="1" ht="14.25">
      <c r="A310" s="50" t="s">
        <v>516</v>
      </c>
      <c r="B310" s="51" t="str">
        <f>IF($A310="","",NumList())</f>
        <v/>
      </c>
      <c r="C310" s="66" t="s">
        <v>153</v>
      </c>
      <c r="D310" s="55">
        <f t="shared" si="35"/>
        <v>1</v>
      </c>
      <c r="E310" s="55"/>
      <c r="F310" s="55">
        <f t="shared" ca="1" si="33"/>
        <v>20</v>
      </c>
      <c r="G310" s="59" t="s">
        <v>6</v>
      </c>
      <c r="H310" s="60">
        <f t="shared" ca="1" si="38"/>
        <v>61</v>
      </c>
      <c r="I310" s="60">
        <f t="shared" ref="I310:I373" ca="1" si="39">F310*H310</f>
        <v>1220</v>
      </c>
    </row>
    <row r="311" spans="1:10" s="58" customFormat="1" ht="14.25">
      <c r="A311" s="50" t="s">
        <v>516</v>
      </c>
      <c r="B311" s="51" t="str">
        <f>IF($A311="","",NumList())</f>
        <v/>
      </c>
      <c r="C311" s="66" t="s">
        <v>154</v>
      </c>
      <c r="D311" s="55">
        <f t="shared" si="35"/>
        <v>1</v>
      </c>
      <c r="E311" s="55"/>
      <c r="F311" s="55">
        <f t="shared" ca="1" si="33"/>
        <v>1</v>
      </c>
      <c r="G311" s="59" t="s">
        <v>6</v>
      </c>
      <c r="H311" s="60">
        <f t="shared" ca="1" si="38"/>
        <v>1</v>
      </c>
      <c r="I311" s="60">
        <f t="shared" ca="1" si="39"/>
        <v>1</v>
      </c>
    </row>
    <row r="312" spans="1:10" s="58" customFormat="1" ht="14.25">
      <c r="A312" s="50" t="s">
        <v>516</v>
      </c>
      <c r="B312" s="51" t="str">
        <f>IF($A312="","",NumList())</f>
        <v/>
      </c>
      <c r="C312" s="66" t="s">
        <v>155</v>
      </c>
      <c r="D312" s="55">
        <f t="shared" si="35"/>
        <v>1</v>
      </c>
      <c r="E312" s="55"/>
      <c r="F312" s="55">
        <f t="shared" ca="1" si="33"/>
        <v>35</v>
      </c>
      <c r="G312" s="59" t="s">
        <v>6</v>
      </c>
      <c r="H312" s="60">
        <f t="shared" ca="1" si="38"/>
        <v>91</v>
      </c>
      <c r="I312" s="60">
        <f t="shared" ca="1" si="39"/>
        <v>3185</v>
      </c>
    </row>
    <row r="313" spans="1:10" s="58" customFormat="1" ht="14.25">
      <c r="A313" s="50" t="s">
        <v>516</v>
      </c>
      <c r="B313" s="51" t="str">
        <f>IF($A313="","",NumList())</f>
        <v/>
      </c>
      <c r="C313" s="66"/>
      <c r="D313" s="55">
        <f t="shared" si="35"/>
        <v>0</v>
      </c>
      <c r="E313" s="55"/>
      <c r="F313" s="55">
        <f t="shared" ca="1" si="33"/>
        <v>0</v>
      </c>
      <c r="G313" s="59"/>
      <c r="H313" s="60"/>
      <c r="I313" s="60">
        <f t="shared" ca="1" si="39"/>
        <v>0</v>
      </c>
    </row>
    <row r="314" spans="1:10" s="58" customFormat="1" ht="14.25">
      <c r="A314" s="50">
        <v>3</v>
      </c>
      <c r="B314" s="51" t="str">
        <f ca="1">IF($A314="","",NumList())</f>
        <v>4.1.7</v>
      </c>
      <c r="C314" s="61" t="s">
        <v>156</v>
      </c>
      <c r="D314" s="55">
        <f t="shared" si="35"/>
        <v>0</v>
      </c>
      <c r="E314" s="55"/>
      <c r="F314" s="55">
        <f t="shared" ca="1" si="33"/>
        <v>0</v>
      </c>
      <c r="G314" s="59"/>
      <c r="H314" s="60"/>
      <c r="I314" s="60">
        <f t="shared" ca="1" si="39"/>
        <v>0</v>
      </c>
    </row>
    <row r="315" spans="1:10" s="58" customFormat="1" ht="14.25">
      <c r="A315" s="50" t="s">
        <v>516</v>
      </c>
      <c r="B315" s="51" t="str">
        <f>IF($A315="","",NumList())</f>
        <v/>
      </c>
      <c r="C315" s="66" t="s">
        <v>151</v>
      </c>
      <c r="D315" s="55">
        <f t="shared" si="35"/>
        <v>1</v>
      </c>
      <c r="E315" s="55"/>
      <c r="F315" s="55">
        <f t="shared" ca="1" si="33"/>
        <v>62</v>
      </c>
      <c r="G315" s="59" t="s">
        <v>6</v>
      </c>
      <c r="H315" s="60">
        <f ca="1">RANDBETWEEN(1,100)</f>
        <v>78</v>
      </c>
      <c r="I315" s="60">
        <f t="shared" ca="1" si="39"/>
        <v>4836</v>
      </c>
    </row>
    <row r="316" spans="1:10" s="58" customFormat="1" ht="14.25">
      <c r="A316" s="50" t="s">
        <v>516</v>
      </c>
      <c r="B316" s="51" t="str">
        <f>IF($A316="","",NumList())</f>
        <v/>
      </c>
      <c r="C316" s="66" t="s">
        <v>152</v>
      </c>
      <c r="D316" s="55">
        <f t="shared" si="35"/>
        <v>1</v>
      </c>
      <c r="E316" s="55"/>
      <c r="F316" s="55">
        <f t="shared" ca="1" si="33"/>
        <v>61</v>
      </c>
      <c r="G316" s="59" t="s">
        <v>6</v>
      </c>
      <c r="H316" s="60">
        <f t="shared" ref="H316:H319" ca="1" si="40">RANDBETWEEN(1,100)</f>
        <v>21</v>
      </c>
      <c r="I316" s="60">
        <f t="shared" ca="1" si="39"/>
        <v>1281</v>
      </c>
    </row>
    <row r="317" spans="1:10" s="58" customFormat="1" ht="14.25">
      <c r="A317" s="50" t="s">
        <v>516</v>
      </c>
      <c r="B317" s="51" t="str">
        <f>IF($A317="","",NumList())</f>
        <v/>
      </c>
      <c r="C317" s="66" t="s">
        <v>153</v>
      </c>
      <c r="D317" s="55">
        <f t="shared" si="35"/>
        <v>1</v>
      </c>
      <c r="E317" s="55"/>
      <c r="F317" s="55">
        <f t="shared" ca="1" si="33"/>
        <v>37</v>
      </c>
      <c r="G317" s="59" t="s">
        <v>6</v>
      </c>
      <c r="H317" s="60">
        <f t="shared" ca="1" si="40"/>
        <v>78</v>
      </c>
      <c r="I317" s="60">
        <f t="shared" ca="1" si="39"/>
        <v>2886</v>
      </c>
    </row>
    <row r="318" spans="1:10" s="58" customFormat="1" ht="14.25">
      <c r="A318" s="50" t="s">
        <v>516</v>
      </c>
      <c r="B318" s="51" t="str">
        <f>IF($A318="","",NumList())</f>
        <v/>
      </c>
      <c r="C318" s="66" t="s">
        <v>154</v>
      </c>
      <c r="D318" s="55">
        <f t="shared" si="35"/>
        <v>1</v>
      </c>
      <c r="E318" s="55"/>
      <c r="F318" s="55">
        <f t="shared" ca="1" si="33"/>
        <v>95</v>
      </c>
      <c r="G318" s="59" t="s">
        <v>6</v>
      </c>
      <c r="H318" s="60">
        <f t="shared" ca="1" si="40"/>
        <v>42</v>
      </c>
      <c r="I318" s="60">
        <f t="shared" ca="1" si="39"/>
        <v>3990</v>
      </c>
    </row>
    <row r="319" spans="1:10" s="58" customFormat="1" ht="14.25">
      <c r="A319" s="50" t="s">
        <v>516</v>
      </c>
      <c r="B319" s="51" t="str">
        <f>IF($A319="","",NumList())</f>
        <v/>
      </c>
      <c r="C319" s="66" t="s">
        <v>155</v>
      </c>
      <c r="D319" s="55">
        <f t="shared" si="35"/>
        <v>1</v>
      </c>
      <c r="E319" s="55"/>
      <c r="F319" s="55">
        <f t="shared" ref="F319:F382" ca="1" si="41">IF(ISTEXT(G319),RANDBETWEEN(1,100),0)</f>
        <v>47</v>
      </c>
      <c r="G319" s="59" t="s">
        <v>6</v>
      </c>
      <c r="H319" s="60">
        <f t="shared" ca="1" si="40"/>
        <v>70</v>
      </c>
      <c r="I319" s="60">
        <f t="shared" ca="1" si="39"/>
        <v>3290</v>
      </c>
    </row>
    <row r="320" spans="1:10" s="58" customFormat="1" ht="14.25">
      <c r="A320" s="50" t="s">
        <v>516</v>
      </c>
      <c r="B320" s="51" t="str">
        <f>IF($A320="","",NumList())</f>
        <v/>
      </c>
      <c r="C320" s="66"/>
      <c r="D320" s="55">
        <f t="shared" si="35"/>
        <v>0</v>
      </c>
      <c r="E320" s="55"/>
      <c r="F320" s="55">
        <f t="shared" ca="1" si="41"/>
        <v>0</v>
      </c>
      <c r="G320" s="59"/>
      <c r="H320" s="60"/>
      <c r="I320" s="60">
        <f t="shared" ca="1" si="39"/>
        <v>0</v>
      </c>
    </row>
    <row r="321" spans="1:10" s="58" customFormat="1" ht="14.25">
      <c r="A321" s="50">
        <v>3</v>
      </c>
      <c r="B321" s="51" t="str">
        <f ca="1">IF($A321="","",NumList())</f>
        <v>4.1.8</v>
      </c>
      <c r="C321" s="66" t="s">
        <v>198</v>
      </c>
      <c r="D321" s="55">
        <f t="shared" si="35"/>
        <v>0</v>
      </c>
      <c r="E321" s="55"/>
      <c r="F321" s="55">
        <f t="shared" ca="1" si="41"/>
        <v>0</v>
      </c>
      <c r="G321" s="59"/>
      <c r="H321" s="60"/>
      <c r="I321" s="60">
        <f t="shared" ca="1" si="39"/>
        <v>0</v>
      </c>
    </row>
    <row r="322" spans="1:10" s="58" customFormat="1" ht="14.25">
      <c r="A322" s="50" t="s">
        <v>516</v>
      </c>
      <c r="B322" s="51" t="str">
        <f>IF($A322="","",NumList())</f>
        <v/>
      </c>
      <c r="C322" s="61" t="s">
        <v>199</v>
      </c>
      <c r="D322" s="55">
        <f t="shared" si="35"/>
        <v>1</v>
      </c>
      <c r="E322" s="55"/>
      <c r="F322" s="55">
        <f t="shared" ca="1" si="41"/>
        <v>100</v>
      </c>
      <c r="G322" s="59" t="s">
        <v>6</v>
      </c>
      <c r="H322" s="60">
        <f ca="1">RANDBETWEEN(1,100)</f>
        <v>63</v>
      </c>
      <c r="I322" s="60">
        <f t="shared" ca="1" si="39"/>
        <v>6300</v>
      </c>
    </row>
    <row r="323" spans="1:10" s="58" customFormat="1" ht="14.25">
      <c r="A323" s="50" t="s">
        <v>516</v>
      </c>
      <c r="B323" s="51" t="str">
        <f>IF($A323="","",NumList())</f>
        <v/>
      </c>
      <c r="C323" s="61" t="s">
        <v>200</v>
      </c>
      <c r="D323" s="55">
        <f t="shared" si="35"/>
        <v>1</v>
      </c>
      <c r="E323" s="55"/>
      <c r="F323" s="55">
        <f t="shared" ca="1" si="41"/>
        <v>39</v>
      </c>
      <c r="G323" s="59" t="s">
        <v>6</v>
      </c>
      <c r="H323" s="60">
        <f t="shared" ref="H323:H331" ca="1" si="42">RANDBETWEEN(1,100)</f>
        <v>99</v>
      </c>
      <c r="I323" s="60">
        <f t="shared" ca="1" si="39"/>
        <v>3861</v>
      </c>
    </row>
    <row r="324" spans="1:10" s="58" customFormat="1" ht="14.25">
      <c r="A324" s="50" t="s">
        <v>516</v>
      </c>
      <c r="B324" s="51" t="str">
        <f>IF($A324="","",NumList())</f>
        <v/>
      </c>
      <c r="C324" s="61" t="s">
        <v>116</v>
      </c>
      <c r="D324" s="55">
        <f t="shared" si="35"/>
        <v>1</v>
      </c>
      <c r="E324" s="55"/>
      <c r="F324" s="55">
        <f t="shared" ca="1" si="41"/>
        <v>8</v>
      </c>
      <c r="G324" s="59" t="s">
        <v>6</v>
      </c>
      <c r="H324" s="60">
        <f t="shared" ca="1" si="42"/>
        <v>13</v>
      </c>
      <c r="I324" s="60">
        <f t="shared" ca="1" si="39"/>
        <v>104</v>
      </c>
    </row>
    <row r="325" spans="1:10" s="58" customFormat="1" ht="14.25">
      <c r="A325" s="50" t="s">
        <v>516</v>
      </c>
      <c r="B325" s="51" t="str">
        <f>IF($A325="","",NumList())</f>
        <v/>
      </c>
      <c r="C325" s="61" t="s">
        <v>117</v>
      </c>
      <c r="D325" s="55">
        <f t="shared" si="35"/>
        <v>1</v>
      </c>
      <c r="E325" s="55"/>
      <c r="F325" s="55">
        <f t="shared" ca="1" si="41"/>
        <v>95</v>
      </c>
      <c r="G325" s="59" t="s">
        <v>6</v>
      </c>
      <c r="H325" s="60">
        <f t="shared" ca="1" si="42"/>
        <v>35</v>
      </c>
      <c r="I325" s="60">
        <f t="shared" ca="1" si="39"/>
        <v>3325</v>
      </c>
    </row>
    <row r="326" spans="1:10" s="58" customFormat="1" ht="14.25">
      <c r="A326" s="50" t="s">
        <v>516</v>
      </c>
      <c r="B326" s="51" t="str">
        <f>IF($A326="","",NumList())</f>
        <v/>
      </c>
      <c r="C326" s="61" t="s">
        <v>201</v>
      </c>
      <c r="D326" s="55">
        <f t="shared" si="35"/>
        <v>1</v>
      </c>
      <c r="E326" s="55"/>
      <c r="F326" s="55">
        <f t="shared" ca="1" si="41"/>
        <v>78</v>
      </c>
      <c r="G326" s="59" t="s">
        <v>6</v>
      </c>
      <c r="H326" s="60">
        <f t="shared" ca="1" si="42"/>
        <v>11</v>
      </c>
      <c r="I326" s="60">
        <f t="shared" ca="1" si="39"/>
        <v>858</v>
      </c>
    </row>
    <row r="327" spans="1:10" s="58" customFormat="1" ht="14.25">
      <c r="A327" s="50" t="s">
        <v>516</v>
      </c>
      <c r="B327" s="51" t="str">
        <f>IF($A327="","",NumList())</f>
        <v/>
      </c>
      <c r="C327" s="61" t="s">
        <v>202</v>
      </c>
      <c r="D327" s="55">
        <f t="shared" si="35"/>
        <v>1</v>
      </c>
      <c r="E327" s="55"/>
      <c r="F327" s="55">
        <f t="shared" ca="1" si="41"/>
        <v>69</v>
      </c>
      <c r="G327" s="59" t="s">
        <v>6</v>
      </c>
      <c r="H327" s="60">
        <f t="shared" ca="1" si="42"/>
        <v>84</v>
      </c>
      <c r="I327" s="60">
        <f t="shared" ca="1" si="39"/>
        <v>5796</v>
      </c>
    </row>
    <row r="328" spans="1:10" s="58" customFormat="1" ht="14.25">
      <c r="A328" s="50" t="s">
        <v>516</v>
      </c>
      <c r="B328" s="51" t="str">
        <f>IF($A328="","",NumList())</f>
        <v/>
      </c>
      <c r="C328" s="61" t="s">
        <v>119</v>
      </c>
      <c r="D328" s="55">
        <f t="shared" si="35"/>
        <v>1</v>
      </c>
      <c r="E328" s="55"/>
      <c r="F328" s="55">
        <f t="shared" ca="1" si="41"/>
        <v>24</v>
      </c>
      <c r="G328" s="59" t="s">
        <v>6</v>
      </c>
      <c r="H328" s="60">
        <f t="shared" ca="1" si="42"/>
        <v>65</v>
      </c>
      <c r="I328" s="60">
        <f t="shared" ca="1" si="39"/>
        <v>1560</v>
      </c>
    </row>
    <row r="329" spans="1:10" s="58" customFormat="1" ht="14.25">
      <c r="A329" s="50" t="s">
        <v>516</v>
      </c>
      <c r="B329" s="51" t="str">
        <f>IF($A329="","",NumList())</f>
        <v/>
      </c>
      <c r="C329" s="61" t="s">
        <v>120</v>
      </c>
      <c r="D329" s="55">
        <f t="shared" si="35"/>
        <v>1</v>
      </c>
      <c r="E329" s="55"/>
      <c r="F329" s="55">
        <f t="shared" ca="1" si="41"/>
        <v>95</v>
      </c>
      <c r="G329" s="59" t="s">
        <v>6</v>
      </c>
      <c r="H329" s="60">
        <f t="shared" ca="1" si="42"/>
        <v>24</v>
      </c>
      <c r="I329" s="60">
        <f t="shared" ca="1" si="39"/>
        <v>2280</v>
      </c>
    </row>
    <row r="330" spans="1:10" s="58" customFormat="1" ht="14.25">
      <c r="A330" s="50" t="s">
        <v>516</v>
      </c>
      <c r="B330" s="51" t="str">
        <f>IF($A330="","",NumList())</f>
        <v/>
      </c>
      <c r="C330" s="61" t="s">
        <v>203</v>
      </c>
      <c r="D330" s="55">
        <f t="shared" si="35"/>
        <v>1</v>
      </c>
      <c r="E330" s="55"/>
      <c r="F330" s="55">
        <f t="shared" ca="1" si="41"/>
        <v>31</v>
      </c>
      <c r="G330" s="59" t="s">
        <v>6</v>
      </c>
      <c r="H330" s="60">
        <f t="shared" ca="1" si="42"/>
        <v>88</v>
      </c>
      <c r="I330" s="60">
        <f t="shared" ca="1" si="39"/>
        <v>2728</v>
      </c>
    </row>
    <row r="331" spans="1:10" s="58" customFormat="1" ht="14.25">
      <c r="A331" s="50" t="s">
        <v>516</v>
      </c>
      <c r="B331" s="51" t="str">
        <f>IF($A331="","",NumList())</f>
        <v/>
      </c>
      <c r="C331" s="61" t="s">
        <v>204</v>
      </c>
      <c r="D331" s="55">
        <f t="shared" si="35"/>
        <v>1</v>
      </c>
      <c r="E331" s="55"/>
      <c r="F331" s="55">
        <f t="shared" ca="1" si="41"/>
        <v>90</v>
      </c>
      <c r="G331" s="59" t="s">
        <v>6</v>
      </c>
      <c r="H331" s="60">
        <f t="shared" ca="1" si="42"/>
        <v>30</v>
      </c>
      <c r="I331" s="60">
        <f t="shared" ca="1" si="39"/>
        <v>2700</v>
      </c>
    </row>
    <row r="332" spans="1:10" s="58" customFormat="1" ht="14.25">
      <c r="A332" s="50" t="s">
        <v>516</v>
      </c>
      <c r="B332" s="51" t="str">
        <f>IF($A332="","",NumList())</f>
        <v/>
      </c>
      <c r="C332" s="61"/>
      <c r="D332" s="55">
        <f t="shared" si="35"/>
        <v>0</v>
      </c>
      <c r="E332" s="55"/>
      <c r="F332" s="55">
        <f t="shared" ca="1" si="41"/>
        <v>0</v>
      </c>
      <c r="G332" s="59"/>
      <c r="H332" s="60"/>
      <c r="I332" s="60">
        <f t="shared" ca="1" si="39"/>
        <v>0</v>
      </c>
    </row>
    <row r="333" spans="1:10" s="58" customFormat="1" ht="15">
      <c r="A333" s="50">
        <v>2</v>
      </c>
      <c r="B333" s="51" t="str">
        <f ca="1">IF($A333="","",NumList())</f>
        <v>4.2</v>
      </c>
      <c r="C333" s="54" t="s">
        <v>157</v>
      </c>
      <c r="D333" s="55">
        <f t="shared" si="35"/>
        <v>0</v>
      </c>
      <c r="E333" s="55"/>
      <c r="F333" s="55">
        <f t="shared" ca="1" si="41"/>
        <v>0</v>
      </c>
      <c r="G333" s="59"/>
      <c r="H333" s="60"/>
      <c r="I333" s="60">
        <f t="shared" ca="1" si="39"/>
        <v>0</v>
      </c>
      <c r="J333" s="35" t="s">
        <v>474</v>
      </c>
    </row>
    <row r="334" spans="1:10" s="58" customFormat="1" ht="14.25">
      <c r="A334" s="50">
        <v>3</v>
      </c>
      <c r="B334" s="51" t="str">
        <f ca="1">IF($A334="","",NumList())</f>
        <v>4.2.1</v>
      </c>
      <c r="C334" s="54" t="s">
        <v>464</v>
      </c>
      <c r="D334" s="55">
        <f t="shared" si="35"/>
        <v>0</v>
      </c>
      <c r="E334" s="55"/>
      <c r="F334" s="55">
        <f t="shared" ca="1" si="41"/>
        <v>0</v>
      </c>
      <c r="G334" s="59"/>
      <c r="H334" s="60"/>
      <c r="I334" s="60">
        <f t="shared" ca="1" si="39"/>
        <v>0</v>
      </c>
    </row>
    <row r="335" spans="1:10" s="58" customFormat="1" ht="14.25">
      <c r="A335" s="50">
        <v>4</v>
      </c>
      <c r="B335" s="51" t="str">
        <f ca="1">IF($A335="","",NumList())</f>
        <v>4.2.1.1</v>
      </c>
      <c r="C335" s="61" t="s">
        <v>158</v>
      </c>
      <c r="D335" s="55">
        <f t="shared" si="35"/>
        <v>0</v>
      </c>
      <c r="E335" s="55"/>
      <c r="F335" s="55">
        <f t="shared" ca="1" si="41"/>
        <v>0</v>
      </c>
      <c r="G335" s="59"/>
      <c r="H335" s="60"/>
      <c r="I335" s="60">
        <f t="shared" ca="1" si="39"/>
        <v>0</v>
      </c>
    </row>
    <row r="336" spans="1:10" s="58" customFormat="1" ht="14.25">
      <c r="A336" s="50" t="s">
        <v>516</v>
      </c>
      <c r="B336" s="51" t="str">
        <f>IF($A336="","",NumList())</f>
        <v/>
      </c>
      <c r="C336" s="61" t="s">
        <v>56</v>
      </c>
      <c r="D336" s="55">
        <f t="shared" si="35"/>
        <v>1</v>
      </c>
      <c r="E336" s="55"/>
      <c r="F336" s="55">
        <f t="shared" ca="1" si="41"/>
        <v>50</v>
      </c>
      <c r="G336" s="59" t="s">
        <v>8</v>
      </c>
      <c r="H336" s="60">
        <f ca="1">RANDBETWEEN(1,100)</f>
        <v>88</v>
      </c>
      <c r="I336" s="60">
        <f t="shared" ca="1" si="39"/>
        <v>4400</v>
      </c>
      <c r="J336" s="22"/>
    </row>
    <row r="337" spans="1:10" s="58" customFormat="1" ht="14.25">
      <c r="A337" s="50" t="s">
        <v>516</v>
      </c>
      <c r="B337" s="51" t="str">
        <f>IF($A337="","",NumList())</f>
        <v/>
      </c>
      <c r="C337" s="61" t="s">
        <v>57</v>
      </c>
      <c r="D337" s="55">
        <f t="shared" si="35"/>
        <v>1</v>
      </c>
      <c r="E337" s="55"/>
      <c r="F337" s="55">
        <f t="shared" ca="1" si="41"/>
        <v>29</v>
      </c>
      <c r="G337" s="59" t="s">
        <v>8</v>
      </c>
      <c r="H337" s="60">
        <f t="shared" ref="H337:H338" ca="1" si="43">RANDBETWEEN(1,100)</f>
        <v>58</v>
      </c>
      <c r="I337" s="60">
        <f t="shared" ca="1" si="39"/>
        <v>1682</v>
      </c>
      <c r="J337" s="22"/>
    </row>
    <row r="338" spans="1:10" s="58" customFormat="1" ht="14.25">
      <c r="A338" s="50" t="s">
        <v>516</v>
      </c>
      <c r="B338" s="51" t="str">
        <f>IF($A338="","",NumList())</f>
        <v/>
      </c>
      <c r="C338" s="61" t="s">
        <v>58</v>
      </c>
      <c r="D338" s="55">
        <f t="shared" si="35"/>
        <v>1</v>
      </c>
      <c r="E338" s="55"/>
      <c r="F338" s="55">
        <f t="shared" ca="1" si="41"/>
        <v>50</v>
      </c>
      <c r="G338" s="59" t="s">
        <v>8</v>
      </c>
      <c r="H338" s="60">
        <f t="shared" ca="1" si="43"/>
        <v>63</v>
      </c>
      <c r="I338" s="60">
        <f t="shared" ca="1" si="39"/>
        <v>3150</v>
      </c>
      <c r="J338" s="22"/>
    </row>
    <row r="339" spans="1:10" s="58" customFormat="1" ht="28.5">
      <c r="A339" s="50">
        <v>4</v>
      </c>
      <c r="B339" s="51" t="str">
        <f ca="1">IF($A339="","",NumList())</f>
        <v>4.2.1.2</v>
      </c>
      <c r="C339" s="61" t="s">
        <v>462</v>
      </c>
      <c r="D339" s="55">
        <f t="shared" si="35"/>
        <v>0</v>
      </c>
      <c r="E339" s="55"/>
      <c r="F339" s="55">
        <f t="shared" ca="1" si="41"/>
        <v>0</v>
      </c>
      <c r="G339" s="59"/>
      <c r="H339" s="60"/>
      <c r="I339" s="60">
        <f t="shared" ca="1" si="39"/>
        <v>0</v>
      </c>
    </row>
    <row r="340" spans="1:10" s="58" customFormat="1" ht="14.25">
      <c r="A340" s="50" t="s">
        <v>516</v>
      </c>
      <c r="B340" s="51" t="str">
        <f>IF($A340="","",NumList())</f>
        <v/>
      </c>
      <c r="C340" s="61" t="s">
        <v>56</v>
      </c>
      <c r="D340" s="55">
        <f t="shared" si="35"/>
        <v>1</v>
      </c>
      <c r="E340" s="55"/>
      <c r="F340" s="55">
        <f t="shared" ca="1" si="41"/>
        <v>33</v>
      </c>
      <c r="G340" s="59" t="s">
        <v>8</v>
      </c>
      <c r="H340" s="60">
        <f ca="1">RANDBETWEEN(1,100)</f>
        <v>83</v>
      </c>
      <c r="I340" s="60">
        <f t="shared" ca="1" si="39"/>
        <v>2739</v>
      </c>
      <c r="J340" s="22"/>
    </row>
    <row r="341" spans="1:10" s="58" customFormat="1" ht="14.25">
      <c r="A341" s="50" t="s">
        <v>516</v>
      </c>
      <c r="B341" s="51" t="str">
        <f>IF($A341="","",NumList())</f>
        <v/>
      </c>
      <c r="C341" s="61" t="s">
        <v>57</v>
      </c>
      <c r="D341" s="55">
        <f t="shared" si="35"/>
        <v>1</v>
      </c>
      <c r="E341" s="55"/>
      <c r="F341" s="55">
        <f t="shared" ca="1" si="41"/>
        <v>5</v>
      </c>
      <c r="G341" s="59" t="s">
        <v>8</v>
      </c>
      <c r="H341" s="60">
        <f t="shared" ref="H341:H342" ca="1" si="44">RANDBETWEEN(1,100)</f>
        <v>25</v>
      </c>
      <c r="I341" s="60">
        <f t="shared" ca="1" si="39"/>
        <v>125</v>
      </c>
      <c r="J341" s="22"/>
    </row>
    <row r="342" spans="1:10" s="58" customFormat="1" ht="14.25">
      <c r="A342" s="50" t="s">
        <v>516</v>
      </c>
      <c r="B342" s="51" t="str">
        <f>IF($A342="","",NumList())</f>
        <v/>
      </c>
      <c r="C342" s="61" t="s">
        <v>58</v>
      </c>
      <c r="D342" s="55">
        <f t="shared" si="35"/>
        <v>1</v>
      </c>
      <c r="E342" s="55"/>
      <c r="F342" s="55">
        <f t="shared" ca="1" si="41"/>
        <v>19</v>
      </c>
      <c r="G342" s="59" t="s">
        <v>8</v>
      </c>
      <c r="H342" s="60">
        <f t="shared" ca="1" si="44"/>
        <v>1</v>
      </c>
      <c r="I342" s="60">
        <f t="shared" ca="1" si="39"/>
        <v>19</v>
      </c>
      <c r="J342" s="22"/>
    </row>
    <row r="343" spans="1:10" s="58" customFormat="1" ht="28.5">
      <c r="A343" s="50">
        <v>4</v>
      </c>
      <c r="B343" s="51" t="str">
        <f ca="1">IF($A343="","",NumList())</f>
        <v>4.2.1.3</v>
      </c>
      <c r="C343" s="61" t="s">
        <v>463</v>
      </c>
      <c r="D343" s="55">
        <f t="shared" si="35"/>
        <v>0</v>
      </c>
      <c r="E343" s="55"/>
      <c r="F343" s="55">
        <f t="shared" ca="1" si="41"/>
        <v>0</v>
      </c>
      <c r="G343" s="59"/>
      <c r="H343" s="60"/>
      <c r="I343" s="60">
        <f t="shared" ca="1" si="39"/>
        <v>0</v>
      </c>
    </row>
    <row r="344" spans="1:10" s="58" customFormat="1" ht="14.25">
      <c r="A344" s="50" t="s">
        <v>516</v>
      </c>
      <c r="B344" s="51" t="str">
        <f>IF($A344="","",NumList())</f>
        <v/>
      </c>
      <c r="C344" s="61" t="s">
        <v>56</v>
      </c>
      <c r="D344" s="55">
        <f t="shared" si="35"/>
        <v>1</v>
      </c>
      <c r="E344" s="55"/>
      <c r="F344" s="55">
        <f t="shared" ca="1" si="41"/>
        <v>50</v>
      </c>
      <c r="G344" s="59" t="s">
        <v>8</v>
      </c>
      <c r="H344" s="60">
        <f ca="1">RANDBETWEEN(1,100)</f>
        <v>23</v>
      </c>
      <c r="I344" s="60">
        <f t="shared" ca="1" si="39"/>
        <v>1150</v>
      </c>
      <c r="J344" s="22"/>
    </row>
    <row r="345" spans="1:10" s="58" customFormat="1" ht="14.25">
      <c r="A345" s="50" t="s">
        <v>516</v>
      </c>
      <c r="B345" s="51" t="str">
        <f>IF($A345="","",NumList())</f>
        <v/>
      </c>
      <c r="C345" s="61" t="s">
        <v>57</v>
      </c>
      <c r="D345" s="55">
        <f t="shared" si="35"/>
        <v>1</v>
      </c>
      <c r="E345" s="55"/>
      <c r="F345" s="55">
        <f t="shared" ca="1" si="41"/>
        <v>42</v>
      </c>
      <c r="G345" s="59" t="s">
        <v>8</v>
      </c>
      <c r="H345" s="60">
        <f t="shared" ref="H345:H346" ca="1" si="45">RANDBETWEEN(1,100)</f>
        <v>17</v>
      </c>
      <c r="I345" s="60">
        <f t="shared" ca="1" si="39"/>
        <v>714</v>
      </c>
      <c r="J345" s="22"/>
    </row>
    <row r="346" spans="1:10" s="58" customFormat="1" ht="14.25">
      <c r="A346" s="50" t="s">
        <v>516</v>
      </c>
      <c r="B346" s="51" t="str">
        <f>IF($A346="","",NumList())</f>
        <v/>
      </c>
      <c r="C346" s="61" t="s">
        <v>58</v>
      </c>
      <c r="D346" s="55">
        <f t="shared" si="35"/>
        <v>1</v>
      </c>
      <c r="E346" s="55"/>
      <c r="F346" s="55">
        <f t="shared" ca="1" si="41"/>
        <v>14</v>
      </c>
      <c r="G346" s="59" t="s">
        <v>8</v>
      </c>
      <c r="H346" s="60">
        <f t="shared" ca="1" si="45"/>
        <v>52</v>
      </c>
      <c r="I346" s="60">
        <f t="shared" ca="1" si="39"/>
        <v>728</v>
      </c>
      <c r="J346" s="22"/>
    </row>
    <row r="347" spans="1:10" s="58" customFormat="1" ht="14.25">
      <c r="A347" s="50" t="s">
        <v>516</v>
      </c>
      <c r="B347" s="51" t="str">
        <f>IF($A347="","",NumList())</f>
        <v/>
      </c>
      <c r="C347" s="62"/>
      <c r="D347" s="55">
        <f t="shared" si="35"/>
        <v>0</v>
      </c>
      <c r="E347" s="55"/>
      <c r="F347" s="55">
        <f t="shared" ca="1" si="41"/>
        <v>0</v>
      </c>
      <c r="G347" s="59"/>
      <c r="H347" s="60"/>
      <c r="I347" s="60">
        <f t="shared" ca="1" si="39"/>
        <v>0</v>
      </c>
    </row>
    <row r="348" spans="1:10" s="58" customFormat="1" ht="14.25">
      <c r="A348" s="50">
        <v>3</v>
      </c>
      <c r="B348" s="51" t="str">
        <f ca="1">IF($A348="","",NumList())</f>
        <v>4.2.2</v>
      </c>
      <c r="C348" s="54" t="s">
        <v>465</v>
      </c>
      <c r="D348" s="55">
        <f t="shared" si="35"/>
        <v>0</v>
      </c>
      <c r="E348" s="55"/>
      <c r="F348" s="55">
        <f t="shared" ca="1" si="41"/>
        <v>0</v>
      </c>
      <c r="G348" s="59"/>
      <c r="H348" s="60"/>
      <c r="I348" s="60">
        <f t="shared" ca="1" si="39"/>
        <v>0</v>
      </c>
    </row>
    <row r="349" spans="1:10" s="58" customFormat="1" ht="14.25">
      <c r="A349" s="50">
        <v>4</v>
      </c>
      <c r="B349" s="51" t="str">
        <f ca="1">IF($A349="","",NumList())</f>
        <v>4.2.2.1</v>
      </c>
      <c r="C349" s="61" t="s">
        <v>158</v>
      </c>
      <c r="D349" s="55">
        <f t="shared" si="35"/>
        <v>0</v>
      </c>
      <c r="E349" s="55"/>
      <c r="F349" s="55">
        <f t="shared" ca="1" si="41"/>
        <v>0</v>
      </c>
      <c r="G349" s="59"/>
      <c r="H349" s="60"/>
      <c r="I349" s="60">
        <f t="shared" ca="1" si="39"/>
        <v>0</v>
      </c>
    </row>
    <row r="350" spans="1:10" s="58" customFormat="1" ht="14.25">
      <c r="A350" s="50" t="s">
        <v>516</v>
      </c>
      <c r="B350" s="51" t="str">
        <f>IF($A350="","",NumList())</f>
        <v/>
      </c>
      <c r="C350" s="61" t="s">
        <v>56</v>
      </c>
      <c r="D350" s="55">
        <f t="shared" si="35"/>
        <v>1</v>
      </c>
      <c r="E350" s="55"/>
      <c r="F350" s="55">
        <f t="shared" ca="1" si="41"/>
        <v>41</v>
      </c>
      <c r="G350" s="59" t="s">
        <v>8</v>
      </c>
      <c r="H350" s="60">
        <f ca="1">RANDBETWEEN(1,100)</f>
        <v>94</v>
      </c>
      <c r="I350" s="60">
        <f t="shared" ca="1" si="39"/>
        <v>3854</v>
      </c>
      <c r="J350" s="22"/>
    </row>
    <row r="351" spans="1:10" s="58" customFormat="1" ht="14.25">
      <c r="A351" s="50" t="s">
        <v>516</v>
      </c>
      <c r="B351" s="51" t="str">
        <f>IF($A351="","",NumList())</f>
        <v/>
      </c>
      <c r="C351" s="61" t="s">
        <v>57</v>
      </c>
      <c r="D351" s="55">
        <f t="shared" si="35"/>
        <v>1</v>
      </c>
      <c r="E351" s="55"/>
      <c r="F351" s="55">
        <f t="shared" ca="1" si="41"/>
        <v>30</v>
      </c>
      <c r="G351" s="59" t="s">
        <v>8</v>
      </c>
      <c r="H351" s="60">
        <f t="shared" ref="H351:H352" ca="1" si="46">RANDBETWEEN(1,100)</f>
        <v>56</v>
      </c>
      <c r="I351" s="60">
        <f t="shared" ca="1" si="39"/>
        <v>1680</v>
      </c>
      <c r="J351" s="22"/>
    </row>
    <row r="352" spans="1:10" s="58" customFormat="1" ht="14.25">
      <c r="A352" s="50" t="s">
        <v>516</v>
      </c>
      <c r="B352" s="51" t="str">
        <f>IF($A352="","",NumList())</f>
        <v/>
      </c>
      <c r="C352" s="61" t="s">
        <v>58</v>
      </c>
      <c r="D352" s="55">
        <f t="shared" si="35"/>
        <v>1</v>
      </c>
      <c r="E352" s="55"/>
      <c r="F352" s="55">
        <f t="shared" ca="1" si="41"/>
        <v>1</v>
      </c>
      <c r="G352" s="59" t="s">
        <v>8</v>
      </c>
      <c r="H352" s="60">
        <f t="shared" ca="1" si="46"/>
        <v>28</v>
      </c>
      <c r="I352" s="60">
        <f t="shared" ca="1" si="39"/>
        <v>28</v>
      </c>
      <c r="J352" s="22"/>
    </row>
    <row r="353" spans="1:10" s="58" customFormat="1" ht="28.5">
      <c r="A353" s="50">
        <v>4</v>
      </c>
      <c r="B353" s="51" t="str">
        <f ca="1">IF($A353="","",NumList())</f>
        <v>4.2.2.2</v>
      </c>
      <c r="C353" s="61" t="s">
        <v>462</v>
      </c>
      <c r="D353" s="55">
        <f t="shared" si="35"/>
        <v>0</v>
      </c>
      <c r="E353" s="55"/>
      <c r="F353" s="55">
        <f t="shared" ca="1" si="41"/>
        <v>0</v>
      </c>
      <c r="G353" s="59"/>
      <c r="H353" s="60"/>
      <c r="I353" s="60">
        <f t="shared" ca="1" si="39"/>
        <v>0</v>
      </c>
    </row>
    <row r="354" spans="1:10" s="58" customFormat="1" ht="14.25">
      <c r="A354" s="50" t="s">
        <v>516</v>
      </c>
      <c r="B354" s="51" t="str">
        <f>IF($A354="","",NumList())</f>
        <v/>
      </c>
      <c r="C354" s="61" t="s">
        <v>56</v>
      </c>
      <c r="D354" s="55">
        <f t="shared" si="35"/>
        <v>1</v>
      </c>
      <c r="E354" s="55"/>
      <c r="F354" s="55">
        <f t="shared" ca="1" si="41"/>
        <v>93</v>
      </c>
      <c r="G354" s="59" t="s">
        <v>8</v>
      </c>
      <c r="H354" s="60">
        <f ca="1">RANDBETWEEN(1,100)</f>
        <v>100</v>
      </c>
      <c r="I354" s="60">
        <f t="shared" ca="1" si="39"/>
        <v>9300</v>
      </c>
      <c r="J354" s="22"/>
    </row>
    <row r="355" spans="1:10" s="58" customFormat="1" ht="14.25">
      <c r="A355" s="50" t="s">
        <v>516</v>
      </c>
      <c r="B355" s="51" t="str">
        <f>IF($A355="","",NumList())</f>
        <v/>
      </c>
      <c r="C355" s="61" t="s">
        <v>57</v>
      </c>
      <c r="D355" s="55">
        <f t="shared" ref="D355:D418" si="47">IF(ISTEXT(G355),1,0)</f>
        <v>1</v>
      </c>
      <c r="E355" s="55"/>
      <c r="F355" s="55">
        <f t="shared" ca="1" si="41"/>
        <v>82</v>
      </c>
      <c r="G355" s="59" t="s">
        <v>8</v>
      </c>
      <c r="H355" s="60">
        <f t="shared" ref="H355:H356" ca="1" si="48">RANDBETWEEN(1,100)</f>
        <v>20</v>
      </c>
      <c r="I355" s="60">
        <f t="shared" ca="1" si="39"/>
        <v>1640</v>
      </c>
      <c r="J355" s="22"/>
    </row>
    <row r="356" spans="1:10" s="58" customFormat="1" ht="14.25">
      <c r="A356" s="50" t="s">
        <v>516</v>
      </c>
      <c r="B356" s="51" t="str">
        <f>IF($A356="","",NumList())</f>
        <v/>
      </c>
      <c r="C356" s="61" t="s">
        <v>58</v>
      </c>
      <c r="D356" s="55">
        <f t="shared" si="47"/>
        <v>1</v>
      </c>
      <c r="E356" s="55"/>
      <c r="F356" s="55">
        <f t="shared" ca="1" si="41"/>
        <v>73</v>
      </c>
      <c r="G356" s="59" t="s">
        <v>8</v>
      </c>
      <c r="H356" s="60">
        <f t="shared" ca="1" si="48"/>
        <v>23</v>
      </c>
      <c r="I356" s="60">
        <f t="shared" ca="1" si="39"/>
        <v>1679</v>
      </c>
      <c r="J356" s="22"/>
    </row>
    <row r="357" spans="1:10" s="58" customFormat="1" ht="28.5">
      <c r="A357" s="50">
        <v>4</v>
      </c>
      <c r="B357" s="51" t="str">
        <f ca="1">IF($A357="","",NumList())</f>
        <v>4.2.2.3</v>
      </c>
      <c r="C357" s="61" t="s">
        <v>463</v>
      </c>
      <c r="D357" s="55">
        <f t="shared" si="47"/>
        <v>0</v>
      </c>
      <c r="E357" s="55"/>
      <c r="F357" s="55">
        <f t="shared" ca="1" si="41"/>
        <v>0</v>
      </c>
      <c r="G357" s="59"/>
      <c r="H357" s="60"/>
      <c r="I357" s="60">
        <f t="shared" ca="1" si="39"/>
        <v>0</v>
      </c>
    </row>
    <row r="358" spans="1:10" s="58" customFormat="1" ht="14.25">
      <c r="A358" s="50" t="s">
        <v>516</v>
      </c>
      <c r="B358" s="51" t="str">
        <f>IF($A358="","",NumList())</f>
        <v/>
      </c>
      <c r="C358" s="61" t="s">
        <v>56</v>
      </c>
      <c r="D358" s="55">
        <f t="shared" si="47"/>
        <v>1</v>
      </c>
      <c r="E358" s="55"/>
      <c r="F358" s="55">
        <f t="shared" ca="1" si="41"/>
        <v>56</v>
      </c>
      <c r="G358" s="59" t="s">
        <v>8</v>
      </c>
      <c r="H358" s="60">
        <f ca="1">RANDBETWEEN(1,100)</f>
        <v>22</v>
      </c>
      <c r="I358" s="60">
        <f t="shared" ca="1" si="39"/>
        <v>1232</v>
      </c>
      <c r="J358" s="22"/>
    </row>
    <row r="359" spans="1:10" s="58" customFormat="1" ht="14.25">
      <c r="A359" s="50" t="s">
        <v>516</v>
      </c>
      <c r="B359" s="51" t="str">
        <f>IF($A359="","",NumList())</f>
        <v/>
      </c>
      <c r="C359" s="61" t="s">
        <v>57</v>
      </c>
      <c r="D359" s="55">
        <f t="shared" si="47"/>
        <v>1</v>
      </c>
      <c r="E359" s="55"/>
      <c r="F359" s="55">
        <f t="shared" ca="1" si="41"/>
        <v>54</v>
      </c>
      <c r="G359" s="59" t="s">
        <v>8</v>
      </c>
      <c r="H359" s="60">
        <f t="shared" ref="H359:H360" ca="1" si="49">RANDBETWEEN(1,100)</f>
        <v>97</v>
      </c>
      <c r="I359" s="60">
        <f t="shared" ca="1" si="39"/>
        <v>5238</v>
      </c>
      <c r="J359" s="22"/>
    </row>
    <row r="360" spans="1:10" s="58" customFormat="1" ht="14.25">
      <c r="A360" s="50" t="s">
        <v>516</v>
      </c>
      <c r="B360" s="51" t="str">
        <f>IF($A360="","",NumList())</f>
        <v/>
      </c>
      <c r="C360" s="61" t="s">
        <v>58</v>
      </c>
      <c r="D360" s="55">
        <f t="shared" si="47"/>
        <v>1</v>
      </c>
      <c r="E360" s="55"/>
      <c r="F360" s="55">
        <f t="shared" ca="1" si="41"/>
        <v>37</v>
      </c>
      <c r="G360" s="59" t="s">
        <v>8</v>
      </c>
      <c r="H360" s="60">
        <f t="shared" ca="1" si="49"/>
        <v>58</v>
      </c>
      <c r="I360" s="60">
        <f t="shared" ca="1" si="39"/>
        <v>2146</v>
      </c>
      <c r="J360" s="22"/>
    </row>
    <row r="361" spans="1:10" s="58" customFormat="1" ht="14.25">
      <c r="A361" s="50" t="s">
        <v>516</v>
      </c>
      <c r="B361" s="51" t="str">
        <f>IF($A361="","",NumList())</f>
        <v/>
      </c>
      <c r="C361" s="62"/>
      <c r="D361" s="55">
        <f t="shared" si="47"/>
        <v>0</v>
      </c>
      <c r="E361" s="55"/>
      <c r="F361" s="55">
        <f t="shared" ca="1" si="41"/>
        <v>0</v>
      </c>
      <c r="G361" s="59"/>
      <c r="H361" s="60"/>
      <c r="I361" s="60">
        <f t="shared" ca="1" si="39"/>
        <v>0</v>
      </c>
    </row>
    <row r="362" spans="1:10" s="58" customFormat="1" ht="14.25">
      <c r="A362" s="50">
        <v>3</v>
      </c>
      <c r="B362" s="51" t="str">
        <f ca="1">IF($A362="","",NumList())</f>
        <v>4.2.3</v>
      </c>
      <c r="C362" s="61" t="s">
        <v>466</v>
      </c>
      <c r="D362" s="55">
        <f t="shared" si="47"/>
        <v>0</v>
      </c>
      <c r="E362" s="55"/>
      <c r="F362" s="55">
        <f t="shared" ca="1" si="41"/>
        <v>0</v>
      </c>
      <c r="G362" s="59"/>
      <c r="H362" s="60"/>
      <c r="I362" s="60">
        <f t="shared" ca="1" si="39"/>
        <v>0</v>
      </c>
    </row>
    <row r="363" spans="1:10" s="58" customFormat="1" ht="14.25">
      <c r="A363" s="50">
        <v>4</v>
      </c>
      <c r="B363" s="51" t="str">
        <f ca="1">IF($A363="","",NumList())</f>
        <v>4.2.3.1</v>
      </c>
      <c r="C363" s="61" t="s">
        <v>158</v>
      </c>
      <c r="D363" s="55">
        <f t="shared" si="47"/>
        <v>0</v>
      </c>
      <c r="E363" s="55"/>
      <c r="F363" s="55">
        <f t="shared" ca="1" si="41"/>
        <v>0</v>
      </c>
      <c r="G363" s="59"/>
      <c r="H363" s="60"/>
      <c r="I363" s="60">
        <f t="shared" ca="1" si="39"/>
        <v>0</v>
      </c>
    </row>
    <row r="364" spans="1:10" s="58" customFormat="1" ht="14.25">
      <c r="A364" s="50" t="s">
        <v>516</v>
      </c>
      <c r="B364" s="51" t="str">
        <f>IF($A364="","",NumList())</f>
        <v/>
      </c>
      <c r="C364" s="61" t="s">
        <v>56</v>
      </c>
      <c r="D364" s="55">
        <f t="shared" si="47"/>
        <v>1</v>
      </c>
      <c r="E364" s="55"/>
      <c r="F364" s="55">
        <f t="shared" ca="1" si="41"/>
        <v>4</v>
      </c>
      <c r="G364" s="59" t="s">
        <v>8</v>
      </c>
      <c r="H364" s="60">
        <f ca="1">RANDBETWEEN(1,100)</f>
        <v>91</v>
      </c>
      <c r="I364" s="60">
        <f t="shared" ca="1" si="39"/>
        <v>364</v>
      </c>
      <c r="J364" s="22"/>
    </row>
    <row r="365" spans="1:10" s="58" customFormat="1" ht="14.25">
      <c r="A365" s="50" t="s">
        <v>516</v>
      </c>
      <c r="B365" s="51" t="str">
        <f>IF($A365="","",NumList())</f>
        <v/>
      </c>
      <c r="C365" s="61" t="s">
        <v>57</v>
      </c>
      <c r="D365" s="55">
        <f t="shared" si="47"/>
        <v>1</v>
      </c>
      <c r="E365" s="55"/>
      <c r="F365" s="55">
        <f t="shared" ca="1" si="41"/>
        <v>59</v>
      </c>
      <c r="G365" s="59" t="s">
        <v>8</v>
      </c>
      <c r="H365" s="60">
        <f t="shared" ref="H365:H366" ca="1" si="50">RANDBETWEEN(1,100)</f>
        <v>56</v>
      </c>
      <c r="I365" s="60">
        <f t="shared" ca="1" si="39"/>
        <v>3304</v>
      </c>
      <c r="J365" s="22"/>
    </row>
    <row r="366" spans="1:10" s="58" customFormat="1" ht="14.25">
      <c r="A366" s="50" t="s">
        <v>516</v>
      </c>
      <c r="B366" s="51" t="str">
        <f>IF($A366="","",NumList())</f>
        <v/>
      </c>
      <c r="C366" s="61" t="s">
        <v>58</v>
      </c>
      <c r="D366" s="55">
        <f t="shared" si="47"/>
        <v>1</v>
      </c>
      <c r="E366" s="55"/>
      <c r="F366" s="55">
        <f t="shared" ca="1" si="41"/>
        <v>83</v>
      </c>
      <c r="G366" s="59" t="s">
        <v>8</v>
      </c>
      <c r="H366" s="60">
        <f t="shared" ca="1" si="50"/>
        <v>79</v>
      </c>
      <c r="I366" s="60">
        <f t="shared" ca="1" si="39"/>
        <v>6557</v>
      </c>
      <c r="J366" s="22"/>
    </row>
    <row r="367" spans="1:10" s="58" customFormat="1" ht="28.5">
      <c r="A367" s="50">
        <v>4</v>
      </c>
      <c r="B367" s="51" t="str">
        <f ca="1">IF($A367="","",NumList())</f>
        <v>4.2.3.2</v>
      </c>
      <c r="C367" s="61" t="s">
        <v>462</v>
      </c>
      <c r="D367" s="55">
        <f t="shared" si="47"/>
        <v>0</v>
      </c>
      <c r="E367" s="55"/>
      <c r="F367" s="55">
        <f t="shared" ca="1" si="41"/>
        <v>0</v>
      </c>
      <c r="G367" s="59"/>
      <c r="H367" s="60"/>
      <c r="I367" s="60">
        <f t="shared" ca="1" si="39"/>
        <v>0</v>
      </c>
    </row>
    <row r="368" spans="1:10" s="58" customFormat="1" ht="14.25">
      <c r="A368" s="50" t="s">
        <v>516</v>
      </c>
      <c r="B368" s="51" t="str">
        <f>IF($A368="","",NumList())</f>
        <v/>
      </c>
      <c r="C368" s="61" t="s">
        <v>56</v>
      </c>
      <c r="D368" s="55">
        <f t="shared" si="47"/>
        <v>1</v>
      </c>
      <c r="E368" s="55"/>
      <c r="F368" s="55">
        <f t="shared" ca="1" si="41"/>
        <v>13</v>
      </c>
      <c r="G368" s="59" t="s">
        <v>8</v>
      </c>
      <c r="H368" s="60">
        <f ca="1">RANDBETWEEN(1,100)</f>
        <v>33</v>
      </c>
      <c r="I368" s="60">
        <f t="shared" ca="1" si="39"/>
        <v>429</v>
      </c>
      <c r="J368" s="22"/>
    </row>
    <row r="369" spans="1:10" s="58" customFormat="1" ht="14.25">
      <c r="A369" s="50" t="s">
        <v>516</v>
      </c>
      <c r="B369" s="51" t="str">
        <f>IF($A369="","",NumList())</f>
        <v/>
      </c>
      <c r="C369" s="61" t="s">
        <v>57</v>
      </c>
      <c r="D369" s="55">
        <f t="shared" si="47"/>
        <v>1</v>
      </c>
      <c r="E369" s="55"/>
      <c r="F369" s="55">
        <f t="shared" ca="1" si="41"/>
        <v>66</v>
      </c>
      <c r="G369" s="59" t="s">
        <v>8</v>
      </c>
      <c r="H369" s="60">
        <f t="shared" ref="H369:H370" ca="1" si="51">RANDBETWEEN(1,100)</f>
        <v>52</v>
      </c>
      <c r="I369" s="60">
        <f t="shared" ca="1" si="39"/>
        <v>3432</v>
      </c>
      <c r="J369" s="22"/>
    </row>
    <row r="370" spans="1:10" s="58" customFormat="1" ht="14.25">
      <c r="A370" s="50" t="s">
        <v>516</v>
      </c>
      <c r="B370" s="51" t="str">
        <f>IF($A370="","",NumList())</f>
        <v/>
      </c>
      <c r="C370" s="61" t="s">
        <v>58</v>
      </c>
      <c r="D370" s="55">
        <f t="shared" si="47"/>
        <v>1</v>
      </c>
      <c r="E370" s="55"/>
      <c r="F370" s="55">
        <f t="shared" ca="1" si="41"/>
        <v>22</v>
      </c>
      <c r="G370" s="59" t="s">
        <v>8</v>
      </c>
      <c r="H370" s="60">
        <f t="shared" ca="1" si="51"/>
        <v>51</v>
      </c>
      <c r="I370" s="60">
        <f t="shared" ca="1" si="39"/>
        <v>1122</v>
      </c>
      <c r="J370" s="22"/>
    </row>
    <row r="371" spans="1:10" s="58" customFormat="1" ht="28.5">
      <c r="A371" s="50">
        <v>4</v>
      </c>
      <c r="B371" s="51" t="str">
        <f ca="1">IF($A371="","",NumList())</f>
        <v>4.2.3.3</v>
      </c>
      <c r="C371" s="61" t="s">
        <v>463</v>
      </c>
      <c r="D371" s="55">
        <f t="shared" si="47"/>
        <v>0</v>
      </c>
      <c r="E371" s="55"/>
      <c r="F371" s="55">
        <f t="shared" ca="1" si="41"/>
        <v>0</v>
      </c>
      <c r="G371" s="59"/>
      <c r="H371" s="60"/>
      <c r="I371" s="60">
        <f t="shared" ca="1" si="39"/>
        <v>0</v>
      </c>
    </row>
    <row r="372" spans="1:10" s="58" customFormat="1" ht="14.25">
      <c r="A372" s="50" t="s">
        <v>516</v>
      </c>
      <c r="B372" s="51" t="str">
        <f>IF($A372="","",NumList())</f>
        <v/>
      </c>
      <c r="C372" s="61" t="s">
        <v>56</v>
      </c>
      <c r="D372" s="55">
        <f t="shared" si="47"/>
        <v>1</v>
      </c>
      <c r="E372" s="55"/>
      <c r="F372" s="55">
        <f t="shared" ca="1" si="41"/>
        <v>14</v>
      </c>
      <c r="G372" s="59" t="s">
        <v>8</v>
      </c>
      <c r="H372" s="60">
        <f ca="1">RANDBETWEEN(1,100)</f>
        <v>77</v>
      </c>
      <c r="I372" s="60">
        <f t="shared" ca="1" si="39"/>
        <v>1078</v>
      </c>
      <c r="J372" s="22"/>
    </row>
    <row r="373" spans="1:10" s="58" customFormat="1" ht="14.25">
      <c r="A373" s="50" t="s">
        <v>516</v>
      </c>
      <c r="B373" s="51" t="str">
        <f>IF($A373="","",NumList())</f>
        <v/>
      </c>
      <c r="C373" s="61" t="s">
        <v>57</v>
      </c>
      <c r="D373" s="55">
        <f t="shared" si="47"/>
        <v>1</v>
      </c>
      <c r="E373" s="55"/>
      <c r="F373" s="55">
        <f t="shared" ca="1" si="41"/>
        <v>8</v>
      </c>
      <c r="G373" s="59" t="s">
        <v>8</v>
      </c>
      <c r="H373" s="60">
        <f t="shared" ref="H373:H374" ca="1" si="52">RANDBETWEEN(1,100)</f>
        <v>83</v>
      </c>
      <c r="I373" s="60">
        <f t="shared" ca="1" si="39"/>
        <v>664</v>
      </c>
      <c r="J373" s="22"/>
    </row>
    <row r="374" spans="1:10" s="58" customFormat="1" ht="14.25">
      <c r="A374" s="50" t="s">
        <v>516</v>
      </c>
      <c r="B374" s="51" t="str">
        <f>IF($A374="","",NumList())</f>
        <v/>
      </c>
      <c r="C374" s="61" t="s">
        <v>58</v>
      </c>
      <c r="D374" s="55">
        <f t="shared" si="47"/>
        <v>1</v>
      </c>
      <c r="E374" s="55"/>
      <c r="F374" s="55">
        <f t="shared" ca="1" si="41"/>
        <v>25</v>
      </c>
      <c r="G374" s="59" t="s">
        <v>8</v>
      </c>
      <c r="H374" s="60">
        <f t="shared" ca="1" si="52"/>
        <v>39</v>
      </c>
      <c r="I374" s="60">
        <f t="shared" ref="I374:I437" ca="1" si="53">F374*H374</f>
        <v>975</v>
      </c>
      <c r="J374" s="22"/>
    </row>
    <row r="375" spans="1:10" s="58" customFormat="1" ht="14.25">
      <c r="A375" s="50" t="s">
        <v>516</v>
      </c>
      <c r="B375" s="51" t="str">
        <f>IF($A375="","",NumList())</f>
        <v/>
      </c>
      <c r="C375" s="62"/>
      <c r="D375" s="55">
        <f t="shared" si="47"/>
        <v>0</v>
      </c>
      <c r="E375" s="55"/>
      <c r="F375" s="55">
        <f t="shared" ca="1" si="41"/>
        <v>0</v>
      </c>
      <c r="G375" s="59"/>
      <c r="H375" s="60"/>
      <c r="I375" s="60">
        <f t="shared" ca="1" si="53"/>
        <v>0</v>
      </c>
    </row>
    <row r="376" spans="1:10" s="58" customFormat="1" ht="14.25">
      <c r="A376" s="50">
        <v>3</v>
      </c>
      <c r="B376" s="51" t="str">
        <f ca="1">IF($A376="","",NumList())</f>
        <v>4.2.4</v>
      </c>
      <c r="C376" s="61" t="s">
        <v>467</v>
      </c>
      <c r="D376" s="55">
        <f t="shared" si="47"/>
        <v>0</v>
      </c>
      <c r="E376" s="55"/>
      <c r="F376" s="55">
        <f t="shared" ca="1" si="41"/>
        <v>0</v>
      </c>
      <c r="G376" s="59"/>
      <c r="H376" s="60"/>
      <c r="I376" s="60">
        <f t="shared" ca="1" si="53"/>
        <v>0</v>
      </c>
    </row>
    <row r="377" spans="1:10" s="58" customFormat="1" ht="14.25">
      <c r="A377" s="50">
        <v>4</v>
      </c>
      <c r="B377" s="51" t="str">
        <f ca="1">IF($A377="","",NumList())</f>
        <v>4.2.4.1</v>
      </c>
      <c r="C377" s="61" t="s">
        <v>158</v>
      </c>
      <c r="D377" s="55">
        <f t="shared" si="47"/>
        <v>0</v>
      </c>
      <c r="E377" s="55"/>
      <c r="F377" s="55">
        <f t="shared" ca="1" si="41"/>
        <v>0</v>
      </c>
      <c r="G377" s="59"/>
      <c r="H377" s="60"/>
      <c r="I377" s="60">
        <f t="shared" ca="1" si="53"/>
        <v>0</v>
      </c>
    </row>
    <row r="378" spans="1:10" s="58" customFormat="1" ht="14.25">
      <c r="A378" s="50" t="s">
        <v>516</v>
      </c>
      <c r="B378" s="51" t="str">
        <f>IF($A378="","",NumList())</f>
        <v/>
      </c>
      <c r="C378" s="61" t="s">
        <v>56</v>
      </c>
      <c r="D378" s="55">
        <f t="shared" si="47"/>
        <v>1</v>
      </c>
      <c r="E378" s="55"/>
      <c r="F378" s="55">
        <f t="shared" ca="1" si="41"/>
        <v>93</v>
      </c>
      <c r="G378" s="59" t="s">
        <v>8</v>
      </c>
      <c r="H378" s="60">
        <f ca="1">RANDBETWEEN(1,100)</f>
        <v>5</v>
      </c>
      <c r="I378" s="60">
        <f t="shared" ca="1" si="53"/>
        <v>465</v>
      </c>
      <c r="J378" s="22"/>
    </row>
    <row r="379" spans="1:10" s="58" customFormat="1" ht="14.25">
      <c r="A379" s="50" t="s">
        <v>516</v>
      </c>
      <c r="B379" s="51" t="str">
        <f>IF($A379="","",NumList())</f>
        <v/>
      </c>
      <c r="C379" s="61" t="s">
        <v>57</v>
      </c>
      <c r="D379" s="55">
        <f t="shared" si="47"/>
        <v>1</v>
      </c>
      <c r="E379" s="55"/>
      <c r="F379" s="55">
        <f t="shared" ca="1" si="41"/>
        <v>38</v>
      </c>
      <c r="G379" s="59" t="s">
        <v>8</v>
      </c>
      <c r="H379" s="60">
        <f t="shared" ref="H379:H380" ca="1" si="54">RANDBETWEEN(1,100)</f>
        <v>37</v>
      </c>
      <c r="I379" s="60">
        <f t="shared" ca="1" si="53"/>
        <v>1406</v>
      </c>
      <c r="J379" s="22"/>
    </row>
    <row r="380" spans="1:10" s="58" customFormat="1" ht="14.25">
      <c r="A380" s="50" t="s">
        <v>516</v>
      </c>
      <c r="B380" s="51" t="str">
        <f>IF($A380="","",NumList())</f>
        <v/>
      </c>
      <c r="C380" s="61" t="s">
        <v>58</v>
      </c>
      <c r="D380" s="55">
        <f t="shared" si="47"/>
        <v>1</v>
      </c>
      <c r="E380" s="55"/>
      <c r="F380" s="55">
        <f t="shared" ca="1" si="41"/>
        <v>67</v>
      </c>
      <c r="G380" s="59" t="s">
        <v>8</v>
      </c>
      <c r="H380" s="60">
        <f t="shared" ca="1" si="54"/>
        <v>32</v>
      </c>
      <c r="I380" s="60">
        <f t="shared" ca="1" si="53"/>
        <v>2144</v>
      </c>
      <c r="J380" s="22"/>
    </row>
    <row r="381" spans="1:10" s="58" customFormat="1" ht="28.5">
      <c r="A381" s="50">
        <v>4</v>
      </c>
      <c r="B381" s="51" t="str">
        <f ca="1">IF($A381="","",NumList())</f>
        <v>4.2.4.2</v>
      </c>
      <c r="C381" s="61" t="s">
        <v>462</v>
      </c>
      <c r="D381" s="55">
        <f t="shared" si="47"/>
        <v>0</v>
      </c>
      <c r="E381" s="55"/>
      <c r="F381" s="55">
        <f t="shared" ca="1" si="41"/>
        <v>0</v>
      </c>
      <c r="G381" s="59"/>
      <c r="H381" s="60"/>
      <c r="I381" s="60">
        <f t="shared" ca="1" si="53"/>
        <v>0</v>
      </c>
    </row>
    <row r="382" spans="1:10" s="58" customFormat="1" ht="14.25">
      <c r="A382" s="50" t="s">
        <v>516</v>
      </c>
      <c r="B382" s="51" t="str">
        <f>IF($A382="","",NumList())</f>
        <v/>
      </c>
      <c r="C382" s="61" t="s">
        <v>56</v>
      </c>
      <c r="D382" s="55">
        <f t="shared" si="47"/>
        <v>1</v>
      </c>
      <c r="E382" s="55"/>
      <c r="F382" s="55">
        <f t="shared" ca="1" si="41"/>
        <v>90</v>
      </c>
      <c r="G382" s="59" t="s">
        <v>8</v>
      </c>
      <c r="H382" s="60">
        <f ca="1">RANDBETWEEN(1,100)</f>
        <v>71</v>
      </c>
      <c r="I382" s="60">
        <f t="shared" ca="1" si="53"/>
        <v>6390</v>
      </c>
      <c r="J382" s="22"/>
    </row>
    <row r="383" spans="1:10" s="58" customFormat="1" ht="14.25">
      <c r="A383" s="50" t="s">
        <v>516</v>
      </c>
      <c r="B383" s="51" t="str">
        <f>IF($A383="","",NumList())</f>
        <v/>
      </c>
      <c r="C383" s="61" t="s">
        <v>57</v>
      </c>
      <c r="D383" s="55">
        <f t="shared" si="47"/>
        <v>1</v>
      </c>
      <c r="E383" s="55"/>
      <c r="F383" s="55">
        <f t="shared" ref="F383:F446" ca="1" si="55">IF(ISTEXT(G383),RANDBETWEEN(1,100),0)</f>
        <v>48</v>
      </c>
      <c r="G383" s="59" t="s">
        <v>8</v>
      </c>
      <c r="H383" s="60">
        <f t="shared" ref="H383:H384" ca="1" si="56">RANDBETWEEN(1,100)</f>
        <v>32</v>
      </c>
      <c r="I383" s="60">
        <f t="shared" ca="1" si="53"/>
        <v>1536</v>
      </c>
      <c r="J383" s="22"/>
    </row>
    <row r="384" spans="1:10" s="58" customFormat="1" ht="14.25">
      <c r="A384" s="50" t="s">
        <v>516</v>
      </c>
      <c r="B384" s="51" t="str">
        <f>IF($A384="","",NumList())</f>
        <v/>
      </c>
      <c r="C384" s="61" t="s">
        <v>58</v>
      </c>
      <c r="D384" s="55">
        <f t="shared" si="47"/>
        <v>1</v>
      </c>
      <c r="E384" s="55"/>
      <c r="F384" s="55">
        <f t="shared" ca="1" si="55"/>
        <v>41</v>
      </c>
      <c r="G384" s="59" t="s">
        <v>8</v>
      </c>
      <c r="H384" s="60">
        <f t="shared" ca="1" si="56"/>
        <v>84</v>
      </c>
      <c r="I384" s="60">
        <f t="shared" ca="1" si="53"/>
        <v>3444</v>
      </c>
      <c r="J384" s="22"/>
    </row>
    <row r="385" spans="1:10" s="58" customFormat="1" ht="28.5">
      <c r="A385" s="50">
        <v>4</v>
      </c>
      <c r="B385" s="51" t="str">
        <f ca="1">IF($A385="","",NumList())</f>
        <v>4.2.4.3</v>
      </c>
      <c r="C385" s="61" t="s">
        <v>463</v>
      </c>
      <c r="D385" s="55">
        <f t="shared" si="47"/>
        <v>0</v>
      </c>
      <c r="E385" s="55"/>
      <c r="F385" s="55">
        <f t="shared" ca="1" si="55"/>
        <v>0</v>
      </c>
      <c r="G385" s="59"/>
      <c r="H385" s="60"/>
      <c r="I385" s="60">
        <f t="shared" ca="1" si="53"/>
        <v>0</v>
      </c>
    </row>
    <row r="386" spans="1:10" s="58" customFormat="1" ht="14.25">
      <c r="A386" s="50" t="s">
        <v>516</v>
      </c>
      <c r="B386" s="51" t="str">
        <f>IF($A386="","",NumList())</f>
        <v/>
      </c>
      <c r="C386" s="61" t="s">
        <v>56</v>
      </c>
      <c r="D386" s="55">
        <f t="shared" si="47"/>
        <v>1</v>
      </c>
      <c r="E386" s="55"/>
      <c r="F386" s="55">
        <f t="shared" ca="1" si="55"/>
        <v>90</v>
      </c>
      <c r="G386" s="59" t="s">
        <v>8</v>
      </c>
      <c r="H386" s="60">
        <f ca="1">RANDBETWEEN(1,100)</f>
        <v>83</v>
      </c>
      <c r="I386" s="60">
        <f t="shared" ca="1" si="53"/>
        <v>7470</v>
      </c>
      <c r="J386" s="22"/>
    </row>
    <row r="387" spans="1:10" s="58" customFormat="1" ht="14.25">
      <c r="A387" s="50" t="s">
        <v>516</v>
      </c>
      <c r="B387" s="51" t="str">
        <f>IF($A387="","",NumList())</f>
        <v/>
      </c>
      <c r="C387" s="61" t="s">
        <v>57</v>
      </c>
      <c r="D387" s="55">
        <f t="shared" si="47"/>
        <v>1</v>
      </c>
      <c r="E387" s="55"/>
      <c r="F387" s="55">
        <f t="shared" ca="1" si="55"/>
        <v>94</v>
      </c>
      <c r="G387" s="59" t="s">
        <v>8</v>
      </c>
      <c r="H387" s="60">
        <f t="shared" ref="H387:H388" ca="1" si="57">RANDBETWEEN(1,100)</f>
        <v>50</v>
      </c>
      <c r="I387" s="60">
        <f t="shared" ca="1" si="53"/>
        <v>4700</v>
      </c>
      <c r="J387" s="22"/>
    </row>
    <row r="388" spans="1:10" s="58" customFormat="1" ht="14.25">
      <c r="A388" s="50" t="s">
        <v>516</v>
      </c>
      <c r="B388" s="51" t="str">
        <f>IF($A388="","",NumList())</f>
        <v/>
      </c>
      <c r="C388" s="61" t="s">
        <v>58</v>
      </c>
      <c r="D388" s="55">
        <f t="shared" si="47"/>
        <v>1</v>
      </c>
      <c r="E388" s="55"/>
      <c r="F388" s="55">
        <f t="shared" ca="1" si="55"/>
        <v>43</v>
      </c>
      <c r="G388" s="59" t="s">
        <v>8</v>
      </c>
      <c r="H388" s="60">
        <f t="shared" ca="1" si="57"/>
        <v>24</v>
      </c>
      <c r="I388" s="60">
        <f t="shared" ca="1" si="53"/>
        <v>1032</v>
      </c>
      <c r="J388" s="22"/>
    </row>
    <row r="389" spans="1:10" s="58" customFormat="1" ht="14.25">
      <c r="A389" s="50" t="s">
        <v>516</v>
      </c>
      <c r="B389" s="51" t="str">
        <f>IF($A389="","",NumList())</f>
        <v/>
      </c>
      <c r="C389" s="62"/>
      <c r="D389" s="55">
        <f t="shared" si="47"/>
        <v>0</v>
      </c>
      <c r="E389" s="55"/>
      <c r="F389" s="55">
        <f t="shared" ca="1" si="55"/>
        <v>0</v>
      </c>
      <c r="G389" s="59"/>
      <c r="H389" s="60"/>
      <c r="I389" s="60">
        <f t="shared" ca="1" si="53"/>
        <v>0</v>
      </c>
    </row>
    <row r="390" spans="1:10" s="58" customFormat="1" ht="14.25">
      <c r="A390" s="50">
        <v>3</v>
      </c>
      <c r="B390" s="51" t="str">
        <f ca="1">IF($A390="","",NumList())</f>
        <v>4.2.5</v>
      </c>
      <c r="C390" s="62" t="s">
        <v>468</v>
      </c>
      <c r="D390" s="55">
        <f t="shared" si="47"/>
        <v>0</v>
      </c>
      <c r="E390" s="55"/>
      <c r="F390" s="55">
        <f t="shared" ca="1" si="55"/>
        <v>0</v>
      </c>
      <c r="G390" s="59"/>
      <c r="H390" s="60"/>
      <c r="I390" s="60">
        <f t="shared" ca="1" si="53"/>
        <v>0</v>
      </c>
    </row>
    <row r="391" spans="1:10" s="58" customFormat="1" ht="14.25">
      <c r="A391" s="50">
        <v>4</v>
      </c>
      <c r="B391" s="51" t="str">
        <f ca="1">IF($A391="","",NumList())</f>
        <v>4.2.5.1</v>
      </c>
      <c r="C391" s="61" t="s">
        <v>469</v>
      </c>
      <c r="D391" s="55">
        <f t="shared" si="47"/>
        <v>1</v>
      </c>
      <c r="E391" s="55"/>
      <c r="F391" s="55">
        <f t="shared" ca="1" si="55"/>
        <v>51</v>
      </c>
      <c r="G391" s="59" t="s">
        <v>8</v>
      </c>
      <c r="H391" s="60">
        <f ca="1">RANDBETWEEN(1,100)</f>
        <v>25</v>
      </c>
      <c r="I391" s="60">
        <f t="shared" ca="1" si="53"/>
        <v>1275</v>
      </c>
    </row>
    <row r="392" spans="1:10" s="58" customFormat="1" ht="14.25">
      <c r="A392" s="50" t="s">
        <v>516</v>
      </c>
      <c r="B392" s="51" t="str">
        <f>IF($A392="","",NumList())</f>
        <v/>
      </c>
      <c r="C392" s="61" t="s">
        <v>56</v>
      </c>
      <c r="D392" s="55">
        <f t="shared" si="47"/>
        <v>1</v>
      </c>
      <c r="E392" s="55"/>
      <c r="F392" s="55">
        <f t="shared" ca="1" si="55"/>
        <v>8</v>
      </c>
      <c r="G392" s="59" t="s">
        <v>8</v>
      </c>
      <c r="H392" s="60">
        <f t="shared" ref="H392:H396" ca="1" si="58">RANDBETWEEN(1,100)</f>
        <v>18</v>
      </c>
      <c r="I392" s="60">
        <f t="shared" ca="1" si="53"/>
        <v>144</v>
      </c>
      <c r="J392" s="22"/>
    </row>
    <row r="393" spans="1:10" s="58" customFormat="1" ht="14.25">
      <c r="A393" s="50">
        <v>4</v>
      </c>
      <c r="B393" s="51" t="str">
        <f ca="1">IF($A393="","",NumList())</f>
        <v>4.2.5.2</v>
      </c>
      <c r="C393" s="61" t="s">
        <v>158</v>
      </c>
      <c r="D393" s="55">
        <f t="shared" si="47"/>
        <v>1</v>
      </c>
      <c r="E393" s="55"/>
      <c r="F393" s="55">
        <f t="shared" ca="1" si="55"/>
        <v>37</v>
      </c>
      <c r="G393" s="59" t="s">
        <v>8</v>
      </c>
      <c r="H393" s="60">
        <f t="shared" ca="1" si="58"/>
        <v>82</v>
      </c>
      <c r="I393" s="60">
        <f t="shared" ca="1" si="53"/>
        <v>3034</v>
      </c>
    </row>
    <row r="394" spans="1:10" s="58" customFormat="1" ht="14.25">
      <c r="A394" s="50" t="s">
        <v>516</v>
      </c>
      <c r="B394" s="51" t="str">
        <f>IF($A394="","",NumList())</f>
        <v/>
      </c>
      <c r="C394" s="61" t="s">
        <v>56</v>
      </c>
      <c r="D394" s="55">
        <f t="shared" si="47"/>
        <v>1</v>
      </c>
      <c r="E394" s="55"/>
      <c r="F394" s="55">
        <f t="shared" ca="1" si="55"/>
        <v>64</v>
      </c>
      <c r="G394" s="59" t="s">
        <v>8</v>
      </c>
      <c r="H394" s="60">
        <f t="shared" ca="1" si="58"/>
        <v>15</v>
      </c>
      <c r="I394" s="60">
        <f t="shared" ca="1" si="53"/>
        <v>960</v>
      </c>
      <c r="J394" s="22"/>
    </row>
    <row r="395" spans="1:10" s="58" customFormat="1" ht="14.25">
      <c r="A395" s="50" t="s">
        <v>516</v>
      </c>
      <c r="B395" s="51" t="str">
        <f>IF($A395="","",NumList())</f>
        <v/>
      </c>
      <c r="C395" s="61" t="s">
        <v>57</v>
      </c>
      <c r="D395" s="55">
        <f t="shared" si="47"/>
        <v>1</v>
      </c>
      <c r="E395" s="55"/>
      <c r="F395" s="55">
        <f t="shared" ca="1" si="55"/>
        <v>45</v>
      </c>
      <c r="G395" s="59" t="s">
        <v>8</v>
      </c>
      <c r="H395" s="60">
        <f t="shared" ca="1" si="58"/>
        <v>49</v>
      </c>
      <c r="I395" s="60">
        <f t="shared" ca="1" si="53"/>
        <v>2205</v>
      </c>
      <c r="J395" s="22"/>
    </row>
    <row r="396" spans="1:10" s="58" customFormat="1" ht="14.25">
      <c r="A396" s="50" t="s">
        <v>516</v>
      </c>
      <c r="B396" s="51" t="str">
        <f>IF($A396="","",NumList())</f>
        <v/>
      </c>
      <c r="C396" s="61" t="s">
        <v>58</v>
      </c>
      <c r="D396" s="55">
        <f t="shared" si="47"/>
        <v>1</v>
      </c>
      <c r="E396" s="55"/>
      <c r="F396" s="55">
        <f t="shared" ca="1" si="55"/>
        <v>16</v>
      </c>
      <c r="G396" s="59" t="s">
        <v>8</v>
      </c>
      <c r="H396" s="60">
        <f t="shared" ca="1" si="58"/>
        <v>63</v>
      </c>
      <c r="I396" s="60">
        <f t="shared" ca="1" si="53"/>
        <v>1008</v>
      </c>
      <c r="J396" s="22"/>
    </row>
    <row r="397" spans="1:10" s="58" customFormat="1" ht="14.25">
      <c r="A397" s="50">
        <v>4</v>
      </c>
      <c r="B397" s="51" t="str">
        <f ca="1">IF($A397="","",NumList())</f>
        <v>4.2.5.3</v>
      </c>
      <c r="C397" s="61" t="s">
        <v>470</v>
      </c>
      <c r="D397" s="55">
        <f t="shared" si="47"/>
        <v>0</v>
      </c>
      <c r="E397" s="55"/>
      <c r="F397" s="55">
        <f t="shared" ca="1" si="55"/>
        <v>0</v>
      </c>
      <c r="G397" s="59"/>
      <c r="H397" s="60"/>
      <c r="I397" s="60">
        <f t="shared" ca="1" si="53"/>
        <v>0</v>
      </c>
    </row>
    <row r="398" spans="1:10" s="58" customFormat="1" ht="14.25">
      <c r="A398" s="50" t="s">
        <v>516</v>
      </c>
      <c r="B398" s="51" t="str">
        <f>IF($A398="","",NumList())</f>
        <v/>
      </c>
      <c r="C398" s="61" t="s">
        <v>56</v>
      </c>
      <c r="D398" s="55">
        <f t="shared" si="47"/>
        <v>1</v>
      </c>
      <c r="E398" s="55"/>
      <c r="F398" s="55">
        <f t="shared" ca="1" si="55"/>
        <v>81</v>
      </c>
      <c r="G398" s="59" t="s">
        <v>8</v>
      </c>
      <c r="H398" s="60">
        <f ca="1">RANDBETWEEN(1,100)</f>
        <v>38</v>
      </c>
      <c r="I398" s="60">
        <f t="shared" ca="1" si="53"/>
        <v>3078</v>
      </c>
      <c r="J398" s="22"/>
    </row>
    <row r="399" spans="1:10" s="58" customFormat="1" ht="14.25">
      <c r="A399" s="50" t="s">
        <v>516</v>
      </c>
      <c r="B399" s="51" t="str">
        <f>IF($A399="","",NumList())</f>
        <v/>
      </c>
      <c r="C399" s="61" t="s">
        <v>57</v>
      </c>
      <c r="D399" s="55">
        <f t="shared" si="47"/>
        <v>1</v>
      </c>
      <c r="E399" s="55"/>
      <c r="F399" s="55">
        <f t="shared" ca="1" si="55"/>
        <v>10</v>
      </c>
      <c r="G399" s="59" t="s">
        <v>8</v>
      </c>
      <c r="H399" s="60">
        <f t="shared" ref="H399:H400" ca="1" si="59">RANDBETWEEN(1,100)</f>
        <v>88</v>
      </c>
      <c r="I399" s="60">
        <f t="shared" ca="1" si="53"/>
        <v>880</v>
      </c>
      <c r="J399" s="22"/>
    </row>
    <row r="400" spans="1:10" s="58" customFormat="1" ht="14.25">
      <c r="A400" s="50" t="s">
        <v>516</v>
      </c>
      <c r="B400" s="51" t="str">
        <f>IF($A400="","",NumList())</f>
        <v/>
      </c>
      <c r="C400" s="61" t="s">
        <v>58</v>
      </c>
      <c r="D400" s="55">
        <f t="shared" si="47"/>
        <v>1</v>
      </c>
      <c r="E400" s="55"/>
      <c r="F400" s="55">
        <f t="shared" ca="1" si="55"/>
        <v>91</v>
      </c>
      <c r="G400" s="59" t="s">
        <v>8</v>
      </c>
      <c r="H400" s="60">
        <f t="shared" ca="1" si="59"/>
        <v>85</v>
      </c>
      <c r="I400" s="60">
        <f t="shared" ca="1" si="53"/>
        <v>7735</v>
      </c>
      <c r="J400" s="22"/>
    </row>
    <row r="401" spans="1:20" s="58" customFormat="1" ht="14.25">
      <c r="A401" s="50">
        <v>4</v>
      </c>
      <c r="B401" s="51" t="str">
        <f ca="1">IF($A401="","",NumList())</f>
        <v>4.2.5.4</v>
      </c>
      <c r="C401" s="61" t="s">
        <v>471</v>
      </c>
      <c r="D401" s="55">
        <f t="shared" si="47"/>
        <v>0</v>
      </c>
      <c r="E401" s="55"/>
      <c r="F401" s="55">
        <f t="shared" ca="1" si="55"/>
        <v>0</v>
      </c>
      <c r="G401" s="59"/>
      <c r="H401" s="60"/>
      <c r="I401" s="60">
        <f t="shared" ca="1" si="53"/>
        <v>0</v>
      </c>
    </row>
    <row r="402" spans="1:20" s="58" customFormat="1" ht="14.25">
      <c r="A402" s="50" t="s">
        <v>516</v>
      </c>
      <c r="B402" s="51" t="str">
        <f>IF($A402="","",NumList())</f>
        <v/>
      </c>
      <c r="C402" s="61" t="s">
        <v>56</v>
      </c>
      <c r="D402" s="55">
        <f t="shared" si="47"/>
        <v>1</v>
      </c>
      <c r="E402" s="55"/>
      <c r="F402" s="55">
        <f t="shared" ca="1" si="55"/>
        <v>100</v>
      </c>
      <c r="G402" s="59" t="s">
        <v>8</v>
      </c>
      <c r="H402" s="60">
        <f ca="1">RANDBETWEEN(1,100)</f>
        <v>25</v>
      </c>
      <c r="I402" s="60">
        <f t="shared" ca="1" si="53"/>
        <v>2500</v>
      </c>
      <c r="J402" s="22"/>
    </row>
    <row r="403" spans="1:20" s="58" customFormat="1" ht="14.25">
      <c r="A403" s="50" t="s">
        <v>516</v>
      </c>
      <c r="B403" s="51" t="str">
        <f>IF($A403="","",NumList())</f>
        <v/>
      </c>
      <c r="C403" s="61" t="s">
        <v>57</v>
      </c>
      <c r="D403" s="55">
        <f t="shared" si="47"/>
        <v>1</v>
      </c>
      <c r="E403" s="55"/>
      <c r="F403" s="55">
        <f t="shared" ca="1" si="55"/>
        <v>70</v>
      </c>
      <c r="G403" s="59" t="s">
        <v>8</v>
      </c>
      <c r="H403" s="60">
        <f t="shared" ref="H403:H404" ca="1" si="60">RANDBETWEEN(1,100)</f>
        <v>12</v>
      </c>
      <c r="I403" s="60">
        <f t="shared" ca="1" si="53"/>
        <v>840</v>
      </c>
      <c r="J403" s="22"/>
    </row>
    <row r="404" spans="1:20" s="58" customFormat="1" ht="14.25">
      <c r="A404" s="50" t="s">
        <v>516</v>
      </c>
      <c r="B404" s="51" t="str">
        <f>IF($A404="","",NumList())</f>
        <v/>
      </c>
      <c r="C404" s="61" t="s">
        <v>58</v>
      </c>
      <c r="D404" s="55">
        <f t="shared" si="47"/>
        <v>1</v>
      </c>
      <c r="E404" s="55"/>
      <c r="F404" s="55">
        <f t="shared" ca="1" si="55"/>
        <v>80</v>
      </c>
      <c r="G404" s="59" t="s">
        <v>8</v>
      </c>
      <c r="H404" s="60">
        <f t="shared" ca="1" si="60"/>
        <v>60</v>
      </c>
      <c r="I404" s="60">
        <f t="shared" ca="1" si="53"/>
        <v>4800</v>
      </c>
      <c r="J404" s="22"/>
    </row>
    <row r="405" spans="1:20" s="58" customFormat="1" ht="14.25">
      <c r="A405" s="50" t="s">
        <v>516</v>
      </c>
      <c r="B405" s="51" t="str">
        <f>IF($A405="","",NumList())</f>
        <v/>
      </c>
      <c r="C405" s="62"/>
      <c r="D405" s="55">
        <f t="shared" si="47"/>
        <v>0</v>
      </c>
      <c r="E405" s="55"/>
      <c r="F405" s="55">
        <f t="shared" ca="1" si="55"/>
        <v>0</v>
      </c>
      <c r="G405" s="59"/>
      <c r="H405" s="60"/>
      <c r="I405" s="60">
        <f t="shared" ca="1" si="53"/>
        <v>0</v>
      </c>
    </row>
    <row r="406" spans="1:20" s="58" customFormat="1" ht="14.25">
      <c r="A406" s="50">
        <v>2</v>
      </c>
      <c r="B406" s="51" t="str">
        <f ca="1">IF($A406="","",NumList())</f>
        <v>4.3</v>
      </c>
      <c r="C406" s="61" t="s">
        <v>159</v>
      </c>
      <c r="D406" s="55">
        <f t="shared" si="47"/>
        <v>0</v>
      </c>
      <c r="E406" s="55"/>
      <c r="F406" s="55">
        <f t="shared" ca="1" si="55"/>
        <v>0</v>
      </c>
      <c r="G406" s="59"/>
      <c r="H406" s="60"/>
      <c r="I406" s="60">
        <f t="shared" ca="1" si="53"/>
        <v>0</v>
      </c>
    </row>
    <row r="407" spans="1:20" s="58" customFormat="1" ht="14.25">
      <c r="A407" s="50">
        <v>3</v>
      </c>
      <c r="B407" s="51" t="str">
        <f ca="1">IF($A407="","",NumList())</f>
        <v>4.3.1</v>
      </c>
      <c r="C407" s="61" t="s">
        <v>387</v>
      </c>
      <c r="D407" s="55">
        <f t="shared" si="47"/>
        <v>1</v>
      </c>
      <c r="E407" s="55"/>
      <c r="F407" s="55">
        <f t="shared" ca="1" si="55"/>
        <v>55</v>
      </c>
      <c r="G407" s="59" t="str">
        <f>G408</f>
        <v>no.</v>
      </c>
      <c r="H407" s="60">
        <f ca="1">RANDBETWEEN(1,100)</f>
        <v>97</v>
      </c>
      <c r="I407" s="60">
        <f t="shared" ca="1" si="53"/>
        <v>5335</v>
      </c>
    </row>
    <row r="408" spans="1:20" s="58" customFormat="1" ht="14.25">
      <c r="A408" s="50">
        <v>3</v>
      </c>
      <c r="B408" s="51" t="str">
        <f ca="1">IF($A408="","",NumList())</f>
        <v>4.3.2</v>
      </c>
      <c r="C408" s="62" t="s">
        <v>206</v>
      </c>
      <c r="D408" s="55">
        <f t="shared" si="47"/>
        <v>1</v>
      </c>
      <c r="E408" s="55"/>
      <c r="F408" s="55">
        <f t="shared" ca="1" si="55"/>
        <v>76</v>
      </c>
      <c r="G408" s="59" t="s">
        <v>8</v>
      </c>
      <c r="H408" s="60">
        <f t="shared" ref="H408:H410" ca="1" si="61">RANDBETWEEN(1,100)</f>
        <v>40</v>
      </c>
      <c r="I408" s="60">
        <f t="shared" ca="1" si="53"/>
        <v>3040</v>
      </c>
    </row>
    <row r="409" spans="1:20" s="58" customFormat="1" ht="14.25">
      <c r="A409" s="50">
        <v>3</v>
      </c>
      <c r="B409" s="51" t="str">
        <f ca="1">IF($A409="","",NumList())</f>
        <v>4.3.3</v>
      </c>
      <c r="C409" s="62" t="s">
        <v>205</v>
      </c>
      <c r="D409" s="55">
        <f t="shared" si="47"/>
        <v>1</v>
      </c>
      <c r="E409" s="55"/>
      <c r="F409" s="55">
        <f t="shared" ca="1" si="55"/>
        <v>63</v>
      </c>
      <c r="G409" s="59" t="s">
        <v>8</v>
      </c>
      <c r="H409" s="60">
        <f t="shared" ca="1" si="61"/>
        <v>75</v>
      </c>
      <c r="I409" s="60">
        <f t="shared" ca="1" si="53"/>
        <v>4725</v>
      </c>
      <c r="R409" s="32"/>
    </row>
    <row r="410" spans="1:20" s="58" customFormat="1" ht="14.25">
      <c r="A410" s="50">
        <v>3</v>
      </c>
      <c r="B410" s="51" t="str">
        <f ca="1">IF($A410="","",NumList())</f>
        <v>4.3.4</v>
      </c>
      <c r="C410" s="62" t="s">
        <v>388</v>
      </c>
      <c r="D410" s="55">
        <f t="shared" si="47"/>
        <v>1</v>
      </c>
      <c r="E410" s="55"/>
      <c r="F410" s="55">
        <f t="shared" ca="1" si="55"/>
        <v>70</v>
      </c>
      <c r="G410" s="59" t="s">
        <v>8</v>
      </c>
      <c r="H410" s="60">
        <f t="shared" ca="1" si="61"/>
        <v>89</v>
      </c>
      <c r="I410" s="60">
        <f t="shared" ca="1" si="53"/>
        <v>6230</v>
      </c>
      <c r="R410" s="32"/>
      <c r="S410" s="67"/>
      <c r="T410" s="32"/>
    </row>
    <row r="411" spans="1:20" s="58" customFormat="1" ht="14.25">
      <c r="A411" s="50" t="s">
        <v>516</v>
      </c>
      <c r="B411" s="51" t="str">
        <f>IF($A411="","",NumList())</f>
        <v/>
      </c>
      <c r="C411" s="62"/>
      <c r="D411" s="55">
        <f t="shared" si="47"/>
        <v>0</v>
      </c>
      <c r="E411" s="55"/>
      <c r="F411" s="55">
        <f t="shared" ca="1" si="55"/>
        <v>0</v>
      </c>
      <c r="G411" s="59"/>
      <c r="H411" s="60"/>
      <c r="I411" s="60">
        <f t="shared" ca="1" si="53"/>
        <v>0</v>
      </c>
      <c r="R411" s="32"/>
      <c r="S411" s="68"/>
      <c r="T411" s="32"/>
    </row>
    <row r="412" spans="1:20" s="58" customFormat="1" ht="14.25">
      <c r="A412" s="50">
        <v>2</v>
      </c>
      <c r="B412" s="51" t="str">
        <f ca="1">IF($A412="","",NumList())</f>
        <v>4.4</v>
      </c>
      <c r="C412" s="61" t="s">
        <v>160</v>
      </c>
      <c r="D412" s="55">
        <f t="shared" si="47"/>
        <v>0</v>
      </c>
      <c r="E412" s="55"/>
      <c r="F412" s="55">
        <f t="shared" ca="1" si="55"/>
        <v>0</v>
      </c>
      <c r="G412" s="59"/>
      <c r="H412" s="60"/>
      <c r="I412" s="60">
        <f t="shared" ca="1" si="53"/>
        <v>0</v>
      </c>
      <c r="R412" s="32"/>
      <c r="S412" s="68"/>
      <c r="T412" s="32"/>
    </row>
    <row r="413" spans="1:20" s="58" customFormat="1" ht="14.25">
      <c r="A413" s="50">
        <v>3</v>
      </c>
      <c r="B413" s="51" t="str">
        <f ca="1">IF($A413="","",NumList())</f>
        <v>4.4.1</v>
      </c>
      <c r="C413" s="61" t="s">
        <v>387</v>
      </c>
      <c r="D413" s="55">
        <f t="shared" si="47"/>
        <v>1</v>
      </c>
      <c r="E413" s="55"/>
      <c r="F413" s="55">
        <f t="shared" ca="1" si="55"/>
        <v>18</v>
      </c>
      <c r="G413" s="59" t="str">
        <f>G414</f>
        <v>no.</v>
      </c>
      <c r="H413" s="60">
        <f ca="1">RANDBETWEEN(1,100)</f>
        <v>15</v>
      </c>
      <c r="I413" s="60">
        <f t="shared" ca="1" si="53"/>
        <v>270</v>
      </c>
      <c r="R413" s="32"/>
      <c r="S413" s="68"/>
      <c r="T413" s="32"/>
    </row>
    <row r="414" spans="1:20" s="58" customFormat="1" ht="14.25">
      <c r="A414" s="50">
        <v>3</v>
      </c>
      <c r="B414" s="51" t="str">
        <f ca="1">IF($A414="","",NumList())</f>
        <v>4.4.2</v>
      </c>
      <c r="C414" s="61" t="s">
        <v>208</v>
      </c>
      <c r="D414" s="55">
        <f t="shared" si="47"/>
        <v>1</v>
      </c>
      <c r="E414" s="55"/>
      <c r="F414" s="55">
        <f t="shared" ca="1" si="55"/>
        <v>43</v>
      </c>
      <c r="G414" s="59" t="s">
        <v>8</v>
      </c>
      <c r="H414" s="60">
        <f t="shared" ref="H414:H416" ca="1" si="62">RANDBETWEEN(1,100)</f>
        <v>79</v>
      </c>
      <c r="I414" s="60">
        <f t="shared" ca="1" si="53"/>
        <v>3397</v>
      </c>
      <c r="R414" s="32"/>
      <c r="S414" s="68"/>
      <c r="T414" s="32"/>
    </row>
    <row r="415" spans="1:20" s="58" customFormat="1" ht="14.25">
      <c r="A415" s="50">
        <v>3</v>
      </c>
      <c r="B415" s="51" t="str">
        <f ca="1">IF($A415="","",NumList())</f>
        <v>4.4.3</v>
      </c>
      <c r="C415" s="61" t="s">
        <v>209</v>
      </c>
      <c r="D415" s="55">
        <f t="shared" si="47"/>
        <v>1</v>
      </c>
      <c r="E415" s="55"/>
      <c r="F415" s="55">
        <f t="shared" ca="1" si="55"/>
        <v>54</v>
      </c>
      <c r="G415" s="59" t="s">
        <v>8</v>
      </c>
      <c r="H415" s="60">
        <f t="shared" ca="1" si="62"/>
        <v>72</v>
      </c>
      <c r="I415" s="60">
        <f t="shared" ca="1" si="53"/>
        <v>3888</v>
      </c>
    </row>
    <row r="416" spans="1:20" s="58" customFormat="1" ht="14.25">
      <c r="A416" s="50">
        <v>3</v>
      </c>
      <c r="B416" s="51" t="str">
        <f ca="1">IF($A416="","",NumList())</f>
        <v>4.4.4</v>
      </c>
      <c r="C416" s="62" t="s">
        <v>389</v>
      </c>
      <c r="D416" s="55">
        <f t="shared" si="47"/>
        <v>1</v>
      </c>
      <c r="E416" s="55"/>
      <c r="F416" s="55">
        <f t="shared" ca="1" si="55"/>
        <v>29</v>
      </c>
      <c r="G416" s="59" t="s">
        <v>8</v>
      </c>
      <c r="H416" s="60">
        <f t="shared" ca="1" si="62"/>
        <v>42</v>
      </c>
      <c r="I416" s="60">
        <f t="shared" ca="1" si="53"/>
        <v>1218</v>
      </c>
    </row>
    <row r="417" spans="1:9" s="58" customFormat="1" ht="14.25">
      <c r="A417" s="50" t="s">
        <v>516</v>
      </c>
      <c r="B417" s="51" t="str">
        <f>IF($A417="","",NumList())</f>
        <v/>
      </c>
      <c r="C417" s="62"/>
      <c r="D417" s="55">
        <f t="shared" si="47"/>
        <v>0</v>
      </c>
      <c r="E417" s="55"/>
      <c r="F417" s="55">
        <f t="shared" ca="1" si="55"/>
        <v>0</v>
      </c>
      <c r="G417" s="59"/>
      <c r="H417" s="60"/>
      <c r="I417" s="60">
        <f t="shared" ca="1" si="53"/>
        <v>0</v>
      </c>
    </row>
    <row r="418" spans="1:9" s="58" customFormat="1" ht="14.25">
      <c r="A418" s="50">
        <v>2</v>
      </c>
      <c r="B418" s="51" t="str">
        <f ca="1">IF($A418="","",NumList())</f>
        <v>4.5</v>
      </c>
      <c r="C418" s="62" t="s">
        <v>207</v>
      </c>
      <c r="D418" s="55">
        <f t="shared" si="47"/>
        <v>0</v>
      </c>
      <c r="E418" s="55"/>
      <c r="F418" s="55">
        <f t="shared" ca="1" si="55"/>
        <v>0</v>
      </c>
      <c r="G418" s="59"/>
      <c r="H418" s="60"/>
      <c r="I418" s="60">
        <f t="shared" ca="1" si="53"/>
        <v>0</v>
      </c>
    </row>
    <row r="419" spans="1:9" s="58" customFormat="1" ht="14.25">
      <c r="A419" s="50">
        <v>3</v>
      </c>
      <c r="B419" s="51" t="str">
        <f ca="1">IF($A419="","",NumList())</f>
        <v>4.5.1</v>
      </c>
      <c r="C419" s="62" t="s">
        <v>33</v>
      </c>
      <c r="D419" s="55">
        <f t="shared" ref="D419:D482" si="63">IF(ISTEXT(G419),1,0)</f>
        <v>1</v>
      </c>
      <c r="E419" s="55"/>
      <c r="F419" s="55">
        <f t="shared" ca="1" si="55"/>
        <v>4</v>
      </c>
      <c r="G419" s="59" t="s">
        <v>8</v>
      </c>
      <c r="H419" s="60">
        <f ca="1">RANDBETWEEN(1,100)</f>
        <v>1</v>
      </c>
      <c r="I419" s="60">
        <f t="shared" ca="1" si="53"/>
        <v>4</v>
      </c>
    </row>
    <row r="420" spans="1:9" s="58" customFormat="1" ht="14.25">
      <c r="A420" s="50">
        <v>3</v>
      </c>
      <c r="B420" s="51" t="str">
        <f ca="1">IF($A420="","",NumList())</f>
        <v>4.5.2</v>
      </c>
      <c r="C420" s="62" t="s">
        <v>161</v>
      </c>
      <c r="D420" s="55">
        <f t="shared" si="63"/>
        <v>1</v>
      </c>
      <c r="E420" s="55"/>
      <c r="F420" s="55">
        <f t="shared" ca="1" si="55"/>
        <v>95</v>
      </c>
      <c r="G420" s="59" t="s">
        <v>8</v>
      </c>
      <c r="H420" s="60">
        <f t="shared" ref="H420:H422" ca="1" si="64">RANDBETWEEN(1,100)</f>
        <v>71</v>
      </c>
      <c r="I420" s="60">
        <f t="shared" ca="1" si="53"/>
        <v>6745</v>
      </c>
    </row>
    <row r="421" spans="1:9" s="58" customFormat="1" ht="14.25">
      <c r="A421" s="50">
        <v>3</v>
      </c>
      <c r="B421" s="51" t="str">
        <f ca="1">IF($A421="","",NumList())</f>
        <v>4.5.3</v>
      </c>
      <c r="C421" s="62" t="s">
        <v>162</v>
      </c>
      <c r="D421" s="55">
        <f t="shared" si="63"/>
        <v>1</v>
      </c>
      <c r="E421" s="55"/>
      <c r="F421" s="55">
        <f t="shared" ca="1" si="55"/>
        <v>81</v>
      </c>
      <c r="G421" s="59" t="s">
        <v>8</v>
      </c>
      <c r="H421" s="60">
        <f t="shared" ca="1" si="64"/>
        <v>2</v>
      </c>
      <c r="I421" s="60">
        <f t="shared" ca="1" si="53"/>
        <v>162</v>
      </c>
    </row>
    <row r="422" spans="1:9" s="58" customFormat="1" ht="14.25">
      <c r="A422" s="50">
        <v>3</v>
      </c>
      <c r="B422" s="51" t="str">
        <f ca="1">IF($A422="","",NumList())</f>
        <v>4.5.4</v>
      </c>
      <c r="C422" s="62" t="s">
        <v>163</v>
      </c>
      <c r="D422" s="55">
        <f t="shared" si="63"/>
        <v>1</v>
      </c>
      <c r="E422" s="55"/>
      <c r="F422" s="55">
        <f t="shared" ca="1" si="55"/>
        <v>47</v>
      </c>
      <c r="G422" s="59" t="s">
        <v>8</v>
      </c>
      <c r="H422" s="60">
        <f t="shared" ca="1" si="64"/>
        <v>97</v>
      </c>
      <c r="I422" s="60">
        <f t="shared" ca="1" si="53"/>
        <v>4559</v>
      </c>
    </row>
    <row r="423" spans="1:9" s="58" customFormat="1" ht="14.25">
      <c r="A423" s="50" t="s">
        <v>516</v>
      </c>
      <c r="B423" s="51" t="str">
        <f>IF($A423="","",NumList())</f>
        <v/>
      </c>
      <c r="C423" s="61"/>
      <c r="D423" s="55">
        <f t="shared" si="63"/>
        <v>0</v>
      </c>
      <c r="E423" s="55"/>
      <c r="F423" s="55">
        <f t="shared" ca="1" si="55"/>
        <v>0</v>
      </c>
      <c r="G423" s="59"/>
      <c r="H423" s="60"/>
      <c r="I423" s="60">
        <f t="shared" ca="1" si="53"/>
        <v>0</v>
      </c>
    </row>
    <row r="424" spans="1:9" s="58" customFormat="1" ht="14.25">
      <c r="A424" s="50">
        <v>2</v>
      </c>
      <c r="B424" s="51" t="str">
        <f ca="1">IF($A424="","",NumList())</f>
        <v>4.6</v>
      </c>
      <c r="C424" s="62" t="s">
        <v>7</v>
      </c>
      <c r="D424" s="55">
        <f t="shared" si="63"/>
        <v>0</v>
      </c>
      <c r="E424" s="55"/>
      <c r="F424" s="55">
        <f t="shared" ca="1" si="55"/>
        <v>0</v>
      </c>
      <c r="G424" s="59"/>
      <c r="H424" s="60"/>
      <c r="I424" s="60">
        <f t="shared" ca="1" si="53"/>
        <v>0</v>
      </c>
    </row>
    <row r="425" spans="1:9" s="58" customFormat="1" ht="14.25">
      <c r="A425" s="50">
        <v>3</v>
      </c>
      <c r="B425" s="51" t="str">
        <f ca="1">IF($A425="","",NumList())</f>
        <v>4.6.1</v>
      </c>
      <c r="C425" s="62" t="s">
        <v>164</v>
      </c>
      <c r="D425" s="55">
        <f t="shared" si="63"/>
        <v>1</v>
      </c>
      <c r="E425" s="55"/>
      <c r="F425" s="55">
        <f t="shared" ca="1" si="55"/>
        <v>50</v>
      </c>
      <c r="G425" s="59" t="s">
        <v>8</v>
      </c>
      <c r="H425" s="60">
        <f ca="1">RANDBETWEEN(1,100)</f>
        <v>43</v>
      </c>
      <c r="I425" s="60">
        <f t="shared" ca="1" si="53"/>
        <v>2150</v>
      </c>
    </row>
    <row r="426" spans="1:9" s="58" customFormat="1" ht="14.25">
      <c r="A426" s="50">
        <v>3</v>
      </c>
      <c r="B426" s="51" t="str">
        <f ca="1">IF($A426="","",NumList())</f>
        <v>4.6.2</v>
      </c>
      <c r="C426" s="62" t="s">
        <v>165</v>
      </c>
      <c r="D426" s="55">
        <f t="shared" si="63"/>
        <v>1</v>
      </c>
      <c r="E426" s="55"/>
      <c r="F426" s="55">
        <f t="shared" ca="1" si="55"/>
        <v>1</v>
      </c>
      <c r="G426" s="59" t="s">
        <v>8</v>
      </c>
      <c r="H426" s="60">
        <f t="shared" ref="H426:H433" ca="1" si="65">RANDBETWEEN(1,100)</f>
        <v>81</v>
      </c>
      <c r="I426" s="60">
        <f t="shared" ca="1" si="53"/>
        <v>81</v>
      </c>
    </row>
    <row r="427" spans="1:9" s="58" customFormat="1" ht="14.25">
      <c r="A427" s="50">
        <v>3</v>
      </c>
      <c r="B427" s="51" t="str">
        <f ca="1">IF($A427="","",NumList())</f>
        <v>4.6.3</v>
      </c>
      <c r="C427" s="62" t="s">
        <v>166</v>
      </c>
      <c r="D427" s="55">
        <f t="shared" si="63"/>
        <v>1</v>
      </c>
      <c r="E427" s="55"/>
      <c r="F427" s="55">
        <f t="shared" ca="1" si="55"/>
        <v>11</v>
      </c>
      <c r="G427" s="59" t="s">
        <v>8</v>
      </c>
      <c r="H427" s="60">
        <f t="shared" ca="1" si="65"/>
        <v>91</v>
      </c>
      <c r="I427" s="60">
        <f t="shared" ca="1" si="53"/>
        <v>1001</v>
      </c>
    </row>
    <row r="428" spans="1:9" s="58" customFormat="1" ht="14.25" customHeight="1">
      <c r="A428" s="50">
        <v>3</v>
      </c>
      <c r="B428" s="51" t="str">
        <f ca="1">IF($A428="","",NumList())</f>
        <v>4.6.4</v>
      </c>
      <c r="C428" s="62" t="s">
        <v>212</v>
      </c>
      <c r="D428" s="55">
        <f t="shared" si="63"/>
        <v>1</v>
      </c>
      <c r="E428" s="55"/>
      <c r="F428" s="55">
        <f t="shared" ca="1" si="55"/>
        <v>18</v>
      </c>
      <c r="G428" s="59" t="s">
        <v>8</v>
      </c>
      <c r="H428" s="60">
        <f t="shared" ca="1" si="65"/>
        <v>79</v>
      </c>
      <c r="I428" s="60">
        <f t="shared" ca="1" si="53"/>
        <v>1422</v>
      </c>
    </row>
    <row r="429" spans="1:9" s="58" customFormat="1" ht="14.25" customHeight="1">
      <c r="A429" s="50">
        <v>3</v>
      </c>
      <c r="B429" s="51" t="str">
        <f ca="1">IF($A429="","",NumList())</f>
        <v>4.6.5</v>
      </c>
      <c r="C429" s="62" t="s">
        <v>213</v>
      </c>
      <c r="D429" s="55">
        <f t="shared" si="63"/>
        <v>1</v>
      </c>
      <c r="E429" s="55"/>
      <c r="F429" s="55">
        <f t="shared" ca="1" si="55"/>
        <v>14</v>
      </c>
      <c r="G429" s="59" t="s">
        <v>8</v>
      </c>
      <c r="H429" s="60">
        <f t="shared" ca="1" si="65"/>
        <v>57</v>
      </c>
      <c r="I429" s="60">
        <f t="shared" ca="1" si="53"/>
        <v>798</v>
      </c>
    </row>
    <row r="430" spans="1:9" s="58" customFormat="1" ht="14.25">
      <c r="A430" s="50">
        <v>3</v>
      </c>
      <c r="B430" s="51" t="str">
        <f ca="1">IF($A430="","",NumList())</f>
        <v>4.6.6</v>
      </c>
      <c r="C430" s="62" t="s">
        <v>167</v>
      </c>
      <c r="D430" s="55">
        <f t="shared" si="63"/>
        <v>1</v>
      </c>
      <c r="E430" s="55"/>
      <c r="F430" s="55">
        <f t="shared" ca="1" si="55"/>
        <v>61</v>
      </c>
      <c r="G430" s="59" t="s">
        <v>6</v>
      </c>
      <c r="H430" s="60">
        <f t="shared" ca="1" si="65"/>
        <v>65</v>
      </c>
      <c r="I430" s="60">
        <f t="shared" ca="1" si="53"/>
        <v>3965</v>
      </c>
    </row>
    <row r="431" spans="1:9" s="58" customFormat="1" ht="14.25">
      <c r="A431" s="50">
        <v>3</v>
      </c>
      <c r="B431" s="51" t="str">
        <f ca="1">IF($A431="","",NumList())</f>
        <v>4.6.7</v>
      </c>
      <c r="C431" s="62" t="s">
        <v>168</v>
      </c>
      <c r="D431" s="55">
        <f t="shared" si="63"/>
        <v>1</v>
      </c>
      <c r="E431" s="55"/>
      <c r="F431" s="55">
        <f t="shared" ca="1" si="55"/>
        <v>64</v>
      </c>
      <c r="G431" s="59" t="s">
        <v>8</v>
      </c>
      <c r="H431" s="60">
        <f t="shared" ca="1" si="65"/>
        <v>60</v>
      </c>
      <c r="I431" s="60">
        <f t="shared" ca="1" si="53"/>
        <v>3840</v>
      </c>
    </row>
    <row r="432" spans="1:9" s="58" customFormat="1" ht="14.25">
      <c r="A432" s="50">
        <v>3</v>
      </c>
      <c r="B432" s="51" t="str">
        <f ca="1">IF($A432="","",NumList())</f>
        <v>4.6.8</v>
      </c>
      <c r="C432" s="62" t="s">
        <v>210</v>
      </c>
      <c r="D432" s="55">
        <f t="shared" si="63"/>
        <v>1</v>
      </c>
      <c r="E432" s="55"/>
      <c r="F432" s="55">
        <f t="shared" ca="1" si="55"/>
        <v>63</v>
      </c>
      <c r="G432" s="59" t="s">
        <v>8</v>
      </c>
      <c r="H432" s="60">
        <f t="shared" ca="1" si="65"/>
        <v>38</v>
      </c>
      <c r="I432" s="60">
        <f t="shared" ca="1" si="53"/>
        <v>2394</v>
      </c>
    </row>
    <row r="433" spans="1:10" s="58" customFormat="1" ht="28.5">
      <c r="A433" s="50">
        <v>3</v>
      </c>
      <c r="B433" s="51" t="str">
        <f ca="1">IF($A433="","",NumList())</f>
        <v>4.6.9</v>
      </c>
      <c r="C433" s="62" t="s">
        <v>307</v>
      </c>
      <c r="D433" s="55">
        <f t="shared" si="63"/>
        <v>1</v>
      </c>
      <c r="E433" s="55"/>
      <c r="F433" s="55">
        <f t="shared" ca="1" si="55"/>
        <v>59</v>
      </c>
      <c r="G433" s="59" t="s">
        <v>8</v>
      </c>
      <c r="H433" s="60">
        <f t="shared" ca="1" si="65"/>
        <v>88</v>
      </c>
      <c r="I433" s="60">
        <f t="shared" ca="1" si="53"/>
        <v>5192</v>
      </c>
    </row>
    <row r="434" spans="1:10" s="58" customFormat="1" ht="14.25">
      <c r="A434" s="50" t="s">
        <v>516</v>
      </c>
      <c r="B434" s="51" t="str">
        <f>IF($A434="","",NumList())</f>
        <v/>
      </c>
      <c r="C434" s="62" t="s">
        <v>302</v>
      </c>
      <c r="D434" s="55">
        <f t="shared" si="63"/>
        <v>0</v>
      </c>
      <c r="E434" s="55"/>
      <c r="F434" s="55">
        <f t="shared" ca="1" si="55"/>
        <v>0</v>
      </c>
      <c r="G434" s="59"/>
      <c r="H434" s="60"/>
      <c r="I434" s="60">
        <f t="shared" ca="1" si="53"/>
        <v>0</v>
      </c>
    </row>
    <row r="435" spans="1:10" s="58" customFormat="1" ht="14.25">
      <c r="A435" s="50" t="s">
        <v>516</v>
      </c>
      <c r="B435" s="51" t="str">
        <f>IF($A435="","",NumList())</f>
        <v/>
      </c>
      <c r="C435" s="62" t="s">
        <v>303</v>
      </c>
      <c r="D435" s="55">
        <f t="shared" si="63"/>
        <v>0</v>
      </c>
      <c r="E435" s="55"/>
      <c r="F435" s="55">
        <f t="shared" ca="1" si="55"/>
        <v>0</v>
      </c>
      <c r="G435" s="59"/>
      <c r="H435" s="60"/>
      <c r="I435" s="60">
        <f t="shared" ca="1" si="53"/>
        <v>0</v>
      </c>
    </row>
    <row r="436" spans="1:10" s="58" customFormat="1" ht="14.25">
      <c r="A436" s="50" t="s">
        <v>516</v>
      </c>
      <c r="B436" s="51" t="str">
        <f>IF($A436="","",NumList())</f>
        <v/>
      </c>
      <c r="C436" s="62" t="s">
        <v>304</v>
      </c>
      <c r="D436" s="55">
        <f t="shared" si="63"/>
        <v>0</v>
      </c>
      <c r="E436" s="55"/>
      <c r="F436" s="55">
        <f t="shared" ca="1" si="55"/>
        <v>0</v>
      </c>
      <c r="G436" s="59"/>
      <c r="H436" s="60"/>
      <c r="I436" s="60">
        <f t="shared" ca="1" si="53"/>
        <v>0</v>
      </c>
    </row>
    <row r="437" spans="1:10" s="58" customFormat="1" ht="28.5">
      <c r="A437" s="50">
        <v>3</v>
      </c>
      <c r="B437" s="51" t="str">
        <f ca="1">IF($A437="","",NumList())</f>
        <v>4.6.10</v>
      </c>
      <c r="C437" s="62" t="s">
        <v>308</v>
      </c>
      <c r="D437" s="55">
        <f t="shared" si="63"/>
        <v>1</v>
      </c>
      <c r="E437" s="55"/>
      <c r="F437" s="55">
        <f t="shared" ca="1" si="55"/>
        <v>62</v>
      </c>
      <c r="G437" s="59" t="s">
        <v>8</v>
      </c>
      <c r="H437" s="60">
        <f ca="1">RANDBETWEEN(1,100)</f>
        <v>53</v>
      </c>
      <c r="I437" s="60">
        <f t="shared" ca="1" si="53"/>
        <v>3286</v>
      </c>
    </row>
    <row r="438" spans="1:10" s="58" customFormat="1" ht="14.25">
      <c r="A438" s="50" t="s">
        <v>516</v>
      </c>
      <c r="B438" s="51" t="str">
        <f>IF($A438="","",NumList())</f>
        <v/>
      </c>
      <c r="C438" s="62" t="s">
        <v>302</v>
      </c>
      <c r="D438" s="55">
        <f t="shared" si="63"/>
        <v>0</v>
      </c>
      <c r="E438" s="55"/>
      <c r="F438" s="55">
        <f t="shared" ca="1" si="55"/>
        <v>0</v>
      </c>
      <c r="G438" s="59"/>
      <c r="H438" s="60"/>
      <c r="I438" s="60">
        <f t="shared" ref="I438:I501" ca="1" si="66">F438*H438</f>
        <v>0</v>
      </c>
    </row>
    <row r="439" spans="1:10" s="58" customFormat="1" ht="14.25">
      <c r="A439" s="50" t="s">
        <v>516</v>
      </c>
      <c r="B439" s="51" t="str">
        <f>IF($A439="","",NumList())</f>
        <v/>
      </c>
      <c r="C439" s="62" t="s">
        <v>303</v>
      </c>
      <c r="D439" s="55">
        <f t="shared" si="63"/>
        <v>0</v>
      </c>
      <c r="E439" s="55"/>
      <c r="F439" s="55">
        <f t="shared" ca="1" si="55"/>
        <v>0</v>
      </c>
      <c r="G439" s="59"/>
      <c r="H439" s="60"/>
      <c r="I439" s="60">
        <f t="shared" ca="1" si="66"/>
        <v>0</v>
      </c>
    </row>
    <row r="440" spans="1:10" s="58" customFormat="1" ht="14.25">
      <c r="A440" s="50" t="s">
        <v>516</v>
      </c>
      <c r="B440" s="51" t="str">
        <f>IF($A440="","",NumList())</f>
        <v/>
      </c>
      <c r="C440" s="62" t="s">
        <v>304</v>
      </c>
      <c r="D440" s="55">
        <f t="shared" si="63"/>
        <v>0</v>
      </c>
      <c r="E440" s="55"/>
      <c r="F440" s="55">
        <f t="shared" ca="1" si="55"/>
        <v>0</v>
      </c>
      <c r="G440" s="59"/>
      <c r="H440" s="60"/>
      <c r="I440" s="60">
        <f t="shared" ca="1" si="66"/>
        <v>0</v>
      </c>
    </row>
    <row r="441" spans="1:10" s="58" customFormat="1" ht="14.25">
      <c r="A441" s="50">
        <v>3</v>
      </c>
      <c r="B441" s="51" t="str">
        <f ca="1">IF($A441="","",NumList())</f>
        <v>4.6.11</v>
      </c>
      <c r="C441" s="62" t="s">
        <v>211</v>
      </c>
      <c r="D441" s="55">
        <f t="shared" si="63"/>
        <v>1</v>
      </c>
      <c r="E441" s="55"/>
      <c r="F441" s="55">
        <f t="shared" ca="1" si="55"/>
        <v>67</v>
      </c>
      <c r="G441" s="59" t="s">
        <v>81</v>
      </c>
      <c r="H441" s="60">
        <f ca="1">RANDBETWEEN(1,100)</f>
        <v>32</v>
      </c>
      <c r="I441" s="60">
        <f t="shared" ca="1" si="66"/>
        <v>2144</v>
      </c>
    </row>
    <row r="442" spans="1:10" s="58" customFormat="1" ht="15">
      <c r="A442" s="50">
        <v>3</v>
      </c>
      <c r="B442" s="51" t="str">
        <f ca="1">IF($A442="","",NumList())</f>
        <v>4.6.12</v>
      </c>
      <c r="C442" s="62" t="s">
        <v>539</v>
      </c>
      <c r="D442" s="55">
        <f t="shared" si="63"/>
        <v>1</v>
      </c>
      <c r="E442" s="55"/>
      <c r="F442" s="55">
        <f t="shared" ca="1" si="55"/>
        <v>27</v>
      </c>
      <c r="G442" s="59" t="s">
        <v>8</v>
      </c>
      <c r="H442" s="60">
        <f t="shared" ref="H442:H443" ca="1" si="67">RANDBETWEEN(1,100)</f>
        <v>68</v>
      </c>
      <c r="I442" s="60">
        <f t="shared" ca="1" si="66"/>
        <v>1836</v>
      </c>
    </row>
    <row r="443" spans="1:10" s="58" customFormat="1" ht="15">
      <c r="A443" s="50">
        <v>3</v>
      </c>
      <c r="B443" s="51" t="str">
        <f ca="1">IF($A443="","",NumList())</f>
        <v>4.6.13</v>
      </c>
      <c r="C443" s="62" t="s">
        <v>540</v>
      </c>
      <c r="D443" s="55">
        <f t="shared" si="63"/>
        <v>1</v>
      </c>
      <c r="E443" s="55"/>
      <c r="F443" s="55">
        <f t="shared" ca="1" si="55"/>
        <v>66</v>
      </c>
      <c r="G443" s="59" t="s">
        <v>8</v>
      </c>
      <c r="H443" s="60">
        <f t="shared" ca="1" si="67"/>
        <v>20</v>
      </c>
      <c r="I443" s="60">
        <f t="shared" ca="1" si="66"/>
        <v>1320</v>
      </c>
    </row>
    <row r="444" spans="1:10" s="58" customFormat="1" ht="14.25">
      <c r="A444" s="50" t="s">
        <v>516</v>
      </c>
      <c r="B444" s="51" t="str">
        <f>IF($A444="","",NumList())</f>
        <v/>
      </c>
      <c r="C444" s="62"/>
      <c r="D444" s="55">
        <f t="shared" si="63"/>
        <v>0</v>
      </c>
      <c r="E444" s="55"/>
      <c r="F444" s="55">
        <f t="shared" ca="1" si="55"/>
        <v>0</v>
      </c>
      <c r="G444" s="59"/>
      <c r="H444" s="60"/>
      <c r="I444" s="60">
        <f t="shared" ca="1" si="66"/>
        <v>0</v>
      </c>
    </row>
    <row r="445" spans="1:10" s="41" customFormat="1" ht="15">
      <c r="A445" s="50">
        <v>1</v>
      </c>
      <c r="B445" s="51">
        <f ca="1">IF($A445="","",NumList())</f>
        <v>5</v>
      </c>
      <c r="C445" s="69" t="s">
        <v>169</v>
      </c>
      <c r="D445" s="55">
        <f t="shared" si="63"/>
        <v>0</v>
      </c>
      <c r="E445" s="48"/>
      <c r="F445" s="55">
        <f t="shared" ca="1" si="55"/>
        <v>0</v>
      </c>
      <c r="G445" s="64"/>
      <c r="H445" s="60"/>
      <c r="I445" s="60">
        <f t="shared" ca="1" si="66"/>
        <v>0</v>
      </c>
      <c r="J445" s="58"/>
    </row>
    <row r="446" spans="1:10" s="58" customFormat="1" ht="14.25">
      <c r="A446" s="50">
        <v>2</v>
      </c>
      <c r="B446" s="51" t="str">
        <f ca="1">IF($A446="","",NumList())</f>
        <v>5.1</v>
      </c>
      <c r="C446" s="61" t="s">
        <v>244</v>
      </c>
      <c r="D446" s="55">
        <f t="shared" si="63"/>
        <v>0</v>
      </c>
      <c r="E446" s="55"/>
      <c r="F446" s="55">
        <f t="shared" ca="1" si="55"/>
        <v>0</v>
      </c>
      <c r="G446" s="59"/>
      <c r="H446" s="60"/>
      <c r="I446" s="60">
        <f t="shared" ca="1" si="66"/>
        <v>0</v>
      </c>
    </row>
    <row r="447" spans="1:10" s="58" customFormat="1" ht="14.25">
      <c r="A447" s="50">
        <v>3</v>
      </c>
      <c r="B447" s="51" t="str">
        <f ca="1">IF($A447="","",NumList())</f>
        <v>5.1.1</v>
      </c>
      <c r="C447" s="62" t="s">
        <v>170</v>
      </c>
      <c r="D447" s="55">
        <f t="shared" si="63"/>
        <v>1</v>
      </c>
      <c r="E447" s="55"/>
      <c r="F447" s="55">
        <f t="shared" ref="F447:F510" ca="1" si="68">IF(ISTEXT(G447),RANDBETWEEN(1,100),0)</f>
        <v>54</v>
      </c>
      <c r="G447" s="59" t="s">
        <v>8</v>
      </c>
      <c r="H447" s="60">
        <f ca="1">RANDBETWEEN(1,100)</f>
        <v>67</v>
      </c>
      <c r="I447" s="60">
        <f t="shared" ca="1" si="66"/>
        <v>3618</v>
      </c>
    </row>
    <row r="448" spans="1:10" s="58" customFormat="1" ht="14.25">
      <c r="A448" s="50">
        <v>3</v>
      </c>
      <c r="B448" s="51" t="str">
        <f ca="1">IF($A448="","",NumList())</f>
        <v>5.1.2</v>
      </c>
      <c r="C448" s="62" t="s">
        <v>171</v>
      </c>
      <c r="D448" s="55">
        <f t="shared" si="63"/>
        <v>1</v>
      </c>
      <c r="E448" s="55"/>
      <c r="F448" s="55">
        <f t="shared" ca="1" si="68"/>
        <v>9</v>
      </c>
      <c r="G448" s="59" t="s">
        <v>8</v>
      </c>
      <c r="H448" s="60">
        <f t="shared" ref="H448:H449" ca="1" si="69">RANDBETWEEN(1,100)</f>
        <v>65</v>
      </c>
      <c r="I448" s="60">
        <f t="shared" ca="1" si="66"/>
        <v>585</v>
      </c>
    </row>
    <row r="449" spans="1:9" s="58" customFormat="1" ht="14.25">
      <c r="A449" s="50">
        <v>3</v>
      </c>
      <c r="B449" s="51" t="str">
        <f ca="1">IF($A449="","",NumList())</f>
        <v>5.1.3</v>
      </c>
      <c r="C449" s="62" t="s">
        <v>246</v>
      </c>
      <c r="D449" s="55">
        <f t="shared" si="63"/>
        <v>1</v>
      </c>
      <c r="E449" s="55"/>
      <c r="F449" s="55">
        <f t="shared" ca="1" si="68"/>
        <v>45</v>
      </c>
      <c r="G449" s="59" t="s">
        <v>8</v>
      </c>
      <c r="H449" s="60">
        <f t="shared" ca="1" si="69"/>
        <v>8</v>
      </c>
      <c r="I449" s="60">
        <f t="shared" ca="1" si="66"/>
        <v>360</v>
      </c>
    </row>
    <row r="450" spans="1:9" s="58" customFormat="1" ht="14.25">
      <c r="A450" s="50" t="s">
        <v>516</v>
      </c>
      <c r="B450" s="51" t="str">
        <f>IF($A450="","",NumList())</f>
        <v/>
      </c>
      <c r="C450" s="62"/>
      <c r="D450" s="55">
        <f t="shared" si="63"/>
        <v>0</v>
      </c>
      <c r="E450" s="55"/>
      <c r="F450" s="55">
        <f t="shared" ca="1" si="68"/>
        <v>0</v>
      </c>
      <c r="G450" s="59"/>
      <c r="H450" s="60"/>
      <c r="I450" s="60">
        <f t="shared" ca="1" si="66"/>
        <v>0</v>
      </c>
    </row>
    <row r="451" spans="1:9" s="58" customFormat="1" ht="14.25">
      <c r="A451" s="50">
        <v>2</v>
      </c>
      <c r="B451" s="51" t="str">
        <f ca="1">IF($A451="","",NumList())</f>
        <v>5.2</v>
      </c>
      <c r="C451" s="61" t="s">
        <v>243</v>
      </c>
      <c r="D451" s="55">
        <f t="shared" si="63"/>
        <v>0</v>
      </c>
      <c r="E451" s="55"/>
      <c r="F451" s="55">
        <f t="shared" ca="1" si="68"/>
        <v>0</v>
      </c>
      <c r="G451" s="59"/>
      <c r="H451" s="60"/>
      <c r="I451" s="60">
        <f t="shared" ca="1" si="66"/>
        <v>0</v>
      </c>
    </row>
    <row r="452" spans="1:9" s="58" customFormat="1" ht="14.25">
      <c r="A452" s="50">
        <v>3</v>
      </c>
      <c r="B452" s="51" t="str">
        <f ca="1">IF($A452="","",NumList())</f>
        <v>5.2.1</v>
      </c>
      <c r="C452" s="62" t="s">
        <v>170</v>
      </c>
      <c r="D452" s="55">
        <f t="shared" si="63"/>
        <v>1</v>
      </c>
      <c r="E452" s="55"/>
      <c r="F452" s="55">
        <f t="shared" ca="1" si="68"/>
        <v>11</v>
      </c>
      <c r="G452" s="59" t="s">
        <v>8</v>
      </c>
      <c r="H452" s="60">
        <f ca="1">RANDBETWEEN(1,100)</f>
        <v>84</v>
      </c>
      <c r="I452" s="60">
        <f t="shared" ca="1" si="66"/>
        <v>924</v>
      </c>
    </row>
    <row r="453" spans="1:9" s="58" customFormat="1" ht="14.25">
      <c r="A453" s="50">
        <v>3</v>
      </c>
      <c r="B453" s="51" t="str">
        <f ca="1">IF($A453="","",NumList())</f>
        <v>5.2.2</v>
      </c>
      <c r="C453" s="62" t="s">
        <v>171</v>
      </c>
      <c r="D453" s="55">
        <f t="shared" si="63"/>
        <v>1</v>
      </c>
      <c r="E453" s="55"/>
      <c r="F453" s="55">
        <f t="shared" ca="1" si="68"/>
        <v>47</v>
      </c>
      <c r="G453" s="59" t="s">
        <v>8</v>
      </c>
      <c r="H453" s="60">
        <f t="shared" ref="H453:H454" ca="1" si="70">RANDBETWEEN(1,100)</f>
        <v>71</v>
      </c>
      <c r="I453" s="60">
        <f t="shared" ca="1" si="66"/>
        <v>3337</v>
      </c>
    </row>
    <row r="454" spans="1:9" s="58" customFormat="1" ht="14.25">
      <c r="A454" s="50">
        <v>3</v>
      </c>
      <c r="B454" s="51" t="str">
        <f ca="1">IF($A454="","",NumList())</f>
        <v>5.2.3</v>
      </c>
      <c r="C454" s="62" t="s">
        <v>245</v>
      </c>
      <c r="D454" s="55">
        <f t="shared" si="63"/>
        <v>1</v>
      </c>
      <c r="E454" s="55"/>
      <c r="F454" s="55">
        <f t="shared" ca="1" si="68"/>
        <v>19</v>
      </c>
      <c r="G454" s="59" t="s">
        <v>8</v>
      </c>
      <c r="H454" s="60">
        <f t="shared" ca="1" si="70"/>
        <v>88</v>
      </c>
      <c r="I454" s="60">
        <f t="shared" ca="1" si="66"/>
        <v>1672</v>
      </c>
    </row>
    <row r="455" spans="1:9" s="58" customFormat="1" ht="14.25">
      <c r="A455" s="50" t="s">
        <v>516</v>
      </c>
      <c r="B455" s="51" t="str">
        <f>IF($A455="","",NumList())</f>
        <v/>
      </c>
      <c r="C455" s="61"/>
      <c r="D455" s="55">
        <f t="shared" si="63"/>
        <v>0</v>
      </c>
      <c r="E455" s="55"/>
      <c r="F455" s="55">
        <f t="shared" ca="1" si="68"/>
        <v>0</v>
      </c>
      <c r="G455" s="59"/>
      <c r="H455" s="60"/>
      <c r="I455" s="60">
        <f t="shared" ca="1" si="66"/>
        <v>0</v>
      </c>
    </row>
    <row r="456" spans="1:9" s="58" customFormat="1" ht="14.25">
      <c r="A456" s="50">
        <v>2</v>
      </c>
      <c r="B456" s="51" t="str">
        <f ca="1">IF($A456="","",NumList())</f>
        <v>5.3</v>
      </c>
      <c r="C456" s="62" t="s">
        <v>172</v>
      </c>
      <c r="D456" s="55">
        <f t="shared" si="63"/>
        <v>1</v>
      </c>
      <c r="E456" s="55"/>
      <c r="F456" s="55">
        <f t="shared" ca="1" si="68"/>
        <v>1</v>
      </c>
      <c r="G456" s="59" t="s">
        <v>6</v>
      </c>
      <c r="H456" s="60">
        <f ca="1">RANDBETWEEN(1,100)</f>
        <v>30</v>
      </c>
      <c r="I456" s="60">
        <f t="shared" ca="1" si="66"/>
        <v>30</v>
      </c>
    </row>
    <row r="457" spans="1:9" s="58" customFormat="1" ht="14.25">
      <c r="A457" s="50" t="s">
        <v>516</v>
      </c>
      <c r="B457" s="51" t="str">
        <f>IF($A457="","",NumList())</f>
        <v/>
      </c>
      <c r="C457" s="54"/>
      <c r="D457" s="55">
        <f t="shared" si="63"/>
        <v>0</v>
      </c>
      <c r="E457" s="55"/>
      <c r="F457" s="55">
        <f t="shared" ca="1" si="68"/>
        <v>0</v>
      </c>
      <c r="G457" s="59"/>
      <c r="H457" s="60"/>
      <c r="I457" s="60">
        <f t="shared" ca="1" si="66"/>
        <v>0</v>
      </c>
    </row>
    <row r="458" spans="1:9" s="41" customFormat="1" ht="15">
      <c r="A458" s="50">
        <v>1</v>
      </c>
      <c r="B458" s="51">
        <f ca="1">IF($A458="","",NumList())</f>
        <v>6</v>
      </c>
      <c r="C458" s="52" t="s">
        <v>7</v>
      </c>
      <c r="D458" s="55">
        <f t="shared" si="63"/>
        <v>0</v>
      </c>
      <c r="E458" s="48"/>
      <c r="F458" s="55">
        <f t="shared" ca="1" si="68"/>
        <v>0</v>
      </c>
      <c r="G458" s="64"/>
      <c r="H458" s="60"/>
      <c r="I458" s="60">
        <f t="shared" ca="1" si="66"/>
        <v>0</v>
      </c>
    </row>
    <row r="459" spans="1:9" s="41" customFormat="1" ht="14.25" customHeight="1">
      <c r="A459" s="50">
        <v>2</v>
      </c>
      <c r="B459" s="51" t="str">
        <f ca="1">IF($A459="","",NumList())</f>
        <v>6.1</v>
      </c>
      <c r="C459" s="61" t="s">
        <v>218</v>
      </c>
      <c r="D459" s="55">
        <f t="shared" si="63"/>
        <v>1</v>
      </c>
      <c r="E459" s="55"/>
      <c r="F459" s="55">
        <f t="shared" ca="1" si="68"/>
        <v>27</v>
      </c>
      <c r="G459" s="59" t="s">
        <v>8</v>
      </c>
      <c r="H459" s="60">
        <f ca="1">RANDBETWEEN(1,100)</f>
        <v>49</v>
      </c>
      <c r="I459" s="60">
        <f t="shared" ca="1" si="66"/>
        <v>1323</v>
      </c>
    </row>
    <row r="460" spans="1:9" s="41" customFormat="1" ht="14.25" customHeight="1">
      <c r="A460" s="50">
        <v>3</v>
      </c>
      <c r="B460" s="51" t="str">
        <f ca="1">IF($A460="","",NumList())</f>
        <v>6.1.1</v>
      </c>
      <c r="C460" s="61" t="s">
        <v>173</v>
      </c>
      <c r="D460" s="55">
        <f t="shared" si="63"/>
        <v>1</v>
      </c>
      <c r="E460" s="55"/>
      <c r="F460" s="55">
        <f t="shared" ca="1" si="68"/>
        <v>77</v>
      </c>
      <c r="G460" s="59" t="s">
        <v>8</v>
      </c>
      <c r="H460" s="60">
        <f t="shared" ref="H460:H462" ca="1" si="71">RANDBETWEEN(1,100)</f>
        <v>28</v>
      </c>
      <c r="I460" s="60">
        <f t="shared" ca="1" si="66"/>
        <v>2156</v>
      </c>
    </row>
    <row r="461" spans="1:9" s="58" customFormat="1" ht="14.25">
      <c r="A461" s="50">
        <v>3</v>
      </c>
      <c r="B461" s="51" t="str">
        <f ca="1">IF($A461="","",NumList())</f>
        <v>6.1.2</v>
      </c>
      <c r="C461" s="61" t="s">
        <v>174</v>
      </c>
      <c r="D461" s="55">
        <f t="shared" si="63"/>
        <v>1</v>
      </c>
      <c r="E461" s="55"/>
      <c r="F461" s="55">
        <f t="shared" ca="1" si="68"/>
        <v>51</v>
      </c>
      <c r="G461" s="59" t="s">
        <v>8</v>
      </c>
      <c r="H461" s="60">
        <f t="shared" ca="1" si="71"/>
        <v>91</v>
      </c>
      <c r="I461" s="60">
        <f t="shared" ca="1" si="66"/>
        <v>4641</v>
      </c>
    </row>
    <row r="462" spans="1:9" s="58" customFormat="1" ht="14.25">
      <c r="A462" s="50">
        <v>3</v>
      </c>
      <c r="B462" s="51" t="str">
        <f ca="1">IF($A462="","",NumList())</f>
        <v>6.1.3</v>
      </c>
      <c r="C462" s="61" t="s">
        <v>219</v>
      </c>
      <c r="D462" s="55">
        <f t="shared" si="63"/>
        <v>1</v>
      </c>
      <c r="E462" s="55"/>
      <c r="F462" s="55">
        <f t="shared" ca="1" si="68"/>
        <v>16</v>
      </c>
      <c r="G462" s="59" t="s">
        <v>8</v>
      </c>
      <c r="H462" s="60">
        <f t="shared" ca="1" si="71"/>
        <v>14</v>
      </c>
      <c r="I462" s="60">
        <f t="shared" ca="1" si="66"/>
        <v>224</v>
      </c>
    </row>
    <row r="463" spans="1:9" s="58" customFormat="1" ht="14.25">
      <c r="A463" s="50">
        <v>2</v>
      </c>
      <c r="B463" s="51" t="str">
        <f ca="1">IF($A463="","",NumList())</f>
        <v>6.2</v>
      </c>
      <c r="C463" s="62" t="s">
        <v>472</v>
      </c>
      <c r="D463" s="55">
        <f t="shared" si="63"/>
        <v>0</v>
      </c>
      <c r="E463" s="55"/>
      <c r="F463" s="55">
        <f t="shared" ca="1" si="68"/>
        <v>0</v>
      </c>
      <c r="G463" s="59"/>
      <c r="H463" s="60"/>
      <c r="I463" s="60">
        <f t="shared" ca="1" si="66"/>
        <v>0</v>
      </c>
    </row>
    <row r="464" spans="1:9" s="58" customFormat="1" ht="14.25">
      <c r="A464" s="50" t="s">
        <v>516</v>
      </c>
      <c r="B464" s="51" t="str">
        <f>IF($A464="","",NumList())</f>
        <v/>
      </c>
      <c r="C464" s="61" t="s">
        <v>215</v>
      </c>
      <c r="D464" s="55">
        <f t="shared" si="63"/>
        <v>1</v>
      </c>
      <c r="E464" s="55"/>
      <c r="F464" s="55">
        <f t="shared" ca="1" si="68"/>
        <v>43</v>
      </c>
      <c r="G464" s="59" t="s">
        <v>8</v>
      </c>
      <c r="H464" s="60">
        <f ca="1">RANDBETWEEN(1,100)</f>
        <v>15</v>
      </c>
      <c r="I464" s="60">
        <f t="shared" ca="1" si="66"/>
        <v>645</v>
      </c>
    </row>
    <row r="465" spans="1:9" s="58" customFormat="1" ht="14.25">
      <c r="A465" s="50" t="s">
        <v>516</v>
      </c>
      <c r="B465" s="51" t="str">
        <f>IF($A465="","",NumList())</f>
        <v/>
      </c>
      <c r="C465" s="61" t="s">
        <v>216</v>
      </c>
      <c r="D465" s="55">
        <f t="shared" si="63"/>
        <v>1</v>
      </c>
      <c r="E465" s="55"/>
      <c r="F465" s="55">
        <f t="shared" ca="1" si="68"/>
        <v>25</v>
      </c>
      <c r="G465" s="59" t="s">
        <v>8</v>
      </c>
      <c r="H465" s="60">
        <f t="shared" ref="H465:H467" ca="1" si="72">RANDBETWEEN(1,100)</f>
        <v>38</v>
      </c>
      <c r="I465" s="60">
        <f t="shared" ca="1" si="66"/>
        <v>950</v>
      </c>
    </row>
    <row r="466" spans="1:9" s="58" customFormat="1" ht="14.25">
      <c r="A466" s="50" t="s">
        <v>516</v>
      </c>
      <c r="B466" s="51" t="str">
        <f>IF($A466="","",NumList())</f>
        <v/>
      </c>
      <c r="C466" s="61" t="s">
        <v>175</v>
      </c>
      <c r="D466" s="55">
        <f t="shared" si="63"/>
        <v>1</v>
      </c>
      <c r="E466" s="55"/>
      <c r="F466" s="55">
        <f t="shared" ca="1" si="68"/>
        <v>81</v>
      </c>
      <c r="G466" s="59" t="s">
        <v>8</v>
      </c>
      <c r="H466" s="60">
        <f t="shared" ca="1" si="72"/>
        <v>50</v>
      </c>
      <c r="I466" s="60">
        <f t="shared" ca="1" si="66"/>
        <v>4050</v>
      </c>
    </row>
    <row r="467" spans="1:9" s="58" customFormat="1" ht="14.25">
      <c r="A467" s="50" t="s">
        <v>516</v>
      </c>
      <c r="B467" s="51" t="str">
        <f>IF($A467="","",NumList())</f>
        <v/>
      </c>
      <c r="C467" s="61" t="s">
        <v>217</v>
      </c>
      <c r="D467" s="55">
        <f t="shared" si="63"/>
        <v>1</v>
      </c>
      <c r="E467" s="55"/>
      <c r="F467" s="55">
        <f t="shared" ca="1" si="68"/>
        <v>61</v>
      </c>
      <c r="G467" s="59" t="s">
        <v>8</v>
      </c>
      <c r="H467" s="60">
        <f t="shared" ca="1" si="72"/>
        <v>69</v>
      </c>
      <c r="I467" s="60">
        <f t="shared" ca="1" si="66"/>
        <v>4209</v>
      </c>
    </row>
    <row r="468" spans="1:9" s="58" customFormat="1" ht="14.25">
      <c r="A468" s="50" t="s">
        <v>516</v>
      </c>
      <c r="B468" s="51" t="str">
        <f>IF($A468="","",NumList())</f>
        <v/>
      </c>
      <c r="C468" s="61" t="s">
        <v>461</v>
      </c>
      <c r="D468" s="55">
        <f t="shared" si="63"/>
        <v>0</v>
      </c>
      <c r="E468" s="55"/>
      <c r="F468" s="55">
        <f t="shared" ca="1" si="68"/>
        <v>0</v>
      </c>
      <c r="G468" s="59"/>
      <c r="H468" s="60"/>
      <c r="I468" s="60">
        <f t="shared" ca="1" si="66"/>
        <v>0</v>
      </c>
    </row>
    <row r="469" spans="1:9" s="58" customFormat="1" ht="14.25">
      <c r="A469" s="50">
        <v>2</v>
      </c>
      <c r="B469" s="51" t="str">
        <f ca="1">IF($A469="","",NumList())</f>
        <v>6.3</v>
      </c>
      <c r="C469" s="54" t="s">
        <v>176</v>
      </c>
      <c r="D469" s="55">
        <f t="shared" si="63"/>
        <v>1</v>
      </c>
      <c r="E469" s="55"/>
      <c r="F469" s="55">
        <f t="shared" ca="1" si="68"/>
        <v>11</v>
      </c>
      <c r="G469" s="59" t="s">
        <v>8</v>
      </c>
      <c r="H469" s="60">
        <f ca="1">RANDBETWEEN(1,100)</f>
        <v>94</v>
      </c>
      <c r="I469" s="60">
        <f t="shared" ca="1" si="66"/>
        <v>1034</v>
      </c>
    </row>
    <row r="470" spans="1:9" s="58" customFormat="1" ht="14.25">
      <c r="A470" s="50">
        <v>2</v>
      </c>
      <c r="B470" s="51" t="str">
        <f ca="1">IF($A470="","",NumList())</f>
        <v>6.4</v>
      </c>
      <c r="C470" s="54" t="s">
        <v>214</v>
      </c>
      <c r="D470" s="55">
        <f t="shared" si="63"/>
        <v>1</v>
      </c>
      <c r="E470" s="55"/>
      <c r="F470" s="55">
        <f t="shared" ca="1" si="68"/>
        <v>42</v>
      </c>
      <c r="G470" s="59" t="s">
        <v>6</v>
      </c>
      <c r="H470" s="60">
        <f ca="1">RANDBETWEEN(1,100)</f>
        <v>3</v>
      </c>
      <c r="I470" s="60">
        <f t="shared" ca="1" si="66"/>
        <v>126</v>
      </c>
    </row>
    <row r="471" spans="1:9" s="58" customFormat="1" ht="14.25">
      <c r="A471" s="50">
        <v>3</v>
      </c>
      <c r="B471" s="51" t="str">
        <f ca="1">IF($A471="","",NumList())</f>
        <v>6.4.1</v>
      </c>
      <c r="C471" s="54" t="s">
        <v>220</v>
      </c>
      <c r="D471" s="55">
        <f t="shared" si="63"/>
        <v>0</v>
      </c>
      <c r="E471" s="55"/>
      <c r="F471" s="55">
        <f t="shared" ca="1" si="68"/>
        <v>0</v>
      </c>
      <c r="G471" s="59"/>
      <c r="H471" s="60"/>
      <c r="I471" s="60">
        <f t="shared" ca="1" si="66"/>
        <v>0</v>
      </c>
    </row>
    <row r="472" spans="1:9" s="58" customFormat="1" ht="14.25">
      <c r="A472" s="50" t="s">
        <v>516</v>
      </c>
      <c r="B472" s="51" t="str">
        <f>IF($A472="","",NumList())</f>
        <v/>
      </c>
      <c r="C472" s="61" t="s">
        <v>223</v>
      </c>
      <c r="D472" s="55">
        <f t="shared" si="63"/>
        <v>1</v>
      </c>
      <c r="E472" s="55"/>
      <c r="F472" s="55">
        <f t="shared" ca="1" si="68"/>
        <v>86</v>
      </c>
      <c r="G472" s="59" t="s">
        <v>6</v>
      </c>
      <c r="H472" s="60">
        <f ca="1">RANDBETWEEN(1,100)</f>
        <v>76</v>
      </c>
      <c r="I472" s="60">
        <f t="shared" ca="1" si="66"/>
        <v>6536</v>
      </c>
    </row>
    <row r="473" spans="1:9" s="58" customFormat="1" ht="14.25">
      <c r="A473" s="50" t="s">
        <v>516</v>
      </c>
      <c r="B473" s="51" t="str">
        <f>IF($A473="","",NumList())</f>
        <v/>
      </c>
      <c r="C473" s="61" t="s">
        <v>224</v>
      </c>
      <c r="D473" s="55">
        <f t="shared" si="63"/>
        <v>1</v>
      </c>
      <c r="E473" s="55"/>
      <c r="F473" s="55">
        <f t="shared" ca="1" si="68"/>
        <v>52</v>
      </c>
      <c r="G473" s="59" t="s">
        <v>6</v>
      </c>
      <c r="H473" s="60">
        <f t="shared" ref="H473:H476" ca="1" si="73">RANDBETWEEN(1,100)</f>
        <v>43</v>
      </c>
      <c r="I473" s="60">
        <f t="shared" ca="1" si="66"/>
        <v>2236</v>
      </c>
    </row>
    <row r="474" spans="1:9" s="58" customFormat="1" ht="14.25">
      <c r="A474" s="50" t="s">
        <v>516</v>
      </c>
      <c r="B474" s="51" t="str">
        <f>IF($A474="","",NumList())</f>
        <v/>
      </c>
      <c r="C474" s="61" t="s">
        <v>225</v>
      </c>
      <c r="D474" s="55">
        <f t="shared" si="63"/>
        <v>1</v>
      </c>
      <c r="E474" s="55"/>
      <c r="F474" s="55">
        <f t="shared" ca="1" si="68"/>
        <v>92</v>
      </c>
      <c r="G474" s="59" t="s">
        <v>6</v>
      </c>
      <c r="H474" s="60">
        <f t="shared" ca="1" si="73"/>
        <v>43</v>
      </c>
      <c r="I474" s="60">
        <f t="shared" ca="1" si="66"/>
        <v>3956</v>
      </c>
    </row>
    <row r="475" spans="1:9" s="58" customFormat="1" ht="14.25">
      <c r="A475" s="50" t="s">
        <v>516</v>
      </c>
      <c r="B475" s="51" t="str">
        <f>IF($A475="","",NumList())</f>
        <v/>
      </c>
      <c r="C475" s="61" t="s">
        <v>226</v>
      </c>
      <c r="D475" s="55">
        <f t="shared" si="63"/>
        <v>1</v>
      </c>
      <c r="E475" s="55"/>
      <c r="F475" s="55">
        <f t="shared" ca="1" si="68"/>
        <v>13</v>
      </c>
      <c r="G475" s="59" t="s">
        <v>6</v>
      </c>
      <c r="H475" s="60">
        <f t="shared" ca="1" si="73"/>
        <v>2</v>
      </c>
      <c r="I475" s="60">
        <f t="shared" ca="1" si="66"/>
        <v>26</v>
      </c>
    </row>
    <row r="476" spans="1:9" s="58" customFormat="1" ht="14.25">
      <c r="A476" s="50" t="s">
        <v>516</v>
      </c>
      <c r="B476" s="51" t="str">
        <f>IF($A476="","",NumList())</f>
        <v/>
      </c>
      <c r="C476" s="61" t="s">
        <v>227</v>
      </c>
      <c r="D476" s="55">
        <f t="shared" si="63"/>
        <v>1</v>
      </c>
      <c r="E476" s="55"/>
      <c r="F476" s="55">
        <f t="shared" ca="1" si="68"/>
        <v>84</v>
      </c>
      <c r="G476" s="59" t="s">
        <v>6</v>
      </c>
      <c r="H476" s="60">
        <f t="shared" ca="1" si="73"/>
        <v>23</v>
      </c>
      <c r="I476" s="60">
        <f t="shared" ca="1" si="66"/>
        <v>1932</v>
      </c>
    </row>
    <row r="477" spans="1:9" s="58" customFormat="1" ht="14.25">
      <c r="A477" s="50">
        <v>3</v>
      </c>
      <c r="B477" s="51" t="str">
        <f ca="1">IF($A477="","",NumList())</f>
        <v>6.4.2</v>
      </c>
      <c r="C477" s="54" t="s">
        <v>221</v>
      </c>
      <c r="D477" s="55">
        <f t="shared" si="63"/>
        <v>0</v>
      </c>
      <c r="E477" s="55"/>
      <c r="F477" s="55">
        <f t="shared" ca="1" si="68"/>
        <v>0</v>
      </c>
      <c r="G477" s="59"/>
      <c r="H477" s="60"/>
      <c r="I477" s="60">
        <f t="shared" ca="1" si="66"/>
        <v>0</v>
      </c>
    </row>
    <row r="478" spans="1:9" s="58" customFormat="1" ht="14.25">
      <c r="A478" s="50" t="s">
        <v>516</v>
      </c>
      <c r="B478" s="51" t="str">
        <f>IF($A478="","",NumList())</f>
        <v/>
      </c>
      <c r="C478" s="61" t="s">
        <v>223</v>
      </c>
      <c r="D478" s="55">
        <f t="shared" si="63"/>
        <v>1</v>
      </c>
      <c r="E478" s="55"/>
      <c r="F478" s="55">
        <f t="shared" ca="1" si="68"/>
        <v>24</v>
      </c>
      <c r="G478" s="59" t="s">
        <v>6</v>
      </c>
      <c r="H478" s="60">
        <f ca="1">RANDBETWEEN(1,100)</f>
        <v>13</v>
      </c>
      <c r="I478" s="60">
        <f t="shared" ca="1" si="66"/>
        <v>312</v>
      </c>
    </row>
    <row r="479" spans="1:9" s="58" customFormat="1" ht="14.25">
      <c r="A479" s="50" t="s">
        <v>516</v>
      </c>
      <c r="B479" s="51" t="str">
        <f>IF($A479="","",NumList())</f>
        <v/>
      </c>
      <c r="C479" s="61" t="s">
        <v>224</v>
      </c>
      <c r="D479" s="55">
        <f t="shared" si="63"/>
        <v>1</v>
      </c>
      <c r="E479" s="55"/>
      <c r="F479" s="55">
        <f t="shared" ca="1" si="68"/>
        <v>63</v>
      </c>
      <c r="G479" s="59" t="s">
        <v>6</v>
      </c>
      <c r="H479" s="60">
        <f t="shared" ref="H479:H482" ca="1" si="74">RANDBETWEEN(1,100)</f>
        <v>5</v>
      </c>
      <c r="I479" s="60">
        <f t="shared" ca="1" si="66"/>
        <v>315</v>
      </c>
    </row>
    <row r="480" spans="1:9" s="58" customFormat="1" ht="14.25">
      <c r="A480" s="50" t="s">
        <v>516</v>
      </c>
      <c r="B480" s="51" t="str">
        <f>IF($A480="","",NumList())</f>
        <v/>
      </c>
      <c r="C480" s="61" t="s">
        <v>225</v>
      </c>
      <c r="D480" s="55">
        <f t="shared" si="63"/>
        <v>1</v>
      </c>
      <c r="E480" s="55"/>
      <c r="F480" s="55">
        <f t="shared" ca="1" si="68"/>
        <v>4</v>
      </c>
      <c r="G480" s="59" t="s">
        <v>6</v>
      </c>
      <c r="H480" s="60">
        <f t="shared" ca="1" si="74"/>
        <v>64</v>
      </c>
      <c r="I480" s="60">
        <f t="shared" ca="1" si="66"/>
        <v>256</v>
      </c>
    </row>
    <row r="481" spans="1:9" s="58" customFormat="1" ht="14.25">
      <c r="A481" s="50" t="s">
        <v>516</v>
      </c>
      <c r="B481" s="51" t="str">
        <f>IF($A481="","",NumList())</f>
        <v/>
      </c>
      <c r="C481" s="61" t="s">
        <v>226</v>
      </c>
      <c r="D481" s="55">
        <f t="shared" si="63"/>
        <v>1</v>
      </c>
      <c r="E481" s="55"/>
      <c r="F481" s="55">
        <f t="shared" ca="1" si="68"/>
        <v>91</v>
      </c>
      <c r="G481" s="59" t="s">
        <v>6</v>
      </c>
      <c r="H481" s="60">
        <f t="shared" ca="1" si="74"/>
        <v>16</v>
      </c>
      <c r="I481" s="60">
        <f t="shared" ca="1" si="66"/>
        <v>1456</v>
      </c>
    </row>
    <row r="482" spans="1:9" s="58" customFormat="1" ht="14.25">
      <c r="A482" s="50" t="s">
        <v>516</v>
      </c>
      <c r="B482" s="51" t="str">
        <f>IF($A482="","",NumList())</f>
        <v/>
      </c>
      <c r="C482" s="61" t="s">
        <v>227</v>
      </c>
      <c r="D482" s="55">
        <f t="shared" si="63"/>
        <v>1</v>
      </c>
      <c r="E482" s="55"/>
      <c r="F482" s="55">
        <f t="shared" ca="1" si="68"/>
        <v>95</v>
      </c>
      <c r="G482" s="59" t="s">
        <v>6</v>
      </c>
      <c r="H482" s="60">
        <f t="shared" ca="1" si="74"/>
        <v>22</v>
      </c>
      <c r="I482" s="60">
        <f t="shared" ca="1" si="66"/>
        <v>2090</v>
      </c>
    </row>
    <row r="483" spans="1:9" s="58" customFormat="1" ht="14.25">
      <c r="A483" s="50">
        <v>3</v>
      </c>
      <c r="B483" s="51" t="str">
        <f ca="1">IF($A483="","",NumList())</f>
        <v>6.4.3</v>
      </c>
      <c r="C483" s="54" t="s">
        <v>222</v>
      </c>
      <c r="D483" s="55">
        <f t="shared" ref="D483:D546" si="75">IF(ISTEXT(G483),1,0)</f>
        <v>0</v>
      </c>
      <c r="E483" s="55"/>
      <c r="F483" s="55">
        <f t="shared" ca="1" si="68"/>
        <v>0</v>
      </c>
      <c r="G483" s="59"/>
      <c r="H483" s="60"/>
      <c r="I483" s="60">
        <f t="shared" ca="1" si="66"/>
        <v>0</v>
      </c>
    </row>
    <row r="484" spans="1:9" s="58" customFormat="1" ht="14.25">
      <c r="A484" s="50" t="s">
        <v>516</v>
      </c>
      <c r="B484" s="51" t="str">
        <f>IF($A484="","",NumList())</f>
        <v/>
      </c>
      <c r="C484" s="61" t="s">
        <v>223</v>
      </c>
      <c r="D484" s="55">
        <f t="shared" si="75"/>
        <v>1</v>
      </c>
      <c r="E484" s="55"/>
      <c r="F484" s="55">
        <f t="shared" ca="1" si="68"/>
        <v>60</v>
      </c>
      <c r="G484" s="59" t="s">
        <v>6</v>
      </c>
      <c r="H484" s="60">
        <f ca="1">RANDBETWEEN(1,100)</f>
        <v>71</v>
      </c>
      <c r="I484" s="60">
        <f t="shared" ca="1" si="66"/>
        <v>4260</v>
      </c>
    </row>
    <row r="485" spans="1:9" s="58" customFormat="1" ht="14.25">
      <c r="A485" s="50" t="s">
        <v>516</v>
      </c>
      <c r="B485" s="51" t="str">
        <f>IF($A485="","",NumList())</f>
        <v/>
      </c>
      <c r="C485" s="61" t="s">
        <v>224</v>
      </c>
      <c r="D485" s="55">
        <f t="shared" si="75"/>
        <v>1</v>
      </c>
      <c r="E485" s="55"/>
      <c r="F485" s="55">
        <f t="shared" ca="1" si="68"/>
        <v>89</v>
      </c>
      <c r="G485" s="59" t="s">
        <v>6</v>
      </c>
      <c r="H485" s="60">
        <f t="shared" ref="H485:H499" ca="1" si="76">RANDBETWEEN(1,100)</f>
        <v>68</v>
      </c>
      <c r="I485" s="60">
        <f t="shared" ca="1" si="66"/>
        <v>6052</v>
      </c>
    </row>
    <row r="486" spans="1:9" s="58" customFormat="1" ht="14.25">
      <c r="A486" s="50" t="s">
        <v>516</v>
      </c>
      <c r="B486" s="51" t="str">
        <f>IF($A486="","",NumList())</f>
        <v/>
      </c>
      <c r="C486" s="61" t="s">
        <v>225</v>
      </c>
      <c r="D486" s="55">
        <f t="shared" si="75"/>
        <v>1</v>
      </c>
      <c r="E486" s="55"/>
      <c r="F486" s="55">
        <f t="shared" ca="1" si="68"/>
        <v>42</v>
      </c>
      <c r="G486" s="59" t="s">
        <v>6</v>
      </c>
      <c r="H486" s="60">
        <f t="shared" ca="1" si="76"/>
        <v>79</v>
      </c>
      <c r="I486" s="60">
        <f t="shared" ca="1" si="66"/>
        <v>3318</v>
      </c>
    </row>
    <row r="487" spans="1:9" s="58" customFormat="1" ht="14.25">
      <c r="A487" s="50" t="s">
        <v>516</v>
      </c>
      <c r="B487" s="51" t="str">
        <f>IF($A487="","",NumList())</f>
        <v/>
      </c>
      <c r="C487" s="61" t="s">
        <v>226</v>
      </c>
      <c r="D487" s="55">
        <f t="shared" si="75"/>
        <v>1</v>
      </c>
      <c r="E487" s="55"/>
      <c r="F487" s="55">
        <f t="shared" ca="1" si="68"/>
        <v>66</v>
      </c>
      <c r="G487" s="59" t="s">
        <v>6</v>
      </c>
      <c r="H487" s="60">
        <f t="shared" ca="1" si="76"/>
        <v>100</v>
      </c>
      <c r="I487" s="60">
        <f t="shared" ca="1" si="66"/>
        <v>6600</v>
      </c>
    </row>
    <row r="488" spans="1:9" s="58" customFormat="1" ht="14.25">
      <c r="A488" s="50" t="s">
        <v>516</v>
      </c>
      <c r="B488" s="51" t="str">
        <f>IF($A488="","",NumList())</f>
        <v/>
      </c>
      <c r="C488" s="61" t="s">
        <v>227</v>
      </c>
      <c r="D488" s="55">
        <f t="shared" si="75"/>
        <v>1</v>
      </c>
      <c r="E488" s="55"/>
      <c r="F488" s="55">
        <f t="shared" ca="1" si="68"/>
        <v>36</v>
      </c>
      <c r="G488" s="59" t="s">
        <v>6</v>
      </c>
      <c r="H488" s="60">
        <f t="shared" ca="1" si="76"/>
        <v>41</v>
      </c>
      <c r="I488" s="60">
        <f t="shared" ca="1" si="66"/>
        <v>1476</v>
      </c>
    </row>
    <row r="489" spans="1:9" s="58" customFormat="1" ht="15">
      <c r="A489" s="50">
        <v>2</v>
      </c>
      <c r="B489" s="51" t="str">
        <f ca="1">IF($A489="","",NumList())</f>
        <v>6.5</v>
      </c>
      <c r="C489" s="54" t="s">
        <v>541</v>
      </c>
      <c r="D489" s="55">
        <f t="shared" si="75"/>
        <v>1</v>
      </c>
      <c r="E489" s="55"/>
      <c r="F489" s="55">
        <f t="shared" ca="1" si="68"/>
        <v>12</v>
      </c>
      <c r="G489" s="59" t="s">
        <v>6</v>
      </c>
      <c r="H489" s="60">
        <f t="shared" ca="1" si="76"/>
        <v>78</v>
      </c>
      <c r="I489" s="60">
        <f t="shared" ca="1" si="66"/>
        <v>936</v>
      </c>
    </row>
    <row r="490" spans="1:9" s="58" customFormat="1" ht="15">
      <c r="A490" s="50">
        <v>2</v>
      </c>
      <c r="B490" s="51" t="str">
        <f ca="1">IF($A490="","",NumList())</f>
        <v>6.6</v>
      </c>
      <c r="C490" s="54" t="s">
        <v>542</v>
      </c>
      <c r="D490" s="55">
        <f t="shared" si="75"/>
        <v>1</v>
      </c>
      <c r="E490" s="55"/>
      <c r="F490" s="55">
        <f t="shared" ca="1" si="68"/>
        <v>75</v>
      </c>
      <c r="G490" s="59" t="s">
        <v>8</v>
      </c>
      <c r="H490" s="60">
        <f t="shared" ca="1" si="76"/>
        <v>27</v>
      </c>
      <c r="I490" s="60">
        <f t="shared" ca="1" si="66"/>
        <v>2025</v>
      </c>
    </row>
    <row r="491" spans="1:9" s="58" customFormat="1" ht="14.25">
      <c r="A491" s="50">
        <v>2</v>
      </c>
      <c r="B491" s="51" t="str">
        <f ca="1">IF($A491="","",NumList())</f>
        <v>6.7</v>
      </c>
      <c r="C491" s="54" t="s">
        <v>265</v>
      </c>
      <c r="D491" s="55">
        <f t="shared" si="75"/>
        <v>1</v>
      </c>
      <c r="E491" s="55"/>
      <c r="F491" s="55">
        <f t="shared" ca="1" si="68"/>
        <v>58</v>
      </c>
      <c r="G491" s="59" t="s">
        <v>0</v>
      </c>
      <c r="H491" s="60">
        <f t="shared" ca="1" si="76"/>
        <v>28</v>
      </c>
      <c r="I491" s="60">
        <f t="shared" ca="1" si="66"/>
        <v>1624</v>
      </c>
    </row>
    <row r="492" spans="1:9" s="58" customFormat="1" ht="14.25">
      <c r="A492" s="50">
        <v>2</v>
      </c>
      <c r="B492" s="51" t="str">
        <f ca="1">IF($A492="","",NumList())</f>
        <v>6.8</v>
      </c>
      <c r="C492" s="54" t="s">
        <v>177</v>
      </c>
      <c r="D492" s="55">
        <f t="shared" si="75"/>
        <v>1</v>
      </c>
      <c r="E492" s="55"/>
      <c r="F492" s="55">
        <f t="shared" ca="1" si="68"/>
        <v>32</v>
      </c>
      <c r="G492" s="59" t="s">
        <v>8</v>
      </c>
      <c r="H492" s="60">
        <f t="shared" ca="1" si="76"/>
        <v>61</v>
      </c>
      <c r="I492" s="60">
        <f t="shared" ca="1" si="66"/>
        <v>1952</v>
      </c>
    </row>
    <row r="493" spans="1:9" s="58" customFormat="1" ht="15">
      <c r="A493" s="50">
        <v>2</v>
      </c>
      <c r="B493" s="51" t="str">
        <f ca="1">IF($A493="","",NumList())</f>
        <v>6.9</v>
      </c>
      <c r="C493" s="54" t="s">
        <v>543</v>
      </c>
      <c r="D493" s="55">
        <f t="shared" si="75"/>
        <v>1</v>
      </c>
      <c r="E493" s="55"/>
      <c r="F493" s="55">
        <f t="shared" ca="1" si="68"/>
        <v>81</v>
      </c>
      <c r="G493" s="59" t="s">
        <v>6</v>
      </c>
      <c r="H493" s="60">
        <f t="shared" ca="1" si="76"/>
        <v>20</v>
      </c>
      <c r="I493" s="60">
        <f t="shared" ca="1" si="66"/>
        <v>1620</v>
      </c>
    </row>
    <row r="494" spans="1:9" s="58" customFormat="1" ht="15">
      <c r="A494" s="50">
        <v>2</v>
      </c>
      <c r="B494" s="51" t="str">
        <f ca="1">IF($A494="","",NumList())</f>
        <v>6.10</v>
      </c>
      <c r="C494" s="54" t="s">
        <v>544</v>
      </c>
      <c r="D494" s="55">
        <f t="shared" si="75"/>
        <v>1</v>
      </c>
      <c r="E494" s="55"/>
      <c r="F494" s="55">
        <f t="shared" ca="1" si="68"/>
        <v>84</v>
      </c>
      <c r="G494" s="59" t="s">
        <v>6</v>
      </c>
      <c r="H494" s="60">
        <f t="shared" ca="1" si="76"/>
        <v>56</v>
      </c>
      <c r="I494" s="60">
        <f t="shared" ca="1" si="66"/>
        <v>4704</v>
      </c>
    </row>
    <row r="495" spans="1:9" s="58" customFormat="1" ht="42.75">
      <c r="A495" s="50">
        <v>2</v>
      </c>
      <c r="B495" s="51" t="str">
        <f ca="1">IF($A495="","",NumList())</f>
        <v>6.11</v>
      </c>
      <c r="C495" s="54" t="s">
        <v>305</v>
      </c>
      <c r="D495" s="55">
        <f t="shared" si="75"/>
        <v>1</v>
      </c>
      <c r="E495" s="55"/>
      <c r="F495" s="55">
        <f t="shared" ca="1" si="68"/>
        <v>50</v>
      </c>
      <c r="G495" s="59" t="s">
        <v>0</v>
      </c>
      <c r="H495" s="60">
        <f t="shared" ca="1" si="76"/>
        <v>89</v>
      </c>
      <c r="I495" s="60">
        <f t="shared" ca="1" si="66"/>
        <v>4450</v>
      </c>
    </row>
    <row r="496" spans="1:9" s="58" customFormat="1" ht="28.5">
      <c r="A496" s="50">
        <v>2</v>
      </c>
      <c r="B496" s="51" t="str">
        <f ca="1">IF($A496="","",NumList())</f>
        <v>6.12</v>
      </c>
      <c r="C496" s="54" t="s">
        <v>297</v>
      </c>
      <c r="D496" s="55">
        <f t="shared" si="75"/>
        <v>1</v>
      </c>
      <c r="E496" s="55"/>
      <c r="F496" s="55">
        <f t="shared" ca="1" si="68"/>
        <v>73</v>
      </c>
      <c r="G496" s="59" t="s">
        <v>0</v>
      </c>
      <c r="H496" s="60">
        <f t="shared" ca="1" si="76"/>
        <v>48</v>
      </c>
      <c r="I496" s="60">
        <f t="shared" ca="1" si="66"/>
        <v>3504</v>
      </c>
    </row>
    <row r="497" spans="1:9" s="58" customFormat="1" ht="14.25" customHeight="1">
      <c r="A497" s="50">
        <v>2</v>
      </c>
      <c r="B497" s="51" t="str">
        <f ca="1">IF($A497="","",NumList())</f>
        <v>6.13</v>
      </c>
      <c r="C497" s="54" t="s">
        <v>178</v>
      </c>
      <c r="D497" s="55">
        <f t="shared" si="75"/>
        <v>1</v>
      </c>
      <c r="E497" s="55"/>
      <c r="F497" s="55">
        <f t="shared" ca="1" si="68"/>
        <v>47</v>
      </c>
      <c r="G497" s="59" t="s">
        <v>0</v>
      </c>
      <c r="H497" s="60">
        <f t="shared" ca="1" si="76"/>
        <v>26</v>
      </c>
      <c r="I497" s="60">
        <f t="shared" ca="1" si="66"/>
        <v>1222</v>
      </c>
    </row>
    <row r="498" spans="1:9" s="58" customFormat="1" ht="28.5">
      <c r="A498" s="50">
        <v>2</v>
      </c>
      <c r="B498" s="51" t="str">
        <f ca="1">IF($A498="","",NumList())</f>
        <v>6.14</v>
      </c>
      <c r="C498" s="54" t="s">
        <v>247</v>
      </c>
      <c r="D498" s="55">
        <f t="shared" si="75"/>
        <v>1</v>
      </c>
      <c r="E498" s="55"/>
      <c r="F498" s="55">
        <f t="shared" ca="1" si="68"/>
        <v>11</v>
      </c>
      <c r="G498" s="59" t="s">
        <v>0</v>
      </c>
      <c r="H498" s="60">
        <f t="shared" ca="1" si="76"/>
        <v>27</v>
      </c>
      <c r="I498" s="60">
        <f t="shared" ca="1" si="66"/>
        <v>297</v>
      </c>
    </row>
    <row r="499" spans="1:9" s="58" customFormat="1" ht="14.25">
      <c r="A499" s="50">
        <v>2</v>
      </c>
      <c r="B499" s="51" t="str">
        <f ca="1">IF($A499="","",NumList())</f>
        <v>6.15</v>
      </c>
      <c r="C499" s="54" t="s">
        <v>309</v>
      </c>
      <c r="D499" s="55">
        <f t="shared" si="75"/>
        <v>1</v>
      </c>
      <c r="E499" s="55"/>
      <c r="F499" s="55">
        <f t="shared" ca="1" si="68"/>
        <v>58</v>
      </c>
      <c r="G499" s="59" t="s">
        <v>6</v>
      </c>
      <c r="H499" s="60">
        <f t="shared" ca="1" si="76"/>
        <v>37</v>
      </c>
      <c r="I499" s="60">
        <f t="shared" ca="1" si="66"/>
        <v>2146</v>
      </c>
    </row>
    <row r="500" spans="1:9" s="58" customFormat="1" ht="14.25">
      <c r="A500" s="50" t="s">
        <v>516</v>
      </c>
      <c r="B500" s="51" t="str">
        <f>IF($A500="","",NumList())</f>
        <v/>
      </c>
      <c r="C500" s="54"/>
      <c r="D500" s="55">
        <f t="shared" si="75"/>
        <v>0</v>
      </c>
      <c r="E500" s="55"/>
      <c r="F500" s="55">
        <f t="shared" ca="1" si="68"/>
        <v>0</v>
      </c>
      <c r="G500" s="59"/>
      <c r="H500" s="60"/>
      <c r="I500" s="60">
        <f t="shared" ca="1" si="66"/>
        <v>0</v>
      </c>
    </row>
    <row r="501" spans="1:9" s="41" customFormat="1" ht="15">
      <c r="A501" s="50">
        <v>1</v>
      </c>
      <c r="B501" s="51">
        <f ca="1">IF($A501="","",NumList())</f>
        <v>7</v>
      </c>
      <c r="C501" s="52" t="s">
        <v>179</v>
      </c>
      <c r="D501" s="55">
        <f t="shared" si="75"/>
        <v>0</v>
      </c>
      <c r="E501" s="48"/>
      <c r="F501" s="55">
        <f t="shared" ca="1" si="68"/>
        <v>0</v>
      </c>
      <c r="G501" s="64"/>
      <c r="H501" s="60"/>
      <c r="I501" s="60">
        <f t="shared" ca="1" si="66"/>
        <v>0</v>
      </c>
    </row>
    <row r="502" spans="1:9" s="58" customFormat="1" ht="29.25">
      <c r="A502" s="50">
        <v>2</v>
      </c>
      <c r="B502" s="51" t="str">
        <f ca="1">IF($A502="","",NumList())</f>
        <v>7.1</v>
      </c>
      <c r="C502" s="62" t="s">
        <v>545</v>
      </c>
      <c r="D502" s="55">
        <f t="shared" si="75"/>
        <v>1</v>
      </c>
      <c r="E502" s="55"/>
      <c r="F502" s="55">
        <f t="shared" ca="1" si="68"/>
        <v>93</v>
      </c>
      <c r="G502" s="59" t="s">
        <v>0</v>
      </c>
      <c r="H502" s="60">
        <f ca="1">RANDBETWEEN(1,100)</f>
        <v>25</v>
      </c>
      <c r="I502" s="60">
        <f t="shared" ref="I502:I559" ca="1" si="77">F502*H502</f>
        <v>2325</v>
      </c>
    </row>
    <row r="503" spans="1:9" s="58" customFormat="1" ht="14.25">
      <c r="A503" s="50" t="s">
        <v>516</v>
      </c>
      <c r="B503" s="51" t="str">
        <f>IF($A503="","",NumList())</f>
        <v/>
      </c>
      <c r="C503" s="62"/>
      <c r="D503" s="55">
        <f t="shared" si="75"/>
        <v>0</v>
      </c>
      <c r="E503" s="55"/>
      <c r="F503" s="55">
        <f t="shared" ca="1" si="68"/>
        <v>0</v>
      </c>
      <c r="G503" s="59"/>
      <c r="H503" s="60"/>
      <c r="I503" s="60">
        <f t="shared" ca="1" si="77"/>
        <v>0</v>
      </c>
    </row>
    <row r="504" spans="1:9" s="58" customFormat="1" ht="15">
      <c r="A504" s="50">
        <v>2</v>
      </c>
      <c r="B504" s="51" t="str">
        <f ca="1">IF($A504="","",NumList())</f>
        <v>7.2</v>
      </c>
      <c r="C504" s="61" t="s">
        <v>546</v>
      </c>
      <c r="D504" s="55">
        <f t="shared" si="75"/>
        <v>1</v>
      </c>
      <c r="E504" s="55"/>
      <c r="F504" s="55">
        <f t="shared" ca="1" si="68"/>
        <v>58</v>
      </c>
      <c r="G504" s="59" t="s">
        <v>8</v>
      </c>
      <c r="H504" s="60">
        <f ca="1">RANDBETWEEN(1,100)</f>
        <v>53</v>
      </c>
      <c r="I504" s="60">
        <f t="shared" ca="1" si="77"/>
        <v>3074</v>
      </c>
    </row>
    <row r="505" spans="1:9" s="58" customFormat="1" ht="14.25">
      <c r="A505" s="50" t="s">
        <v>516</v>
      </c>
      <c r="B505" s="51" t="str">
        <f>IF($A505="","",NumList())</f>
        <v/>
      </c>
      <c r="C505" s="61"/>
      <c r="D505" s="55">
        <f t="shared" si="75"/>
        <v>0</v>
      </c>
      <c r="E505" s="55"/>
      <c r="F505" s="55">
        <f t="shared" ca="1" si="68"/>
        <v>0</v>
      </c>
      <c r="G505" s="59"/>
      <c r="H505" s="60"/>
      <c r="I505" s="60">
        <f t="shared" ca="1" si="77"/>
        <v>0</v>
      </c>
    </row>
    <row r="506" spans="1:9" s="58" customFormat="1" ht="29.25">
      <c r="A506" s="50">
        <v>2</v>
      </c>
      <c r="B506" s="51" t="str">
        <f ca="1">IF($A506="","",NumList())</f>
        <v>7.3</v>
      </c>
      <c r="C506" s="62" t="s">
        <v>547</v>
      </c>
      <c r="D506" s="55">
        <f t="shared" si="75"/>
        <v>1</v>
      </c>
      <c r="E506" s="55"/>
      <c r="F506" s="55">
        <f t="shared" ca="1" si="68"/>
        <v>6</v>
      </c>
      <c r="G506" s="59" t="s">
        <v>6</v>
      </c>
      <c r="H506" s="60">
        <f ca="1">RANDBETWEEN(1,100)</f>
        <v>12</v>
      </c>
      <c r="I506" s="60">
        <f t="shared" ca="1" si="77"/>
        <v>72</v>
      </c>
    </row>
    <row r="507" spans="1:9" s="58" customFormat="1" ht="14.25">
      <c r="A507" s="50" t="s">
        <v>516</v>
      </c>
      <c r="B507" s="51" t="str">
        <f>IF($A507="","",NumList())</f>
        <v/>
      </c>
      <c r="C507" s="62"/>
      <c r="D507" s="55">
        <f t="shared" si="75"/>
        <v>0</v>
      </c>
      <c r="E507" s="55"/>
      <c r="F507" s="55">
        <f t="shared" ca="1" si="68"/>
        <v>0</v>
      </c>
      <c r="G507" s="59"/>
      <c r="H507" s="60"/>
      <c r="I507" s="60">
        <f t="shared" ca="1" si="77"/>
        <v>0</v>
      </c>
    </row>
    <row r="508" spans="1:9" s="58" customFormat="1" ht="42.75">
      <c r="A508" s="50">
        <v>2</v>
      </c>
      <c r="B508" s="51" t="str">
        <f ca="1">IF($A508="","",NumList())</f>
        <v>7.4</v>
      </c>
      <c r="C508" s="61" t="s">
        <v>228</v>
      </c>
      <c r="D508" s="55">
        <f t="shared" si="75"/>
        <v>0</v>
      </c>
      <c r="E508" s="55"/>
      <c r="F508" s="55">
        <f t="shared" ca="1" si="68"/>
        <v>0</v>
      </c>
      <c r="G508" s="59"/>
      <c r="H508" s="60"/>
      <c r="I508" s="60">
        <f t="shared" ca="1" si="77"/>
        <v>0</v>
      </c>
    </row>
    <row r="509" spans="1:9" s="58" customFormat="1" ht="15">
      <c r="A509" s="50">
        <v>3</v>
      </c>
      <c r="B509" s="51" t="str">
        <f ca="1">IF($A509="","",NumList())</f>
        <v>7.4.1</v>
      </c>
      <c r="C509" s="61" t="s">
        <v>548</v>
      </c>
      <c r="D509" s="55">
        <f t="shared" si="75"/>
        <v>1</v>
      </c>
      <c r="E509" s="55"/>
      <c r="F509" s="55">
        <f t="shared" ca="1" si="68"/>
        <v>31</v>
      </c>
      <c r="G509" s="59" t="s">
        <v>78</v>
      </c>
      <c r="H509" s="60">
        <f ca="1">RANDBETWEEN(1,100)</f>
        <v>54</v>
      </c>
      <c r="I509" s="60">
        <f t="shared" ca="1" si="77"/>
        <v>1674</v>
      </c>
    </row>
    <row r="510" spans="1:9" s="58" customFormat="1" ht="29.25">
      <c r="A510" s="50">
        <v>3</v>
      </c>
      <c r="B510" s="51" t="str">
        <f ca="1">IF($A510="","",NumList())</f>
        <v>7.4.2</v>
      </c>
      <c r="C510" s="61" t="s">
        <v>549</v>
      </c>
      <c r="D510" s="55">
        <f t="shared" si="75"/>
        <v>1</v>
      </c>
      <c r="E510" s="55"/>
      <c r="F510" s="55">
        <f t="shared" ca="1" si="68"/>
        <v>93</v>
      </c>
      <c r="G510" s="59" t="s">
        <v>78</v>
      </c>
      <c r="H510" s="60">
        <f t="shared" ref="H510:H516" ca="1" si="78">RANDBETWEEN(1,100)</f>
        <v>83</v>
      </c>
      <c r="I510" s="60">
        <f t="shared" ca="1" si="77"/>
        <v>7719</v>
      </c>
    </row>
    <row r="511" spans="1:9" s="58" customFormat="1" ht="15">
      <c r="A511" s="50">
        <v>3</v>
      </c>
      <c r="B511" s="51" t="str">
        <f ca="1">IF($A511="","",NumList())</f>
        <v>7.4.3</v>
      </c>
      <c r="C511" s="61" t="s">
        <v>550</v>
      </c>
      <c r="D511" s="55">
        <f t="shared" si="75"/>
        <v>1</v>
      </c>
      <c r="E511" s="55"/>
      <c r="F511" s="55">
        <f t="shared" ref="F511:F558" ca="1" si="79">IF(ISTEXT(G511),RANDBETWEEN(1,100),0)</f>
        <v>42</v>
      </c>
      <c r="G511" s="59" t="s">
        <v>78</v>
      </c>
      <c r="H511" s="60">
        <f t="shared" ca="1" si="78"/>
        <v>76</v>
      </c>
      <c r="I511" s="60">
        <f t="shared" ca="1" si="77"/>
        <v>3192</v>
      </c>
    </row>
    <row r="512" spans="1:9" s="58" customFormat="1" ht="15">
      <c r="A512" s="50">
        <v>3</v>
      </c>
      <c r="B512" s="51" t="str">
        <f ca="1">IF($A512="","",NumList())</f>
        <v>7.4.4</v>
      </c>
      <c r="C512" s="61" t="s">
        <v>551</v>
      </c>
      <c r="D512" s="55">
        <f t="shared" si="75"/>
        <v>1</v>
      </c>
      <c r="E512" s="55"/>
      <c r="F512" s="55">
        <f t="shared" ca="1" si="79"/>
        <v>87</v>
      </c>
      <c r="G512" s="59" t="s">
        <v>78</v>
      </c>
      <c r="H512" s="60">
        <f t="shared" ca="1" si="78"/>
        <v>50</v>
      </c>
      <c r="I512" s="60">
        <f t="shared" ca="1" si="77"/>
        <v>4350</v>
      </c>
    </row>
    <row r="513" spans="1:10" s="58" customFormat="1" ht="15">
      <c r="A513" s="50">
        <v>3</v>
      </c>
      <c r="B513" s="51" t="str">
        <f ca="1">IF($A513="","",NumList())</f>
        <v>7.4.5</v>
      </c>
      <c r="C513" s="61" t="s">
        <v>552</v>
      </c>
      <c r="D513" s="55">
        <f t="shared" si="75"/>
        <v>1</v>
      </c>
      <c r="E513" s="55"/>
      <c r="F513" s="55">
        <f t="shared" ca="1" si="79"/>
        <v>34</v>
      </c>
      <c r="G513" s="59" t="s">
        <v>78</v>
      </c>
      <c r="H513" s="60">
        <f t="shared" ca="1" si="78"/>
        <v>58</v>
      </c>
      <c r="I513" s="60">
        <f t="shared" ca="1" si="77"/>
        <v>1972</v>
      </c>
    </row>
    <row r="514" spans="1:10" s="58" customFormat="1" ht="15">
      <c r="A514" s="50">
        <v>3</v>
      </c>
      <c r="B514" s="51" t="str">
        <f ca="1">IF($A514="","",NumList())</f>
        <v>7.4.6</v>
      </c>
      <c r="C514" s="61" t="s">
        <v>553</v>
      </c>
      <c r="D514" s="55">
        <f t="shared" si="75"/>
        <v>1</v>
      </c>
      <c r="E514" s="55"/>
      <c r="F514" s="55">
        <f t="shared" ca="1" si="79"/>
        <v>30</v>
      </c>
      <c r="G514" s="59" t="s">
        <v>78</v>
      </c>
      <c r="H514" s="60">
        <f t="shared" ca="1" si="78"/>
        <v>56</v>
      </c>
      <c r="I514" s="60">
        <f t="shared" ca="1" si="77"/>
        <v>1680</v>
      </c>
    </row>
    <row r="515" spans="1:10" s="58" customFormat="1" ht="29.25">
      <c r="A515" s="50">
        <v>3</v>
      </c>
      <c r="B515" s="51" t="str">
        <f ca="1">IF($A515="","",NumList())</f>
        <v>7.4.7</v>
      </c>
      <c r="C515" s="61" t="s">
        <v>554</v>
      </c>
      <c r="D515" s="55">
        <f t="shared" si="75"/>
        <v>1</v>
      </c>
      <c r="E515" s="55"/>
      <c r="F515" s="55">
        <f t="shared" ca="1" si="79"/>
        <v>39</v>
      </c>
      <c r="G515" s="59" t="s">
        <v>78</v>
      </c>
      <c r="H515" s="60">
        <f t="shared" ca="1" si="78"/>
        <v>10</v>
      </c>
      <c r="I515" s="60">
        <f t="shared" ca="1" si="77"/>
        <v>390</v>
      </c>
    </row>
    <row r="516" spans="1:10" s="58" customFormat="1" ht="15">
      <c r="A516" s="50">
        <v>3</v>
      </c>
      <c r="B516" s="51" t="str">
        <f ca="1">IF($A516="","",NumList())</f>
        <v>7.4.8</v>
      </c>
      <c r="C516" s="61" t="s">
        <v>555</v>
      </c>
      <c r="D516" s="55">
        <f t="shared" si="75"/>
        <v>1</v>
      </c>
      <c r="E516" s="55"/>
      <c r="F516" s="55">
        <f t="shared" ca="1" si="79"/>
        <v>73</v>
      </c>
      <c r="G516" s="59" t="s">
        <v>78</v>
      </c>
      <c r="H516" s="60">
        <f t="shared" ca="1" si="78"/>
        <v>53</v>
      </c>
      <c r="I516" s="60">
        <f t="shared" ca="1" si="77"/>
        <v>3869</v>
      </c>
    </row>
    <row r="517" spans="1:10" s="58" customFormat="1" ht="14.25">
      <c r="A517" s="50" t="s">
        <v>516</v>
      </c>
      <c r="B517" s="51" t="str">
        <f>IF($A517="","",NumList())</f>
        <v/>
      </c>
      <c r="C517" s="61"/>
      <c r="D517" s="55">
        <f t="shared" si="75"/>
        <v>0</v>
      </c>
      <c r="E517" s="55"/>
      <c r="F517" s="55">
        <f t="shared" ca="1" si="79"/>
        <v>0</v>
      </c>
      <c r="G517" s="59"/>
      <c r="H517" s="60"/>
      <c r="I517" s="60">
        <f t="shared" ca="1" si="77"/>
        <v>0</v>
      </c>
    </row>
    <row r="518" spans="1:10" s="58" customFormat="1" ht="15">
      <c r="A518" s="50">
        <v>2</v>
      </c>
      <c r="B518" s="51" t="str">
        <f ca="1">IF($A518="","",NumList())</f>
        <v>7.5</v>
      </c>
      <c r="C518" s="61" t="s">
        <v>556</v>
      </c>
      <c r="D518" s="55">
        <f t="shared" si="75"/>
        <v>0</v>
      </c>
      <c r="E518" s="55"/>
      <c r="F518" s="55">
        <f t="shared" ca="1" si="79"/>
        <v>0</v>
      </c>
      <c r="G518" s="59"/>
      <c r="H518" s="60"/>
      <c r="I518" s="60">
        <f t="shared" ca="1" si="77"/>
        <v>0</v>
      </c>
    </row>
    <row r="519" spans="1:10" s="58" customFormat="1" ht="14.25">
      <c r="A519" s="50" t="s">
        <v>516</v>
      </c>
      <c r="B519" s="51" t="str">
        <f>IF($A519="","",NumList())</f>
        <v/>
      </c>
      <c r="C519" s="61"/>
      <c r="D519" s="55">
        <f t="shared" si="75"/>
        <v>0</v>
      </c>
      <c r="E519" s="55"/>
      <c r="F519" s="55">
        <f t="shared" ca="1" si="79"/>
        <v>0</v>
      </c>
      <c r="G519" s="59"/>
      <c r="H519" s="60"/>
      <c r="I519" s="60">
        <f t="shared" ca="1" si="77"/>
        <v>0</v>
      </c>
    </row>
    <row r="520" spans="1:10" s="58" customFormat="1" ht="16.149999999999999" customHeight="1">
      <c r="A520" s="50">
        <v>2</v>
      </c>
      <c r="B520" s="51" t="str">
        <f ca="1">IF($A520="","",NumList())</f>
        <v>7.6</v>
      </c>
      <c r="C520" s="61" t="s">
        <v>250</v>
      </c>
      <c r="D520" s="55">
        <f t="shared" si="75"/>
        <v>0</v>
      </c>
      <c r="E520" s="55"/>
      <c r="F520" s="55">
        <f t="shared" ca="1" si="79"/>
        <v>0</v>
      </c>
      <c r="G520" s="59"/>
      <c r="H520" s="60"/>
      <c r="I520" s="60">
        <f t="shared" ca="1" si="77"/>
        <v>0</v>
      </c>
      <c r="J520" s="58" t="s">
        <v>379</v>
      </c>
    </row>
    <row r="521" spans="1:10" s="58" customFormat="1" ht="48.75" customHeight="1">
      <c r="A521" s="50">
        <v>3</v>
      </c>
      <c r="B521" s="51" t="str">
        <f ca="1">IF($A521="","",NumList())</f>
        <v>7.6.1</v>
      </c>
      <c r="C521" s="61" t="s">
        <v>557</v>
      </c>
      <c r="D521" s="55">
        <f t="shared" si="75"/>
        <v>1</v>
      </c>
      <c r="E521" s="55"/>
      <c r="F521" s="55">
        <f t="shared" ca="1" si="79"/>
        <v>90</v>
      </c>
      <c r="G521" s="59" t="s">
        <v>98</v>
      </c>
      <c r="H521" s="60">
        <f ca="1">RANDBETWEEN(1,100)</f>
        <v>66</v>
      </c>
      <c r="I521" s="60">
        <f t="shared" ca="1" si="77"/>
        <v>5940</v>
      </c>
    </row>
    <row r="522" spans="1:10" s="58" customFormat="1" ht="29.25">
      <c r="A522" s="50">
        <v>4</v>
      </c>
      <c r="B522" s="51" t="str">
        <f ca="1">IF($A522="","",NumList())</f>
        <v>7.6.1.1</v>
      </c>
      <c r="C522" s="61" t="s">
        <v>558</v>
      </c>
      <c r="D522" s="55">
        <f t="shared" si="75"/>
        <v>1</v>
      </c>
      <c r="E522" s="55"/>
      <c r="F522" s="55">
        <f t="shared" ca="1" si="79"/>
        <v>75</v>
      </c>
      <c r="G522" s="59" t="s">
        <v>98</v>
      </c>
      <c r="H522" s="60">
        <f t="shared" ref="H522:H528" ca="1" si="80">RANDBETWEEN(1,100)</f>
        <v>9</v>
      </c>
      <c r="I522" s="60">
        <f t="shared" ca="1" si="77"/>
        <v>675</v>
      </c>
    </row>
    <row r="523" spans="1:10" s="58" customFormat="1" ht="57.75">
      <c r="A523" s="50">
        <v>3</v>
      </c>
      <c r="B523" s="51" t="str">
        <f ca="1">IF($A523="","",NumList())</f>
        <v>7.6.2</v>
      </c>
      <c r="C523" s="61" t="s">
        <v>559</v>
      </c>
      <c r="D523" s="55">
        <f t="shared" si="75"/>
        <v>1</v>
      </c>
      <c r="E523" s="55"/>
      <c r="F523" s="55">
        <f t="shared" ca="1" si="79"/>
        <v>47</v>
      </c>
      <c r="G523" s="59" t="s">
        <v>98</v>
      </c>
      <c r="H523" s="60">
        <f t="shared" ca="1" si="80"/>
        <v>32</v>
      </c>
      <c r="I523" s="60">
        <f t="shared" ca="1" si="77"/>
        <v>1504</v>
      </c>
    </row>
    <row r="524" spans="1:10" s="58" customFormat="1" ht="30">
      <c r="A524" s="50">
        <v>4</v>
      </c>
      <c r="B524" s="51" t="str">
        <f ca="1">IF($A524="","",NumList())</f>
        <v>7.6.2.1</v>
      </c>
      <c r="C524" s="61" t="s">
        <v>560</v>
      </c>
      <c r="D524" s="55">
        <f t="shared" si="75"/>
        <v>1</v>
      </c>
      <c r="E524" s="55"/>
      <c r="F524" s="55">
        <f t="shared" ca="1" si="79"/>
        <v>31</v>
      </c>
      <c r="G524" s="59" t="s">
        <v>98</v>
      </c>
      <c r="H524" s="60">
        <f t="shared" ca="1" si="80"/>
        <v>4</v>
      </c>
      <c r="I524" s="60">
        <f t="shared" ca="1" si="77"/>
        <v>124</v>
      </c>
    </row>
    <row r="525" spans="1:10" s="58" customFormat="1" ht="48" customHeight="1">
      <c r="A525" s="50">
        <v>3</v>
      </c>
      <c r="B525" s="51" t="str">
        <f ca="1">IF($A525="","",NumList())</f>
        <v>7.6.3</v>
      </c>
      <c r="C525" s="61" t="s">
        <v>561</v>
      </c>
      <c r="D525" s="55">
        <f t="shared" si="75"/>
        <v>1</v>
      </c>
      <c r="E525" s="55"/>
      <c r="F525" s="55">
        <f t="shared" ca="1" si="79"/>
        <v>7</v>
      </c>
      <c r="G525" s="59" t="s">
        <v>98</v>
      </c>
      <c r="H525" s="60">
        <f t="shared" ca="1" si="80"/>
        <v>16</v>
      </c>
      <c r="I525" s="60">
        <f t="shared" ca="1" si="77"/>
        <v>112</v>
      </c>
    </row>
    <row r="526" spans="1:10" s="58" customFormat="1" ht="29.25">
      <c r="A526" s="50">
        <v>4</v>
      </c>
      <c r="B526" s="51" t="str">
        <f ca="1">IF($A526="","",NumList())</f>
        <v>7.6.3.1</v>
      </c>
      <c r="C526" s="61" t="s">
        <v>562</v>
      </c>
      <c r="D526" s="55">
        <f t="shared" si="75"/>
        <v>1</v>
      </c>
      <c r="E526" s="55"/>
      <c r="F526" s="55">
        <f t="shared" ca="1" si="79"/>
        <v>59</v>
      </c>
      <c r="G526" s="59" t="s">
        <v>98</v>
      </c>
      <c r="H526" s="60">
        <f t="shared" ca="1" si="80"/>
        <v>56</v>
      </c>
      <c r="I526" s="60">
        <f t="shared" ca="1" si="77"/>
        <v>3304</v>
      </c>
    </row>
    <row r="527" spans="1:10" s="58" customFormat="1" ht="57.75">
      <c r="A527" s="50">
        <v>3</v>
      </c>
      <c r="B527" s="51" t="str">
        <f ca="1">IF($A527="","",NumList())</f>
        <v>7.6.4</v>
      </c>
      <c r="C527" s="61" t="s">
        <v>563</v>
      </c>
      <c r="D527" s="55">
        <f t="shared" si="75"/>
        <v>1</v>
      </c>
      <c r="E527" s="55"/>
      <c r="F527" s="55">
        <f t="shared" ca="1" si="79"/>
        <v>77</v>
      </c>
      <c r="G527" s="59" t="s">
        <v>98</v>
      </c>
      <c r="H527" s="60">
        <f t="shared" ca="1" si="80"/>
        <v>96</v>
      </c>
      <c r="I527" s="60">
        <f t="shared" ca="1" si="77"/>
        <v>7392</v>
      </c>
    </row>
    <row r="528" spans="1:10" s="58" customFormat="1" ht="30">
      <c r="A528" s="50">
        <v>4</v>
      </c>
      <c r="B528" s="51" t="str">
        <f ca="1">IF($A528="","",NumList())</f>
        <v>7.6.4.1</v>
      </c>
      <c r="C528" s="61" t="s">
        <v>564</v>
      </c>
      <c r="D528" s="55">
        <f t="shared" si="75"/>
        <v>1</v>
      </c>
      <c r="E528" s="55"/>
      <c r="F528" s="55">
        <f t="shared" ca="1" si="79"/>
        <v>76</v>
      </c>
      <c r="G528" s="59" t="s">
        <v>98</v>
      </c>
      <c r="H528" s="60">
        <f t="shared" ca="1" si="80"/>
        <v>2</v>
      </c>
      <c r="I528" s="60">
        <f t="shared" ca="1" si="77"/>
        <v>152</v>
      </c>
    </row>
    <row r="529" spans="1:9" s="58" customFormat="1" ht="14.25">
      <c r="A529" s="50" t="s">
        <v>516</v>
      </c>
      <c r="B529" s="51" t="str">
        <f>IF($A529="","",NumList())</f>
        <v/>
      </c>
      <c r="C529" s="61"/>
      <c r="D529" s="55">
        <f t="shared" si="75"/>
        <v>0</v>
      </c>
      <c r="E529" s="55"/>
      <c r="F529" s="55">
        <f t="shared" ca="1" si="79"/>
        <v>0</v>
      </c>
      <c r="G529" s="59"/>
      <c r="H529" s="60"/>
      <c r="I529" s="60">
        <f t="shared" ca="1" si="77"/>
        <v>0</v>
      </c>
    </row>
    <row r="530" spans="1:9" s="58" customFormat="1" ht="14.25">
      <c r="A530" s="50">
        <v>2</v>
      </c>
      <c r="B530" s="51" t="str">
        <f ca="1">IF($A530="","",NumList())</f>
        <v>7.7</v>
      </c>
      <c r="C530" s="62" t="s">
        <v>248</v>
      </c>
      <c r="D530" s="55">
        <f t="shared" si="75"/>
        <v>0</v>
      </c>
      <c r="E530" s="55"/>
      <c r="F530" s="55">
        <f t="shared" ca="1" si="79"/>
        <v>0</v>
      </c>
      <c r="G530" s="59"/>
      <c r="H530" s="60"/>
      <c r="I530" s="60">
        <f t="shared" ca="1" si="77"/>
        <v>0</v>
      </c>
    </row>
    <row r="531" spans="1:9" s="58" customFormat="1" ht="14.25">
      <c r="A531" s="50">
        <v>3</v>
      </c>
      <c r="B531" s="51" t="str">
        <f ca="1">IF($A531="","",NumList())</f>
        <v>7.7.1</v>
      </c>
      <c r="C531" s="62" t="s">
        <v>180</v>
      </c>
      <c r="D531" s="55">
        <f t="shared" si="75"/>
        <v>0</v>
      </c>
      <c r="E531" s="55"/>
      <c r="F531" s="55">
        <f t="shared" ca="1" si="79"/>
        <v>0</v>
      </c>
      <c r="G531" s="59"/>
      <c r="H531" s="60"/>
      <c r="I531" s="60">
        <f t="shared" ca="1" si="77"/>
        <v>0</v>
      </c>
    </row>
    <row r="532" spans="1:9" s="58" customFormat="1" ht="15" customHeight="1">
      <c r="A532" s="50">
        <v>4</v>
      </c>
      <c r="B532" s="51" t="str">
        <f ca="1">IF($A532="","",NumList())</f>
        <v>7.7.1.1</v>
      </c>
      <c r="C532" s="61" t="s">
        <v>565</v>
      </c>
      <c r="D532" s="55">
        <f t="shared" si="75"/>
        <v>1</v>
      </c>
      <c r="E532" s="55"/>
      <c r="F532" s="55">
        <f t="shared" ca="1" si="79"/>
        <v>47</v>
      </c>
      <c r="G532" s="59" t="s">
        <v>98</v>
      </c>
      <c r="H532" s="60">
        <f ca="1">RANDBETWEEN(1,100)</f>
        <v>80</v>
      </c>
      <c r="I532" s="60">
        <f t="shared" ca="1" si="77"/>
        <v>3760</v>
      </c>
    </row>
    <row r="533" spans="1:9" s="58" customFormat="1" ht="15" customHeight="1">
      <c r="A533" s="50">
        <v>4</v>
      </c>
      <c r="B533" s="51" t="str">
        <f ca="1">IF($A533="","",NumList())</f>
        <v>7.7.1.2</v>
      </c>
      <c r="C533" s="61" t="s">
        <v>566</v>
      </c>
      <c r="D533" s="55">
        <f t="shared" si="75"/>
        <v>1</v>
      </c>
      <c r="E533" s="55"/>
      <c r="F533" s="55">
        <f t="shared" ca="1" si="79"/>
        <v>96</v>
      </c>
      <c r="G533" s="59" t="s">
        <v>98</v>
      </c>
      <c r="H533" s="60">
        <f t="shared" ref="H533:H536" ca="1" si="81">RANDBETWEEN(1,100)</f>
        <v>69</v>
      </c>
      <c r="I533" s="60">
        <f t="shared" ca="1" si="77"/>
        <v>6624</v>
      </c>
    </row>
    <row r="534" spans="1:9" s="58" customFormat="1" ht="15">
      <c r="A534" s="50">
        <v>4</v>
      </c>
      <c r="B534" s="51" t="str">
        <f ca="1">IF($A534="","",NumList())</f>
        <v>7.7.1.3</v>
      </c>
      <c r="C534" s="61" t="s">
        <v>567</v>
      </c>
      <c r="D534" s="55">
        <f t="shared" si="75"/>
        <v>1</v>
      </c>
      <c r="E534" s="55"/>
      <c r="F534" s="55">
        <f t="shared" ca="1" si="79"/>
        <v>68</v>
      </c>
      <c r="G534" s="59" t="s">
        <v>98</v>
      </c>
      <c r="H534" s="60">
        <f t="shared" ca="1" si="81"/>
        <v>57</v>
      </c>
      <c r="I534" s="60">
        <f t="shared" ca="1" si="77"/>
        <v>3876</v>
      </c>
    </row>
    <row r="535" spans="1:9" s="58" customFormat="1" ht="15">
      <c r="A535" s="50">
        <v>4</v>
      </c>
      <c r="B535" s="51" t="str">
        <f ca="1">IF($A535="","",NumList())</f>
        <v>7.7.1.4</v>
      </c>
      <c r="C535" s="61" t="s">
        <v>568</v>
      </c>
      <c r="D535" s="55">
        <f t="shared" si="75"/>
        <v>1</v>
      </c>
      <c r="E535" s="55"/>
      <c r="F535" s="55">
        <f t="shared" ca="1" si="79"/>
        <v>94</v>
      </c>
      <c r="G535" s="59" t="s">
        <v>98</v>
      </c>
      <c r="H535" s="60">
        <f t="shared" ca="1" si="81"/>
        <v>35</v>
      </c>
      <c r="I535" s="60">
        <f t="shared" ca="1" si="77"/>
        <v>3290</v>
      </c>
    </row>
    <row r="536" spans="1:9" s="58" customFormat="1" ht="15">
      <c r="A536" s="50">
        <v>4</v>
      </c>
      <c r="B536" s="51" t="str">
        <f ca="1">IF($A536="","",NumList())</f>
        <v>7.7.1.5</v>
      </c>
      <c r="C536" s="61" t="s">
        <v>569</v>
      </c>
      <c r="D536" s="55">
        <f t="shared" si="75"/>
        <v>1</v>
      </c>
      <c r="E536" s="55"/>
      <c r="F536" s="55">
        <f t="shared" ca="1" si="79"/>
        <v>27</v>
      </c>
      <c r="G536" s="59" t="s">
        <v>98</v>
      </c>
      <c r="H536" s="60">
        <f t="shared" ca="1" si="81"/>
        <v>92</v>
      </c>
      <c r="I536" s="60">
        <f t="shared" ca="1" si="77"/>
        <v>2484</v>
      </c>
    </row>
    <row r="537" spans="1:9" s="58" customFormat="1" ht="14.25">
      <c r="A537" s="50">
        <v>3</v>
      </c>
      <c r="B537" s="51" t="str">
        <f ca="1">IF($A537="","",NumList())</f>
        <v>7.7.2</v>
      </c>
      <c r="C537" s="62" t="s">
        <v>249</v>
      </c>
      <c r="D537" s="55">
        <f t="shared" si="75"/>
        <v>0</v>
      </c>
      <c r="E537" s="55"/>
      <c r="F537" s="55">
        <f t="shared" ca="1" si="79"/>
        <v>0</v>
      </c>
      <c r="G537" s="59"/>
      <c r="H537" s="60"/>
      <c r="I537" s="60">
        <f t="shared" ca="1" si="77"/>
        <v>0</v>
      </c>
    </row>
    <row r="538" spans="1:9" s="58" customFormat="1" ht="15">
      <c r="A538" s="50">
        <v>4</v>
      </c>
      <c r="B538" s="51" t="str">
        <f ca="1">IF($A538="","",NumList())</f>
        <v>7.7.2.1</v>
      </c>
      <c r="C538" s="61" t="s">
        <v>570</v>
      </c>
      <c r="D538" s="55">
        <f t="shared" si="75"/>
        <v>1</v>
      </c>
      <c r="E538" s="55"/>
      <c r="F538" s="55">
        <f t="shared" ca="1" si="79"/>
        <v>66</v>
      </c>
      <c r="G538" s="59" t="s">
        <v>98</v>
      </c>
      <c r="H538" s="60">
        <f ca="1">RANDBETWEEN(1,100)</f>
        <v>47</v>
      </c>
      <c r="I538" s="60">
        <f t="shared" ca="1" si="77"/>
        <v>3102</v>
      </c>
    </row>
    <row r="539" spans="1:9" s="58" customFormat="1" ht="15" customHeight="1">
      <c r="A539" s="50">
        <v>4</v>
      </c>
      <c r="B539" s="51" t="str">
        <f ca="1">IF($A539="","",NumList())</f>
        <v>7.7.2.2</v>
      </c>
      <c r="C539" s="61" t="s">
        <v>565</v>
      </c>
      <c r="D539" s="55">
        <f t="shared" si="75"/>
        <v>1</v>
      </c>
      <c r="E539" s="55"/>
      <c r="F539" s="55">
        <f t="shared" ca="1" si="79"/>
        <v>71</v>
      </c>
      <c r="G539" s="59" t="s">
        <v>98</v>
      </c>
      <c r="H539" s="60">
        <f t="shared" ref="H539:H544" ca="1" si="82">RANDBETWEEN(1,100)</f>
        <v>15</v>
      </c>
      <c r="I539" s="60">
        <f t="shared" ca="1" si="77"/>
        <v>1065</v>
      </c>
    </row>
    <row r="540" spans="1:9" s="58" customFormat="1" ht="15" customHeight="1">
      <c r="A540" s="50">
        <v>4</v>
      </c>
      <c r="B540" s="51" t="str">
        <f ca="1">IF($A540="","",NumList())</f>
        <v>7.7.2.3</v>
      </c>
      <c r="C540" s="61" t="s">
        <v>571</v>
      </c>
      <c r="D540" s="55">
        <f t="shared" si="75"/>
        <v>1</v>
      </c>
      <c r="E540" s="55"/>
      <c r="F540" s="55">
        <f t="shared" ca="1" si="79"/>
        <v>61</v>
      </c>
      <c r="G540" s="59" t="s">
        <v>98</v>
      </c>
      <c r="H540" s="60">
        <f t="shared" ca="1" si="82"/>
        <v>58</v>
      </c>
      <c r="I540" s="60">
        <f t="shared" ca="1" si="77"/>
        <v>3538</v>
      </c>
    </row>
    <row r="541" spans="1:9" s="58" customFormat="1" ht="15" customHeight="1">
      <c r="A541" s="50">
        <v>4</v>
      </c>
      <c r="B541" s="51" t="str">
        <f ca="1">IF($A541="","",NumList())</f>
        <v>7.7.2.4</v>
      </c>
      <c r="C541" s="61" t="s">
        <v>566</v>
      </c>
      <c r="D541" s="55">
        <f t="shared" si="75"/>
        <v>1</v>
      </c>
      <c r="E541" s="55"/>
      <c r="F541" s="55">
        <f t="shared" ca="1" si="79"/>
        <v>26</v>
      </c>
      <c r="G541" s="59" t="s">
        <v>98</v>
      </c>
      <c r="H541" s="60">
        <f t="shared" ca="1" si="82"/>
        <v>12</v>
      </c>
      <c r="I541" s="60">
        <f t="shared" ca="1" si="77"/>
        <v>312</v>
      </c>
    </row>
    <row r="542" spans="1:9" s="58" customFormat="1" ht="15">
      <c r="A542" s="50">
        <v>4</v>
      </c>
      <c r="B542" s="51" t="str">
        <f ca="1">IF($A542="","",NumList())</f>
        <v>7.7.2.5</v>
      </c>
      <c r="C542" s="61" t="s">
        <v>567</v>
      </c>
      <c r="D542" s="55">
        <f t="shared" si="75"/>
        <v>1</v>
      </c>
      <c r="E542" s="55"/>
      <c r="F542" s="55">
        <f t="shared" ca="1" si="79"/>
        <v>48</v>
      </c>
      <c r="G542" s="59" t="s">
        <v>98</v>
      </c>
      <c r="H542" s="60">
        <f t="shared" ca="1" si="82"/>
        <v>34</v>
      </c>
      <c r="I542" s="60">
        <f t="shared" ca="1" si="77"/>
        <v>1632</v>
      </c>
    </row>
    <row r="543" spans="1:9" s="58" customFormat="1" ht="15">
      <c r="A543" s="50">
        <v>4</v>
      </c>
      <c r="B543" s="51" t="str">
        <f ca="1">IF($A543="","",NumList())</f>
        <v>7.7.2.6</v>
      </c>
      <c r="C543" s="61" t="s">
        <v>568</v>
      </c>
      <c r="D543" s="55">
        <f t="shared" si="75"/>
        <v>1</v>
      </c>
      <c r="E543" s="55"/>
      <c r="F543" s="55">
        <f t="shared" ca="1" si="79"/>
        <v>95</v>
      </c>
      <c r="G543" s="59" t="s">
        <v>98</v>
      </c>
      <c r="H543" s="60">
        <f t="shared" ca="1" si="82"/>
        <v>82</v>
      </c>
      <c r="I543" s="60">
        <f t="shared" ca="1" si="77"/>
        <v>7790</v>
      </c>
    </row>
    <row r="544" spans="1:9" s="58" customFormat="1" ht="15">
      <c r="A544" s="50">
        <v>4</v>
      </c>
      <c r="B544" s="51" t="str">
        <f ca="1">IF($A544="","",NumList())</f>
        <v>7.7.2.7</v>
      </c>
      <c r="C544" s="61" t="s">
        <v>569</v>
      </c>
      <c r="D544" s="55">
        <f t="shared" si="75"/>
        <v>1</v>
      </c>
      <c r="E544" s="55"/>
      <c r="F544" s="55">
        <f t="shared" ca="1" si="79"/>
        <v>23</v>
      </c>
      <c r="G544" s="59" t="s">
        <v>98</v>
      </c>
      <c r="H544" s="60">
        <f t="shared" ca="1" si="82"/>
        <v>83</v>
      </c>
      <c r="I544" s="60">
        <f t="shared" ca="1" si="77"/>
        <v>1909</v>
      </c>
    </row>
    <row r="545" spans="1:9" s="58" customFormat="1" ht="14.25">
      <c r="A545" s="50" t="s">
        <v>516</v>
      </c>
      <c r="B545" s="51" t="str">
        <f>IF($A545="","",NumList())</f>
        <v/>
      </c>
      <c r="C545" s="62"/>
      <c r="D545" s="55">
        <f t="shared" si="75"/>
        <v>0</v>
      </c>
      <c r="E545" s="55"/>
      <c r="F545" s="55">
        <f t="shared" ca="1" si="79"/>
        <v>0</v>
      </c>
      <c r="G545" s="59"/>
      <c r="H545" s="60"/>
      <c r="I545" s="60">
        <f t="shared" ca="1" si="77"/>
        <v>0</v>
      </c>
    </row>
    <row r="546" spans="1:9" s="58" customFormat="1" ht="14.25">
      <c r="A546" s="50">
        <v>2</v>
      </c>
      <c r="B546" s="51" t="str">
        <f ca="1">IF($A546="","",NumList())</f>
        <v>7.8</v>
      </c>
      <c r="C546" s="62" t="s">
        <v>251</v>
      </c>
      <c r="D546" s="55">
        <f t="shared" si="75"/>
        <v>0</v>
      </c>
      <c r="E546" s="55"/>
      <c r="F546" s="55">
        <f t="shared" ca="1" si="79"/>
        <v>0</v>
      </c>
      <c r="G546" s="59"/>
      <c r="H546" s="60"/>
      <c r="I546" s="60">
        <f t="shared" ca="1" si="77"/>
        <v>0</v>
      </c>
    </row>
    <row r="547" spans="1:9" s="58" customFormat="1" ht="29.25">
      <c r="A547" s="50">
        <v>3</v>
      </c>
      <c r="B547" s="51" t="str">
        <f ca="1">IF($A547="","",NumList())</f>
        <v>7.8.1</v>
      </c>
      <c r="C547" s="61" t="s">
        <v>572</v>
      </c>
      <c r="D547" s="55">
        <f t="shared" ref="D547:D559" si="83">IF(ISTEXT(G547),1,0)</f>
        <v>1</v>
      </c>
      <c r="E547" s="55"/>
      <c r="F547" s="55">
        <f t="shared" ca="1" si="79"/>
        <v>60</v>
      </c>
      <c r="G547" s="59" t="s">
        <v>8</v>
      </c>
      <c r="H547" s="60">
        <f ca="1">RANDBETWEEN(1,100)</f>
        <v>73</v>
      </c>
      <c r="I547" s="60">
        <f t="shared" ca="1" si="77"/>
        <v>4380</v>
      </c>
    </row>
    <row r="548" spans="1:9" s="58" customFormat="1" ht="15">
      <c r="A548" s="50">
        <v>3</v>
      </c>
      <c r="B548" s="51" t="str">
        <f ca="1">IF($A548="","",NumList())</f>
        <v>7.8.2</v>
      </c>
      <c r="C548" s="61" t="s">
        <v>573</v>
      </c>
      <c r="D548" s="55">
        <f t="shared" si="83"/>
        <v>1</v>
      </c>
      <c r="E548" s="55"/>
      <c r="F548" s="55">
        <f t="shared" ca="1" si="79"/>
        <v>39</v>
      </c>
      <c r="G548" s="59" t="s">
        <v>8</v>
      </c>
      <c r="H548" s="60">
        <f t="shared" ref="H548:H549" ca="1" si="84">RANDBETWEEN(1,100)</f>
        <v>59</v>
      </c>
      <c r="I548" s="60">
        <f t="shared" ca="1" si="77"/>
        <v>2301</v>
      </c>
    </row>
    <row r="549" spans="1:9" s="58" customFormat="1" ht="45.75" customHeight="1">
      <c r="A549" s="50">
        <v>3</v>
      </c>
      <c r="B549" s="51" t="str">
        <f ca="1">IF($A549="","",NumList())</f>
        <v>7.8.3</v>
      </c>
      <c r="C549" s="61" t="s">
        <v>574</v>
      </c>
      <c r="D549" s="55">
        <f t="shared" si="83"/>
        <v>1</v>
      </c>
      <c r="E549" s="55"/>
      <c r="F549" s="55">
        <f t="shared" ca="1" si="79"/>
        <v>19</v>
      </c>
      <c r="G549" s="59" t="s">
        <v>8</v>
      </c>
      <c r="H549" s="60">
        <f t="shared" ca="1" si="84"/>
        <v>13</v>
      </c>
      <c r="I549" s="60">
        <f t="shared" ca="1" si="77"/>
        <v>247</v>
      </c>
    </row>
    <row r="550" spans="1:9" s="58" customFormat="1" ht="14.25">
      <c r="A550" s="50">
        <v>3</v>
      </c>
      <c r="B550" s="51" t="str">
        <f ca="1">IF($A550="","",NumList())</f>
        <v>7.8.4</v>
      </c>
      <c r="C550" s="61" t="s">
        <v>473</v>
      </c>
      <c r="D550" s="55">
        <f t="shared" si="83"/>
        <v>0</v>
      </c>
      <c r="E550" s="55"/>
      <c r="F550" s="55">
        <f t="shared" ca="1" si="79"/>
        <v>0</v>
      </c>
      <c r="G550" s="59"/>
      <c r="H550" s="60"/>
      <c r="I550" s="60">
        <f t="shared" ca="1" si="77"/>
        <v>0</v>
      </c>
    </row>
    <row r="551" spans="1:9" s="58" customFormat="1" ht="15">
      <c r="A551" s="50">
        <v>4</v>
      </c>
      <c r="B551" s="51" t="str">
        <f ca="1">IF($A551="","",NumList())</f>
        <v>7.8.4.1</v>
      </c>
      <c r="C551" s="62" t="s">
        <v>575</v>
      </c>
      <c r="D551" s="55">
        <f t="shared" si="83"/>
        <v>1</v>
      </c>
      <c r="E551" s="55"/>
      <c r="F551" s="55">
        <f t="shared" ca="1" si="79"/>
        <v>33</v>
      </c>
      <c r="G551" s="59" t="s">
        <v>8</v>
      </c>
      <c r="H551" s="60">
        <f ca="1">RANDBETWEEN(1,100)</f>
        <v>88</v>
      </c>
      <c r="I551" s="60">
        <f t="shared" ca="1" si="77"/>
        <v>2904</v>
      </c>
    </row>
    <row r="552" spans="1:9" s="58" customFormat="1" ht="15">
      <c r="A552" s="50">
        <v>4</v>
      </c>
      <c r="B552" s="51" t="str">
        <f ca="1">IF($A552="","",NumList())</f>
        <v>7.8.4.2</v>
      </c>
      <c r="C552" s="62" t="s">
        <v>576</v>
      </c>
      <c r="D552" s="55">
        <f t="shared" si="83"/>
        <v>1</v>
      </c>
      <c r="E552" s="55"/>
      <c r="F552" s="55">
        <f t="shared" ca="1" si="79"/>
        <v>88</v>
      </c>
      <c r="G552" s="59" t="s">
        <v>8</v>
      </c>
      <c r="H552" s="60">
        <f t="shared" ref="H552:H558" ca="1" si="85">RANDBETWEEN(1,100)</f>
        <v>15</v>
      </c>
      <c r="I552" s="60">
        <f t="shared" ca="1" si="77"/>
        <v>1320</v>
      </c>
    </row>
    <row r="553" spans="1:9" s="58" customFormat="1" ht="15">
      <c r="A553" s="50">
        <v>4</v>
      </c>
      <c r="B553" s="51" t="str">
        <f ca="1">IF($A553="","",NumList())</f>
        <v>7.8.4.3</v>
      </c>
      <c r="C553" s="62" t="s">
        <v>577</v>
      </c>
      <c r="D553" s="55">
        <f t="shared" si="83"/>
        <v>1</v>
      </c>
      <c r="E553" s="55"/>
      <c r="F553" s="55">
        <f t="shared" ca="1" si="79"/>
        <v>17</v>
      </c>
      <c r="G553" s="59" t="s">
        <v>8</v>
      </c>
      <c r="H553" s="60">
        <f t="shared" ca="1" si="85"/>
        <v>52</v>
      </c>
      <c r="I553" s="60">
        <f t="shared" ca="1" si="77"/>
        <v>884</v>
      </c>
    </row>
    <row r="554" spans="1:9" s="58" customFormat="1" ht="15">
      <c r="A554" s="50">
        <v>4</v>
      </c>
      <c r="B554" s="51" t="str">
        <f ca="1">IF($A554="","",NumList())</f>
        <v>7.8.4.4</v>
      </c>
      <c r="C554" s="62" t="s">
        <v>578</v>
      </c>
      <c r="D554" s="55">
        <f t="shared" si="83"/>
        <v>1</v>
      </c>
      <c r="E554" s="55"/>
      <c r="F554" s="55">
        <f t="shared" ca="1" si="79"/>
        <v>81</v>
      </c>
      <c r="G554" s="59" t="s">
        <v>8</v>
      </c>
      <c r="H554" s="60">
        <f t="shared" ca="1" si="85"/>
        <v>7</v>
      </c>
      <c r="I554" s="60">
        <f t="shared" ca="1" si="77"/>
        <v>567</v>
      </c>
    </row>
    <row r="555" spans="1:9" s="58" customFormat="1" ht="14.25">
      <c r="A555" s="50" t="s">
        <v>516</v>
      </c>
      <c r="B555" s="51" t="str">
        <f>IF($A555="","",NumList())</f>
        <v/>
      </c>
      <c r="C555" s="61"/>
      <c r="D555" s="55">
        <f t="shared" si="83"/>
        <v>0</v>
      </c>
      <c r="E555" s="55"/>
      <c r="F555" s="55">
        <f t="shared" ca="1" si="79"/>
        <v>0</v>
      </c>
      <c r="G555" s="59"/>
      <c r="H555" s="60">
        <f t="shared" ca="1" si="85"/>
        <v>57</v>
      </c>
      <c r="I555" s="60">
        <f t="shared" ca="1" si="77"/>
        <v>0</v>
      </c>
    </row>
    <row r="556" spans="1:9" s="58" customFormat="1" ht="14.25">
      <c r="A556" s="50">
        <v>2</v>
      </c>
      <c r="B556" s="51" t="str">
        <f ca="1">IF($A556="","",NumList())</f>
        <v>7.9</v>
      </c>
      <c r="C556" s="61" t="s">
        <v>298</v>
      </c>
      <c r="D556" s="55">
        <f t="shared" si="83"/>
        <v>1</v>
      </c>
      <c r="E556" s="55"/>
      <c r="F556" s="55">
        <f t="shared" ca="1" si="79"/>
        <v>33</v>
      </c>
      <c r="G556" s="59" t="s">
        <v>98</v>
      </c>
      <c r="H556" s="60">
        <f t="shared" ca="1" si="85"/>
        <v>58</v>
      </c>
      <c r="I556" s="60">
        <f t="shared" ca="1" si="77"/>
        <v>1914</v>
      </c>
    </row>
    <row r="557" spans="1:9" s="58" customFormat="1" ht="14.25">
      <c r="A557" s="50" t="s">
        <v>516</v>
      </c>
      <c r="B557" s="51" t="str">
        <f>IF($A557="","",NumList())</f>
        <v/>
      </c>
      <c r="C557" s="61"/>
      <c r="D557" s="55">
        <f t="shared" si="83"/>
        <v>0</v>
      </c>
      <c r="E557" s="55"/>
      <c r="F557" s="55">
        <f t="shared" ca="1" si="79"/>
        <v>0</v>
      </c>
      <c r="G557" s="59"/>
      <c r="H557" s="60">
        <f t="shared" ca="1" si="85"/>
        <v>52</v>
      </c>
      <c r="I557" s="60">
        <f t="shared" ca="1" si="77"/>
        <v>0</v>
      </c>
    </row>
    <row r="558" spans="1:9" s="58" customFormat="1" ht="14.25">
      <c r="A558" s="50">
        <v>2</v>
      </c>
      <c r="B558" s="51" t="str">
        <f ca="1">IF($A558="","",NumList())</f>
        <v>7.10</v>
      </c>
      <c r="C558" s="61" t="s">
        <v>299</v>
      </c>
      <c r="D558" s="55">
        <f t="shared" si="83"/>
        <v>1</v>
      </c>
      <c r="E558" s="55"/>
      <c r="F558" s="55">
        <f t="shared" ca="1" si="79"/>
        <v>14</v>
      </c>
      <c r="G558" s="59" t="s">
        <v>98</v>
      </c>
      <c r="H558" s="60">
        <f t="shared" ca="1" si="85"/>
        <v>19</v>
      </c>
      <c r="I558" s="60">
        <f t="shared" ca="1" si="77"/>
        <v>266</v>
      </c>
    </row>
    <row r="559" spans="1:9" s="58" customFormat="1" ht="14.25">
      <c r="A559" s="50"/>
      <c r="B559" s="51" t="str">
        <f>IF($A559="","",NumList())</f>
        <v/>
      </c>
      <c r="C559" s="61"/>
      <c r="D559" s="55">
        <f t="shared" si="83"/>
        <v>0</v>
      </c>
      <c r="E559" s="55"/>
      <c r="F559" s="55"/>
      <c r="G559" s="59"/>
      <c r="H559" s="22"/>
      <c r="I559" s="60">
        <f t="shared" si="77"/>
        <v>0</v>
      </c>
    </row>
    <row r="560" spans="1:9" s="58" customFormat="1" ht="14.25" customHeight="1">
      <c r="A560" s="50"/>
      <c r="B560" s="32"/>
      <c r="C560" s="70"/>
      <c r="D560" s="71"/>
      <c r="E560" s="71"/>
      <c r="F560" s="71"/>
      <c r="G560" s="30"/>
      <c r="H560" s="16" t="s">
        <v>181</v>
      </c>
      <c r="I560" s="72">
        <f ca="1">SUM(I27:I559)</f>
        <v>884671</v>
      </c>
    </row>
    <row r="561" spans="1:10" s="58" customFormat="1" ht="14.25" customHeight="1">
      <c r="A561" s="50"/>
      <c r="B561" s="32"/>
      <c r="C561" s="70"/>
      <c r="D561" s="71"/>
      <c r="E561" s="71"/>
      <c r="F561" s="71"/>
      <c r="G561" s="30"/>
      <c r="H561" s="15"/>
      <c r="I561" s="15"/>
    </row>
    <row r="562" spans="1:10" s="58" customFormat="1" ht="14.25" customHeight="1">
      <c r="A562" s="50"/>
      <c r="B562" s="30"/>
      <c r="C562" s="70"/>
      <c r="D562" s="71"/>
      <c r="E562" s="71"/>
      <c r="F562" s="71"/>
      <c r="G562" s="30"/>
      <c r="H562" s="15"/>
      <c r="I562" s="15"/>
    </row>
    <row r="563" spans="1:10" s="58" customFormat="1" ht="14.25" customHeight="1">
      <c r="A563" s="50"/>
      <c r="B563" s="30"/>
      <c r="C563" s="30" t="s">
        <v>18</v>
      </c>
      <c r="D563" s="34" t="s">
        <v>20</v>
      </c>
      <c r="E563" s="34" t="s">
        <v>20</v>
      </c>
      <c r="F563" s="34" t="s">
        <v>20</v>
      </c>
      <c r="G563" s="32"/>
      <c r="H563" s="15"/>
      <c r="I563" s="15"/>
      <c r="J563" s="30"/>
    </row>
    <row r="564" spans="1:10" s="58" customFormat="1" ht="14.25" customHeight="1">
      <c r="A564" s="50"/>
      <c r="B564" s="30"/>
      <c r="C564" s="30"/>
      <c r="D564" s="34"/>
      <c r="E564" s="34"/>
      <c r="F564" s="34"/>
      <c r="G564" s="32"/>
      <c r="H564" s="15"/>
      <c r="I564" s="15"/>
      <c r="J564" s="30"/>
    </row>
    <row r="565" spans="1:10" s="58" customFormat="1" ht="14.25" customHeight="1">
      <c r="A565" s="50"/>
      <c r="B565" s="30"/>
      <c r="C565" s="30" t="s">
        <v>19</v>
      </c>
      <c r="D565" s="34" t="s">
        <v>20</v>
      </c>
      <c r="E565" s="34" t="s">
        <v>20</v>
      </c>
      <c r="F565" s="34" t="s">
        <v>20</v>
      </c>
      <c r="G565" s="32"/>
      <c r="H565" s="15"/>
      <c r="I565" s="15"/>
      <c r="J565" s="30"/>
    </row>
    <row r="566" spans="1:10">
      <c r="C566" s="73"/>
      <c r="H566" s="15"/>
      <c r="I566" s="15"/>
    </row>
    <row r="567" spans="1:10" ht="49.15" customHeight="1">
      <c r="C567" s="74" t="s">
        <v>188</v>
      </c>
      <c r="D567" s="74"/>
      <c r="E567" s="74"/>
      <c r="F567" s="74"/>
    </row>
    <row r="568" spans="1:10">
      <c r="C568" s="73"/>
    </row>
    <row r="569" spans="1:10">
      <c r="C569" s="73"/>
    </row>
    <row r="570" spans="1:10">
      <c r="C570" s="73"/>
    </row>
    <row r="571" spans="1:10">
      <c r="C571" s="73"/>
    </row>
    <row r="572" spans="1:10">
      <c r="C572" s="73"/>
    </row>
    <row r="573" spans="1:10">
      <c r="C573" s="73"/>
    </row>
    <row r="574" spans="1:10">
      <c r="C574" s="73"/>
    </row>
    <row r="575" spans="1:10">
      <c r="C575" s="73"/>
    </row>
    <row r="576" spans="1:10">
      <c r="C576" s="73"/>
    </row>
    <row r="577" spans="3:3">
      <c r="C577" s="73"/>
    </row>
    <row r="578" spans="3:3">
      <c r="C578" s="73"/>
    </row>
    <row r="579" spans="3:3">
      <c r="C579" s="73"/>
    </row>
    <row r="580" spans="3:3">
      <c r="C580" s="73"/>
    </row>
    <row r="581" spans="3:3">
      <c r="C581" s="73"/>
    </row>
    <row r="582" spans="3:3">
      <c r="C582" s="73"/>
    </row>
    <row r="583" spans="3:3">
      <c r="C583" s="73"/>
    </row>
    <row r="584" spans="3:3">
      <c r="C584" s="73"/>
    </row>
    <row r="585" spans="3:3">
      <c r="C585" s="73"/>
    </row>
    <row r="586" spans="3:3">
      <c r="C586" s="73"/>
    </row>
    <row r="587" spans="3:3">
      <c r="C587" s="73"/>
    </row>
    <row r="588" spans="3:3">
      <c r="C588" s="73"/>
    </row>
    <row r="589" spans="3:3">
      <c r="C589" s="73"/>
    </row>
    <row r="590" spans="3:3">
      <c r="C590" s="73"/>
    </row>
    <row r="591" spans="3:3">
      <c r="C591" s="73"/>
    </row>
    <row r="592" spans="3:3">
      <c r="C592" s="73"/>
    </row>
    <row r="593" spans="3:3">
      <c r="C593" s="73"/>
    </row>
    <row r="594" spans="3:3">
      <c r="C594" s="73"/>
    </row>
    <row r="595" spans="3:3">
      <c r="C595" s="73"/>
    </row>
    <row r="596" spans="3:3">
      <c r="C596" s="73"/>
    </row>
    <row r="597" spans="3:3">
      <c r="C597" s="73"/>
    </row>
    <row r="598" spans="3:3">
      <c r="C598" s="73"/>
    </row>
    <row r="599" spans="3:3">
      <c r="C599" s="73"/>
    </row>
    <row r="600" spans="3:3">
      <c r="C600" s="73"/>
    </row>
    <row r="601" spans="3:3">
      <c r="C601" s="73"/>
    </row>
    <row r="602" spans="3:3">
      <c r="C602" s="73"/>
    </row>
    <row r="603" spans="3:3">
      <c r="C603" s="73"/>
    </row>
    <row r="604" spans="3:3">
      <c r="C604" s="73"/>
    </row>
    <row r="605" spans="3:3">
      <c r="C605" s="73"/>
    </row>
    <row r="606" spans="3:3">
      <c r="C606" s="73"/>
    </row>
    <row r="607" spans="3:3">
      <c r="C607" s="73"/>
    </row>
    <row r="608" spans="3:3">
      <c r="C608" s="73"/>
    </row>
    <row r="609" spans="3:3">
      <c r="C609" s="73"/>
    </row>
    <row r="610" spans="3:3">
      <c r="C610" s="73"/>
    </row>
    <row r="611" spans="3:3">
      <c r="C611" s="73"/>
    </row>
    <row r="612" spans="3:3">
      <c r="C612" s="73"/>
    </row>
    <row r="613" spans="3:3">
      <c r="C613" s="73"/>
    </row>
    <row r="614" spans="3:3">
      <c r="C614" s="73"/>
    </row>
    <row r="615" spans="3:3">
      <c r="C615" s="73"/>
    </row>
    <row r="616" spans="3:3">
      <c r="C616" s="73"/>
    </row>
    <row r="617" spans="3:3">
      <c r="C617" s="73"/>
    </row>
    <row r="618" spans="3:3">
      <c r="C618" s="73"/>
    </row>
    <row r="619" spans="3:3">
      <c r="C619" s="73"/>
    </row>
    <row r="620" spans="3:3">
      <c r="C620" s="73"/>
    </row>
    <row r="621" spans="3:3">
      <c r="C621" s="73"/>
    </row>
    <row r="622" spans="3:3">
      <c r="C622" s="73"/>
    </row>
    <row r="623" spans="3:3">
      <c r="C623" s="73"/>
    </row>
    <row r="624" spans="3:3">
      <c r="C624" s="73"/>
    </row>
    <row r="625" spans="3:3">
      <c r="C625" s="73"/>
    </row>
    <row r="626" spans="3:3">
      <c r="C626" s="73"/>
    </row>
    <row r="627" spans="3:3">
      <c r="C627" s="73"/>
    </row>
    <row r="628" spans="3:3">
      <c r="C628" s="73"/>
    </row>
    <row r="629" spans="3:3">
      <c r="C629" s="73"/>
    </row>
    <row r="630" spans="3:3">
      <c r="C630" s="73"/>
    </row>
    <row r="631" spans="3:3">
      <c r="C631" s="73"/>
    </row>
    <row r="632" spans="3:3">
      <c r="C632" s="73"/>
    </row>
    <row r="633" spans="3:3">
      <c r="C633" s="73"/>
    </row>
    <row r="634" spans="3:3">
      <c r="C634" s="73"/>
    </row>
    <row r="635" spans="3:3">
      <c r="C635" s="73"/>
    </row>
    <row r="636" spans="3:3">
      <c r="C636" s="73"/>
    </row>
    <row r="637" spans="3:3">
      <c r="C637" s="73"/>
    </row>
    <row r="638" spans="3:3">
      <c r="C638" s="73"/>
    </row>
    <row r="639" spans="3:3">
      <c r="C639" s="73"/>
    </row>
    <row r="640" spans="3:3">
      <c r="C640" s="73"/>
    </row>
    <row r="641" spans="3:3">
      <c r="C641" s="73"/>
    </row>
    <row r="642" spans="3:3">
      <c r="C642" s="73"/>
    </row>
    <row r="643" spans="3:3">
      <c r="C643" s="73"/>
    </row>
    <row r="644" spans="3:3">
      <c r="C644" s="73"/>
    </row>
    <row r="645" spans="3:3">
      <c r="C645" s="73"/>
    </row>
    <row r="646" spans="3:3">
      <c r="C646" s="73"/>
    </row>
    <row r="647" spans="3:3">
      <c r="C647" s="73"/>
    </row>
    <row r="648" spans="3:3">
      <c r="C648" s="73"/>
    </row>
    <row r="649" spans="3:3">
      <c r="C649" s="73"/>
    </row>
    <row r="650" spans="3:3">
      <c r="C650" s="73"/>
    </row>
    <row r="651" spans="3:3">
      <c r="C651" s="73"/>
    </row>
    <row r="652" spans="3:3">
      <c r="C652" s="73"/>
    </row>
    <row r="653" spans="3:3">
      <c r="C653" s="73"/>
    </row>
    <row r="654" spans="3:3">
      <c r="C654" s="73"/>
    </row>
    <row r="655" spans="3:3">
      <c r="C655" s="73"/>
    </row>
    <row r="656" spans="3:3">
      <c r="C656" s="73"/>
    </row>
    <row r="657" spans="2:9">
      <c r="C657" s="73"/>
    </row>
    <row r="658" spans="2:9">
      <c r="C658" s="73"/>
    </row>
    <row r="659" spans="2:9">
      <c r="B659" s="3"/>
      <c r="C659" s="73"/>
      <c r="D659" s="3"/>
      <c r="E659" s="3"/>
      <c r="F659" s="3"/>
      <c r="G659" s="3"/>
      <c r="H659" s="3"/>
      <c r="I659" s="3"/>
    </row>
    <row r="660" spans="2:9">
      <c r="B660" s="3"/>
      <c r="C660" s="73"/>
      <c r="D660" s="3"/>
      <c r="E660" s="3"/>
      <c r="F660" s="3"/>
      <c r="G660" s="3"/>
      <c r="H660" s="3"/>
      <c r="I660" s="3"/>
    </row>
    <row r="661" spans="2:9">
      <c r="B661" s="3"/>
      <c r="C661" s="73"/>
      <c r="D661" s="3"/>
      <c r="E661" s="3"/>
      <c r="F661" s="3"/>
      <c r="G661" s="3"/>
      <c r="H661" s="3"/>
      <c r="I661" s="3"/>
    </row>
    <row r="662" spans="2:9">
      <c r="B662" s="3"/>
      <c r="C662" s="73"/>
      <c r="D662" s="3"/>
      <c r="E662" s="3"/>
      <c r="F662" s="3"/>
      <c r="G662" s="3"/>
      <c r="H662" s="3"/>
      <c r="I662" s="3"/>
    </row>
    <row r="663" spans="2:9">
      <c r="B663" s="3"/>
      <c r="C663" s="73"/>
      <c r="D663" s="3"/>
      <c r="E663" s="3"/>
      <c r="F663" s="3"/>
      <c r="G663" s="3"/>
      <c r="H663" s="3"/>
      <c r="I663" s="3"/>
    </row>
    <row r="664" spans="2:9">
      <c r="B664" s="3"/>
      <c r="C664" s="73"/>
      <c r="D664" s="3"/>
      <c r="E664" s="3"/>
      <c r="F664" s="3"/>
      <c r="G664" s="3"/>
      <c r="H664" s="3"/>
      <c r="I664" s="3"/>
    </row>
    <row r="665" spans="2:9">
      <c r="B665" s="3"/>
      <c r="C665" s="73"/>
      <c r="D665" s="3"/>
      <c r="E665" s="3"/>
      <c r="F665" s="3"/>
      <c r="G665" s="3"/>
      <c r="H665" s="3"/>
      <c r="I665" s="3"/>
    </row>
    <row r="666" spans="2:9">
      <c r="B666" s="3"/>
      <c r="C666" s="73"/>
      <c r="D666" s="3"/>
      <c r="E666" s="3"/>
      <c r="F666" s="3"/>
      <c r="G666" s="3"/>
      <c r="H666" s="3"/>
      <c r="I666" s="3"/>
    </row>
    <row r="667" spans="2:9">
      <c r="B667" s="3"/>
      <c r="C667" s="73"/>
      <c r="D667" s="3"/>
      <c r="E667" s="3"/>
      <c r="F667" s="3"/>
      <c r="G667" s="3"/>
      <c r="H667" s="3"/>
      <c r="I667" s="3"/>
    </row>
    <row r="668" spans="2:9">
      <c r="B668" s="3"/>
      <c r="C668" s="73"/>
      <c r="D668" s="3"/>
      <c r="E668" s="3"/>
      <c r="F668" s="3"/>
      <c r="G668" s="3"/>
      <c r="H668" s="3"/>
      <c r="I668" s="3"/>
    </row>
    <row r="669" spans="2:9">
      <c r="B669" s="3"/>
      <c r="C669" s="73"/>
      <c r="D669" s="3"/>
      <c r="E669" s="3"/>
      <c r="F669" s="3"/>
      <c r="G669" s="3"/>
      <c r="H669" s="3"/>
      <c r="I669" s="3"/>
    </row>
    <row r="670" spans="2:9">
      <c r="B670" s="3"/>
      <c r="C670" s="73"/>
      <c r="D670" s="3"/>
      <c r="E670" s="3"/>
      <c r="F670" s="3"/>
      <c r="G670" s="3"/>
      <c r="H670" s="3"/>
      <c r="I670" s="3"/>
    </row>
    <row r="671" spans="2:9">
      <c r="B671" s="3"/>
      <c r="C671" s="73"/>
      <c r="D671" s="3"/>
      <c r="E671" s="3"/>
      <c r="F671" s="3"/>
      <c r="G671" s="3"/>
      <c r="H671" s="3"/>
      <c r="I671" s="3"/>
    </row>
    <row r="672" spans="2:9">
      <c r="B672" s="3"/>
      <c r="C672" s="73"/>
      <c r="D672" s="3"/>
      <c r="E672" s="3"/>
      <c r="F672" s="3"/>
      <c r="G672" s="3"/>
      <c r="H672" s="3"/>
      <c r="I672" s="3"/>
    </row>
    <row r="673" spans="2:9">
      <c r="B673" s="3"/>
      <c r="C673" s="73"/>
      <c r="D673" s="3"/>
      <c r="E673" s="3"/>
      <c r="F673" s="3"/>
      <c r="G673" s="3"/>
      <c r="H673" s="3"/>
      <c r="I673" s="3"/>
    </row>
    <row r="674" spans="2:9">
      <c r="B674" s="3"/>
      <c r="C674" s="73"/>
      <c r="D674" s="3"/>
      <c r="E674" s="3"/>
      <c r="F674" s="3"/>
      <c r="G674" s="3"/>
      <c r="H674" s="3"/>
      <c r="I674" s="3"/>
    </row>
    <row r="675" spans="2:9">
      <c r="B675" s="3"/>
      <c r="C675" s="73"/>
      <c r="D675" s="3"/>
      <c r="E675" s="3"/>
      <c r="F675" s="3"/>
      <c r="G675" s="3"/>
      <c r="H675" s="3"/>
      <c r="I675" s="3"/>
    </row>
    <row r="676" spans="2:9">
      <c r="B676" s="3"/>
      <c r="C676" s="73"/>
      <c r="D676" s="3"/>
      <c r="E676" s="3"/>
      <c r="F676" s="3"/>
      <c r="G676" s="3"/>
      <c r="H676" s="3"/>
      <c r="I676" s="3"/>
    </row>
    <row r="677" spans="2:9">
      <c r="B677" s="3"/>
      <c r="C677" s="73"/>
      <c r="D677" s="3"/>
      <c r="E677" s="3"/>
      <c r="F677" s="3"/>
      <c r="G677" s="3"/>
      <c r="H677" s="3"/>
      <c r="I677" s="3"/>
    </row>
    <row r="678" spans="2:9">
      <c r="B678" s="3"/>
      <c r="C678" s="73"/>
      <c r="D678" s="3"/>
      <c r="E678" s="3"/>
      <c r="F678" s="3"/>
      <c r="G678" s="3"/>
      <c r="H678" s="3"/>
      <c r="I678" s="3"/>
    </row>
    <row r="679" spans="2:9">
      <c r="B679" s="3"/>
      <c r="C679" s="73"/>
      <c r="D679" s="3"/>
      <c r="E679" s="3"/>
      <c r="F679" s="3"/>
      <c r="G679" s="3"/>
      <c r="H679" s="3"/>
      <c r="I679" s="3"/>
    </row>
    <row r="680" spans="2:9">
      <c r="B680" s="3"/>
      <c r="C680" s="73"/>
      <c r="D680" s="3"/>
      <c r="E680" s="3"/>
      <c r="F680" s="3"/>
      <c r="G680" s="3"/>
      <c r="H680" s="3"/>
      <c r="I680" s="3"/>
    </row>
    <row r="681" spans="2:9">
      <c r="B681" s="3"/>
      <c r="C681" s="73"/>
      <c r="D681" s="3"/>
      <c r="E681" s="3"/>
      <c r="F681" s="3"/>
      <c r="G681" s="3"/>
      <c r="H681" s="3"/>
      <c r="I681" s="3"/>
    </row>
    <row r="682" spans="2:9">
      <c r="B682" s="3"/>
      <c r="C682" s="73"/>
      <c r="D682" s="3"/>
      <c r="E682" s="3"/>
      <c r="F682" s="3"/>
      <c r="G682" s="3"/>
      <c r="H682" s="3"/>
      <c r="I682" s="3"/>
    </row>
    <row r="683" spans="2:9">
      <c r="B683" s="3"/>
      <c r="C683" s="73"/>
      <c r="D683" s="3"/>
      <c r="E683" s="3"/>
      <c r="F683" s="3"/>
      <c r="G683" s="3"/>
      <c r="H683" s="3"/>
      <c r="I683" s="3"/>
    </row>
    <row r="684" spans="2:9">
      <c r="B684" s="3"/>
      <c r="C684" s="73"/>
      <c r="D684" s="3"/>
      <c r="E684" s="3"/>
      <c r="F684" s="3"/>
      <c r="G684" s="3"/>
      <c r="H684" s="3"/>
      <c r="I684" s="3"/>
    </row>
    <row r="685" spans="2:9">
      <c r="B685" s="3"/>
      <c r="C685" s="73"/>
      <c r="D685" s="3"/>
      <c r="E685" s="3"/>
      <c r="F685" s="3"/>
      <c r="G685" s="3"/>
      <c r="H685" s="3"/>
      <c r="I685" s="3"/>
    </row>
    <row r="686" spans="2:9">
      <c r="B686" s="3"/>
      <c r="C686" s="73"/>
      <c r="D686" s="3"/>
      <c r="E686" s="3"/>
      <c r="F686" s="3"/>
      <c r="G686" s="3"/>
      <c r="H686" s="3"/>
      <c r="I686" s="3"/>
    </row>
    <row r="687" spans="2:9">
      <c r="B687" s="3"/>
      <c r="C687" s="73"/>
      <c r="D687" s="3"/>
      <c r="E687" s="3"/>
      <c r="F687" s="3"/>
      <c r="G687" s="3"/>
      <c r="H687" s="3"/>
      <c r="I687" s="3"/>
    </row>
    <row r="688" spans="2:9">
      <c r="B688" s="3"/>
      <c r="C688" s="73"/>
      <c r="D688" s="3"/>
      <c r="E688" s="3"/>
      <c r="F688" s="3"/>
      <c r="G688" s="3"/>
      <c r="H688" s="3"/>
      <c r="I688" s="3"/>
    </row>
    <row r="689" spans="2:9">
      <c r="B689" s="3"/>
      <c r="C689" s="73"/>
      <c r="D689" s="3"/>
      <c r="E689" s="3"/>
      <c r="F689" s="3"/>
      <c r="G689" s="3"/>
      <c r="H689" s="3"/>
      <c r="I689" s="3"/>
    </row>
    <row r="690" spans="2:9">
      <c r="B690" s="3"/>
      <c r="C690" s="73"/>
      <c r="D690" s="3"/>
      <c r="E690" s="3"/>
      <c r="F690" s="3"/>
      <c r="G690" s="3"/>
      <c r="H690" s="3"/>
      <c r="I690" s="3"/>
    </row>
    <row r="691" spans="2:9">
      <c r="B691" s="3"/>
      <c r="C691" s="73"/>
      <c r="D691" s="3"/>
      <c r="E691" s="3"/>
      <c r="F691" s="3"/>
      <c r="G691" s="3"/>
      <c r="H691" s="3"/>
      <c r="I691" s="3"/>
    </row>
    <row r="692" spans="2:9">
      <c r="B692" s="3"/>
      <c r="C692" s="73"/>
      <c r="D692" s="3"/>
      <c r="E692" s="3"/>
      <c r="F692" s="3"/>
      <c r="G692" s="3"/>
      <c r="H692" s="3"/>
      <c r="I692" s="3"/>
    </row>
    <row r="693" spans="2:9">
      <c r="B693" s="3"/>
      <c r="C693" s="73"/>
      <c r="D693" s="3"/>
      <c r="E693" s="3"/>
      <c r="F693" s="3"/>
      <c r="G693" s="3"/>
      <c r="H693" s="3"/>
      <c r="I693" s="3"/>
    </row>
    <row r="694" spans="2:9">
      <c r="B694" s="3"/>
      <c r="C694" s="73"/>
      <c r="D694" s="3"/>
      <c r="E694" s="3"/>
      <c r="F694" s="3"/>
      <c r="G694" s="3"/>
      <c r="H694" s="3"/>
      <c r="I694" s="3"/>
    </row>
    <row r="695" spans="2:9">
      <c r="B695" s="3"/>
      <c r="C695" s="73"/>
      <c r="D695" s="3"/>
      <c r="E695" s="3"/>
      <c r="F695" s="3"/>
      <c r="G695" s="3"/>
      <c r="H695" s="3"/>
      <c r="I695" s="3"/>
    </row>
    <row r="696" spans="2:9">
      <c r="B696" s="3"/>
      <c r="C696" s="73"/>
      <c r="D696" s="3"/>
      <c r="E696" s="3"/>
      <c r="F696" s="3"/>
      <c r="G696" s="3"/>
      <c r="H696" s="3"/>
      <c r="I696" s="3"/>
    </row>
    <row r="697" spans="2:9">
      <c r="B697" s="3"/>
      <c r="C697" s="73"/>
      <c r="D697" s="3"/>
      <c r="E697" s="3"/>
      <c r="F697" s="3"/>
      <c r="G697" s="3"/>
      <c r="H697" s="3"/>
      <c r="I697" s="3"/>
    </row>
    <row r="698" spans="2:9">
      <c r="B698" s="3"/>
      <c r="C698" s="73"/>
      <c r="D698" s="3"/>
      <c r="E698" s="3"/>
      <c r="F698" s="3"/>
      <c r="G698" s="3"/>
      <c r="H698" s="3"/>
      <c r="I698" s="3"/>
    </row>
    <row r="699" spans="2:9">
      <c r="B699" s="3"/>
      <c r="C699" s="73"/>
      <c r="D699" s="3"/>
      <c r="E699" s="3"/>
      <c r="F699" s="3"/>
      <c r="G699" s="3"/>
      <c r="H699" s="3"/>
      <c r="I699" s="3"/>
    </row>
    <row r="700" spans="2:9">
      <c r="B700" s="3"/>
      <c r="C700" s="73"/>
      <c r="D700" s="3"/>
      <c r="E700" s="3"/>
      <c r="F700" s="3"/>
      <c r="G700" s="3"/>
      <c r="H700" s="3"/>
      <c r="I700" s="3"/>
    </row>
    <row r="701" spans="2:9">
      <c r="B701" s="3"/>
      <c r="C701" s="73"/>
      <c r="D701" s="3"/>
      <c r="E701" s="3"/>
      <c r="F701" s="3"/>
      <c r="G701" s="3"/>
      <c r="H701" s="3"/>
      <c r="I701" s="3"/>
    </row>
    <row r="702" spans="2:9">
      <c r="B702" s="3"/>
      <c r="C702" s="73"/>
      <c r="D702" s="3"/>
      <c r="E702" s="3"/>
      <c r="F702" s="3"/>
      <c r="G702" s="3"/>
      <c r="H702" s="3"/>
      <c r="I702" s="3"/>
    </row>
    <row r="703" spans="2:9">
      <c r="B703" s="3"/>
      <c r="C703" s="73"/>
      <c r="D703" s="3"/>
      <c r="E703" s="3"/>
      <c r="F703" s="3"/>
      <c r="G703" s="3"/>
      <c r="H703" s="3"/>
      <c r="I703" s="3"/>
    </row>
    <row r="704" spans="2:9">
      <c r="B704" s="3"/>
      <c r="C704" s="73"/>
      <c r="D704" s="3"/>
      <c r="E704" s="3"/>
      <c r="F704" s="3"/>
      <c r="G704" s="3"/>
      <c r="H704" s="3"/>
      <c r="I704" s="3"/>
    </row>
    <row r="705" spans="2:9">
      <c r="B705" s="3"/>
      <c r="C705" s="73"/>
      <c r="D705" s="3"/>
      <c r="E705" s="3"/>
      <c r="F705" s="3"/>
      <c r="G705" s="3"/>
      <c r="H705" s="3"/>
      <c r="I705" s="3"/>
    </row>
    <row r="706" spans="2:9">
      <c r="B706" s="3"/>
      <c r="C706" s="73"/>
      <c r="D706" s="3"/>
      <c r="E706" s="3"/>
      <c r="F706" s="3"/>
      <c r="G706" s="3"/>
      <c r="H706" s="3"/>
      <c r="I706" s="3"/>
    </row>
    <row r="707" spans="2:9">
      <c r="B707" s="3"/>
      <c r="C707" s="73"/>
      <c r="D707" s="3"/>
      <c r="E707" s="3"/>
      <c r="F707" s="3"/>
      <c r="G707" s="3"/>
      <c r="H707" s="3"/>
      <c r="I707" s="3"/>
    </row>
    <row r="708" spans="2:9">
      <c r="B708" s="3"/>
      <c r="C708" s="73"/>
      <c r="D708" s="3"/>
      <c r="E708" s="3"/>
      <c r="F708" s="3"/>
      <c r="G708" s="3"/>
      <c r="H708" s="3"/>
      <c r="I708" s="3"/>
    </row>
    <row r="709" spans="2:9">
      <c r="B709" s="3"/>
      <c r="C709" s="73"/>
      <c r="D709" s="3"/>
      <c r="E709" s="3"/>
      <c r="F709" s="3"/>
      <c r="G709" s="3"/>
      <c r="H709" s="3"/>
      <c r="I709" s="3"/>
    </row>
    <row r="710" spans="2:9">
      <c r="B710" s="3"/>
      <c r="C710" s="73"/>
      <c r="D710" s="3"/>
      <c r="E710" s="3"/>
      <c r="F710" s="3"/>
      <c r="G710" s="3"/>
      <c r="H710" s="3"/>
      <c r="I710" s="3"/>
    </row>
    <row r="711" spans="2:9">
      <c r="B711" s="3"/>
      <c r="C711" s="73"/>
      <c r="D711" s="3"/>
      <c r="E711" s="3"/>
      <c r="F711" s="3"/>
      <c r="G711" s="3"/>
      <c r="H711" s="3"/>
      <c r="I711" s="3"/>
    </row>
    <row r="712" spans="2:9">
      <c r="B712" s="3"/>
      <c r="C712" s="73"/>
      <c r="D712" s="3"/>
      <c r="E712" s="3"/>
      <c r="F712" s="3"/>
      <c r="G712" s="3"/>
      <c r="H712" s="3"/>
      <c r="I712" s="3"/>
    </row>
    <row r="713" spans="2:9">
      <c r="B713" s="3"/>
      <c r="C713" s="73"/>
      <c r="D713" s="3"/>
      <c r="E713" s="3"/>
      <c r="F713" s="3"/>
      <c r="G713" s="3"/>
      <c r="H713" s="3"/>
      <c r="I713" s="3"/>
    </row>
    <row r="714" spans="2:9">
      <c r="B714" s="3"/>
      <c r="C714" s="73"/>
      <c r="D714" s="3"/>
      <c r="E714" s="3"/>
      <c r="F714" s="3"/>
      <c r="G714" s="3"/>
      <c r="H714" s="3"/>
      <c r="I714" s="3"/>
    </row>
    <row r="715" spans="2:9">
      <c r="B715" s="3"/>
      <c r="C715" s="73"/>
      <c r="D715" s="3"/>
      <c r="E715" s="3"/>
      <c r="F715" s="3"/>
      <c r="G715" s="3"/>
      <c r="H715" s="3"/>
      <c r="I715" s="3"/>
    </row>
    <row r="716" spans="2:9">
      <c r="B716" s="3"/>
      <c r="C716" s="73"/>
      <c r="D716" s="3"/>
      <c r="E716" s="3"/>
      <c r="F716" s="3"/>
      <c r="G716" s="3"/>
      <c r="H716" s="3"/>
      <c r="I716" s="3"/>
    </row>
    <row r="717" spans="2:9">
      <c r="B717" s="3"/>
      <c r="C717" s="73"/>
      <c r="D717" s="3"/>
      <c r="E717" s="3"/>
      <c r="F717" s="3"/>
      <c r="G717" s="3"/>
      <c r="H717" s="3"/>
      <c r="I717" s="3"/>
    </row>
    <row r="718" spans="2:9">
      <c r="B718" s="3"/>
      <c r="C718" s="73"/>
      <c r="D718" s="3"/>
      <c r="E718" s="3"/>
      <c r="F718" s="3"/>
      <c r="G718" s="3"/>
      <c r="H718" s="3"/>
      <c r="I718" s="3"/>
    </row>
    <row r="719" spans="2:9">
      <c r="B719" s="3"/>
      <c r="C719" s="73"/>
      <c r="D719" s="3"/>
      <c r="E719" s="3"/>
      <c r="F719" s="3"/>
      <c r="G719" s="3"/>
      <c r="H719" s="3"/>
      <c r="I719" s="3"/>
    </row>
    <row r="720" spans="2:9">
      <c r="B720" s="3"/>
      <c r="C720" s="73"/>
      <c r="D720" s="3"/>
      <c r="E720" s="3"/>
      <c r="F720" s="3"/>
      <c r="G720" s="3"/>
      <c r="H720" s="3"/>
      <c r="I720" s="3"/>
    </row>
    <row r="721" spans="2:9">
      <c r="B721" s="3"/>
      <c r="C721" s="73"/>
      <c r="D721" s="3"/>
      <c r="E721" s="3"/>
      <c r="F721" s="3"/>
      <c r="G721" s="3"/>
      <c r="H721" s="3"/>
      <c r="I721" s="3"/>
    </row>
    <row r="722" spans="2:9">
      <c r="B722" s="3"/>
      <c r="C722" s="73"/>
      <c r="D722" s="3"/>
      <c r="E722" s="3"/>
      <c r="F722" s="3"/>
      <c r="G722" s="3"/>
      <c r="H722" s="3"/>
      <c r="I722" s="3"/>
    </row>
    <row r="723" spans="2:9">
      <c r="B723" s="3"/>
      <c r="C723" s="73"/>
      <c r="D723" s="3"/>
      <c r="E723" s="3"/>
      <c r="F723" s="3"/>
      <c r="G723" s="3"/>
      <c r="H723" s="3"/>
      <c r="I723" s="3"/>
    </row>
    <row r="724" spans="2:9">
      <c r="B724" s="3"/>
      <c r="C724" s="73"/>
      <c r="D724" s="3"/>
      <c r="E724" s="3"/>
      <c r="F724" s="3"/>
      <c r="G724" s="3"/>
      <c r="H724" s="3"/>
      <c r="I724" s="3"/>
    </row>
    <row r="725" spans="2:9">
      <c r="B725" s="3"/>
      <c r="C725" s="73"/>
      <c r="D725" s="3"/>
      <c r="E725" s="3"/>
      <c r="F725" s="3"/>
      <c r="G725" s="3"/>
      <c r="H725" s="3"/>
      <c r="I725" s="3"/>
    </row>
    <row r="726" spans="2:9">
      <c r="B726" s="3"/>
      <c r="C726" s="73"/>
      <c r="D726" s="3"/>
      <c r="E726" s="3"/>
      <c r="F726" s="3"/>
      <c r="G726" s="3"/>
      <c r="H726" s="3"/>
      <c r="I726" s="3"/>
    </row>
    <row r="727" spans="2:9">
      <c r="B727" s="3"/>
      <c r="C727" s="73"/>
      <c r="D727" s="3"/>
      <c r="E727" s="3"/>
      <c r="F727" s="3"/>
      <c r="G727" s="3"/>
      <c r="H727" s="3"/>
      <c r="I727" s="3"/>
    </row>
    <row r="728" spans="2:9">
      <c r="B728" s="3"/>
      <c r="C728" s="73"/>
      <c r="D728" s="3"/>
      <c r="E728" s="3"/>
      <c r="F728" s="3"/>
      <c r="G728" s="3"/>
      <c r="H728" s="3"/>
      <c r="I728" s="3"/>
    </row>
    <row r="729" spans="2:9">
      <c r="B729" s="3"/>
      <c r="C729" s="73"/>
      <c r="D729" s="3"/>
      <c r="E729" s="3"/>
      <c r="F729" s="3"/>
      <c r="G729" s="3"/>
      <c r="H729" s="3"/>
      <c r="I729" s="3"/>
    </row>
    <row r="730" spans="2:9">
      <c r="B730" s="3"/>
      <c r="C730" s="73"/>
      <c r="D730" s="3"/>
      <c r="E730" s="3"/>
      <c r="F730" s="3"/>
      <c r="G730" s="3"/>
      <c r="H730" s="3"/>
      <c r="I730" s="3"/>
    </row>
    <row r="731" spans="2:9">
      <c r="B731" s="3"/>
      <c r="C731" s="73"/>
      <c r="D731" s="3"/>
      <c r="E731" s="3"/>
      <c r="F731" s="3"/>
      <c r="G731" s="3"/>
      <c r="H731" s="3"/>
      <c r="I731" s="3"/>
    </row>
    <row r="732" spans="2:9">
      <c r="B732" s="3"/>
      <c r="C732" s="73"/>
      <c r="D732" s="3"/>
      <c r="E732" s="3"/>
      <c r="F732" s="3"/>
      <c r="G732" s="3"/>
      <c r="H732" s="3"/>
      <c r="I732" s="3"/>
    </row>
    <row r="733" spans="2:9">
      <c r="B733" s="3"/>
      <c r="C733" s="73"/>
      <c r="D733" s="3"/>
      <c r="E733" s="3"/>
      <c r="F733" s="3"/>
      <c r="G733" s="3"/>
      <c r="H733" s="3"/>
      <c r="I733" s="3"/>
    </row>
    <row r="734" spans="2:9">
      <c r="B734" s="3"/>
      <c r="C734" s="73"/>
      <c r="D734" s="3"/>
      <c r="E734" s="3"/>
      <c r="F734" s="3"/>
      <c r="G734" s="3"/>
      <c r="H734" s="3"/>
      <c r="I734" s="3"/>
    </row>
    <row r="735" spans="2:9">
      <c r="B735" s="3"/>
      <c r="C735" s="73"/>
      <c r="D735" s="3"/>
      <c r="E735" s="3"/>
      <c r="F735" s="3"/>
      <c r="G735" s="3"/>
      <c r="H735" s="3"/>
      <c r="I735" s="3"/>
    </row>
    <row r="736" spans="2:9">
      <c r="B736" s="3"/>
      <c r="C736" s="73"/>
      <c r="D736" s="3"/>
      <c r="E736" s="3"/>
      <c r="F736" s="3"/>
      <c r="G736" s="3"/>
      <c r="H736" s="3"/>
      <c r="I736" s="3"/>
    </row>
    <row r="737" spans="2:9">
      <c r="B737" s="3"/>
      <c r="C737" s="73"/>
      <c r="D737" s="3"/>
      <c r="E737" s="3"/>
      <c r="F737" s="3"/>
      <c r="G737" s="3"/>
      <c r="H737" s="3"/>
      <c r="I737" s="3"/>
    </row>
    <row r="738" spans="2:9">
      <c r="B738" s="3"/>
      <c r="C738" s="73"/>
      <c r="D738" s="3"/>
      <c r="E738" s="3"/>
      <c r="F738" s="3"/>
      <c r="G738" s="3"/>
      <c r="H738" s="3"/>
      <c r="I738" s="3"/>
    </row>
    <row r="739" spans="2:9">
      <c r="B739" s="3"/>
      <c r="C739" s="73"/>
      <c r="D739" s="3"/>
      <c r="E739" s="3"/>
      <c r="F739" s="3"/>
      <c r="G739" s="3"/>
      <c r="H739" s="3"/>
      <c r="I739" s="3"/>
    </row>
    <row r="740" spans="2:9">
      <c r="B740" s="3"/>
      <c r="C740" s="73"/>
      <c r="D740" s="3"/>
      <c r="E740" s="3"/>
      <c r="F740" s="3"/>
      <c r="G740" s="3"/>
      <c r="H740" s="3"/>
      <c r="I740" s="3"/>
    </row>
    <row r="741" spans="2:9">
      <c r="B741" s="3"/>
      <c r="C741" s="73"/>
      <c r="D741" s="3"/>
      <c r="E741" s="3"/>
      <c r="F741" s="3"/>
      <c r="G741" s="3"/>
      <c r="H741" s="3"/>
      <c r="I741" s="3"/>
    </row>
    <row r="742" spans="2:9">
      <c r="B742" s="3"/>
      <c r="C742" s="73"/>
      <c r="D742" s="3"/>
      <c r="E742" s="3"/>
      <c r="F742" s="3"/>
      <c r="G742" s="3"/>
      <c r="H742" s="3"/>
      <c r="I742" s="3"/>
    </row>
    <row r="743" spans="2:9">
      <c r="B743" s="3"/>
      <c r="C743" s="73"/>
      <c r="D743" s="3"/>
      <c r="E743" s="3"/>
      <c r="F743" s="3"/>
      <c r="G743" s="3"/>
      <c r="H743" s="3"/>
      <c r="I743" s="3"/>
    </row>
    <row r="744" spans="2:9">
      <c r="B744" s="3"/>
      <c r="C744" s="73"/>
      <c r="D744" s="3"/>
      <c r="E744" s="3"/>
      <c r="F744" s="3"/>
      <c r="G744" s="3"/>
      <c r="H744" s="3"/>
      <c r="I744" s="3"/>
    </row>
    <row r="745" spans="2:9">
      <c r="B745" s="3"/>
      <c r="C745" s="73"/>
      <c r="D745" s="3"/>
      <c r="E745" s="3"/>
      <c r="F745" s="3"/>
      <c r="G745" s="3"/>
      <c r="H745" s="3"/>
      <c r="I745" s="3"/>
    </row>
    <row r="746" spans="2:9">
      <c r="B746" s="3"/>
      <c r="C746" s="73"/>
      <c r="D746" s="3"/>
      <c r="E746" s="3"/>
      <c r="F746" s="3"/>
      <c r="G746" s="3"/>
      <c r="H746" s="3"/>
      <c r="I746" s="3"/>
    </row>
    <row r="747" spans="2:9">
      <c r="B747" s="3"/>
      <c r="C747" s="73"/>
      <c r="D747" s="3"/>
      <c r="E747" s="3"/>
      <c r="F747" s="3"/>
      <c r="G747" s="3"/>
      <c r="H747" s="3"/>
      <c r="I747" s="3"/>
    </row>
    <row r="748" spans="2:9">
      <c r="B748" s="3"/>
      <c r="C748" s="73"/>
      <c r="D748" s="3"/>
      <c r="E748" s="3"/>
      <c r="F748" s="3"/>
      <c r="G748" s="3"/>
      <c r="H748" s="3"/>
      <c r="I748" s="3"/>
    </row>
    <row r="749" spans="2:9">
      <c r="B749" s="3"/>
      <c r="C749" s="73"/>
      <c r="D749" s="3"/>
      <c r="E749" s="3"/>
      <c r="F749" s="3"/>
      <c r="G749" s="3"/>
      <c r="H749" s="3"/>
      <c r="I749" s="3"/>
    </row>
    <row r="750" spans="2:9">
      <c r="B750" s="3"/>
      <c r="C750" s="73"/>
      <c r="D750" s="3"/>
      <c r="E750" s="3"/>
      <c r="F750" s="3"/>
      <c r="G750" s="3"/>
      <c r="H750" s="3"/>
      <c r="I750" s="3"/>
    </row>
    <row r="751" spans="2:9">
      <c r="B751" s="3"/>
      <c r="C751" s="73"/>
      <c r="D751" s="3"/>
      <c r="E751" s="3"/>
      <c r="F751" s="3"/>
      <c r="G751" s="3"/>
      <c r="H751" s="3"/>
      <c r="I751" s="3"/>
    </row>
    <row r="752" spans="2:9">
      <c r="B752" s="3"/>
      <c r="C752" s="73"/>
      <c r="D752" s="3"/>
      <c r="E752" s="3"/>
      <c r="F752" s="3"/>
      <c r="G752" s="3"/>
      <c r="H752" s="3"/>
      <c r="I752" s="3"/>
    </row>
    <row r="753" spans="2:9">
      <c r="B753" s="3"/>
      <c r="C753" s="73"/>
      <c r="D753" s="3"/>
      <c r="E753" s="3"/>
      <c r="F753" s="3"/>
      <c r="G753" s="3"/>
      <c r="H753" s="3"/>
      <c r="I753" s="3"/>
    </row>
    <row r="754" spans="2:9">
      <c r="B754" s="3"/>
      <c r="C754" s="73"/>
      <c r="D754" s="3"/>
      <c r="E754" s="3"/>
      <c r="F754" s="3"/>
      <c r="G754" s="3"/>
      <c r="H754" s="3"/>
      <c r="I754" s="3"/>
    </row>
    <row r="755" spans="2:9">
      <c r="B755" s="3"/>
      <c r="C755" s="73"/>
      <c r="D755" s="3"/>
      <c r="E755" s="3"/>
      <c r="F755" s="3"/>
      <c r="G755" s="3"/>
      <c r="H755" s="3"/>
      <c r="I755" s="3"/>
    </row>
    <row r="756" spans="2:9">
      <c r="B756" s="3"/>
      <c r="C756" s="73"/>
      <c r="D756" s="3"/>
      <c r="E756" s="3"/>
      <c r="F756" s="3"/>
      <c r="G756" s="3"/>
      <c r="H756" s="3"/>
      <c r="I756" s="3"/>
    </row>
    <row r="757" spans="2:9">
      <c r="B757" s="3"/>
      <c r="C757" s="73"/>
      <c r="D757" s="3"/>
      <c r="E757" s="3"/>
      <c r="F757" s="3"/>
      <c r="G757" s="3"/>
      <c r="H757" s="3"/>
      <c r="I757" s="3"/>
    </row>
    <row r="758" spans="2:9">
      <c r="B758" s="3"/>
      <c r="C758" s="73"/>
      <c r="D758" s="3"/>
      <c r="E758" s="3"/>
      <c r="F758" s="3"/>
      <c r="G758" s="3"/>
      <c r="H758" s="3"/>
      <c r="I758" s="3"/>
    </row>
    <row r="759" spans="2:9">
      <c r="B759" s="3"/>
      <c r="C759" s="73"/>
      <c r="D759" s="3"/>
      <c r="E759" s="3"/>
      <c r="F759" s="3"/>
      <c r="G759" s="3"/>
      <c r="H759" s="3"/>
      <c r="I759" s="3"/>
    </row>
    <row r="760" spans="2:9">
      <c r="B760" s="3"/>
      <c r="C760" s="73"/>
      <c r="D760" s="3"/>
      <c r="E760" s="3"/>
      <c r="F760" s="3"/>
      <c r="G760" s="3"/>
      <c r="H760" s="3"/>
      <c r="I760" s="3"/>
    </row>
    <row r="761" spans="2:9">
      <c r="B761" s="3"/>
      <c r="C761" s="73"/>
      <c r="D761" s="3"/>
      <c r="E761" s="3"/>
      <c r="F761" s="3"/>
      <c r="G761" s="3"/>
      <c r="H761" s="3"/>
      <c r="I761" s="3"/>
    </row>
    <row r="762" spans="2:9">
      <c r="B762" s="3"/>
      <c r="C762" s="73"/>
      <c r="D762" s="3"/>
      <c r="E762" s="3"/>
      <c r="F762" s="3"/>
      <c r="G762" s="3"/>
      <c r="H762" s="3"/>
      <c r="I762" s="3"/>
    </row>
    <row r="763" spans="2:9">
      <c r="B763" s="3"/>
      <c r="C763" s="73"/>
      <c r="D763" s="3"/>
      <c r="E763" s="3"/>
      <c r="F763" s="3"/>
      <c r="G763" s="3"/>
      <c r="H763" s="3"/>
      <c r="I763" s="3"/>
    </row>
    <row r="764" spans="2:9">
      <c r="B764" s="3"/>
      <c r="C764" s="73"/>
      <c r="D764" s="3"/>
      <c r="E764" s="3"/>
      <c r="F764" s="3"/>
      <c r="G764" s="3"/>
      <c r="H764" s="3"/>
      <c r="I764" s="3"/>
    </row>
    <row r="765" spans="2:9">
      <c r="B765" s="3"/>
      <c r="C765" s="73"/>
      <c r="D765" s="3"/>
      <c r="E765" s="3"/>
      <c r="F765" s="3"/>
      <c r="G765" s="3"/>
      <c r="H765" s="3"/>
      <c r="I765" s="3"/>
    </row>
    <row r="766" spans="2:9">
      <c r="B766" s="3"/>
      <c r="C766" s="73"/>
      <c r="D766" s="3"/>
      <c r="E766" s="3"/>
      <c r="F766" s="3"/>
      <c r="G766" s="3"/>
      <c r="H766" s="3"/>
      <c r="I766" s="3"/>
    </row>
    <row r="767" spans="2:9">
      <c r="B767" s="3"/>
      <c r="C767" s="73"/>
      <c r="D767" s="3"/>
      <c r="E767" s="3"/>
      <c r="F767" s="3"/>
      <c r="G767" s="3"/>
      <c r="H767" s="3"/>
      <c r="I767" s="3"/>
    </row>
    <row r="768" spans="2:9">
      <c r="B768" s="3"/>
      <c r="C768" s="73"/>
      <c r="D768" s="3"/>
      <c r="E768" s="3"/>
      <c r="F768" s="3"/>
      <c r="G768" s="3"/>
      <c r="H768" s="3"/>
      <c r="I768" s="3"/>
    </row>
    <row r="769" spans="2:9">
      <c r="B769" s="3"/>
      <c r="C769" s="73"/>
      <c r="D769" s="3"/>
      <c r="E769" s="3"/>
      <c r="F769" s="3"/>
      <c r="G769" s="3"/>
      <c r="H769" s="3"/>
      <c r="I769" s="3"/>
    </row>
    <row r="770" spans="2:9">
      <c r="B770" s="3"/>
      <c r="C770" s="73"/>
      <c r="D770" s="3"/>
      <c r="E770" s="3"/>
      <c r="F770" s="3"/>
      <c r="G770" s="3"/>
      <c r="H770" s="3"/>
      <c r="I770" s="3"/>
    </row>
    <row r="771" spans="2:9">
      <c r="B771" s="3"/>
      <c r="C771" s="73"/>
      <c r="D771" s="3"/>
      <c r="E771" s="3"/>
      <c r="F771" s="3"/>
      <c r="G771" s="3"/>
      <c r="H771" s="3"/>
      <c r="I771" s="3"/>
    </row>
    <row r="772" spans="2:9">
      <c r="B772" s="3"/>
      <c r="C772" s="73"/>
      <c r="D772" s="3"/>
      <c r="E772" s="3"/>
      <c r="F772" s="3"/>
      <c r="G772" s="3"/>
      <c r="H772" s="3"/>
      <c r="I772" s="3"/>
    </row>
    <row r="773" spans="2:9">
      <c r="B773" s="3"/>
      <c r="C773" s="73"/>
      <c r="D773" s="3"/>
      <c r="E773" s="3"/>
      <c r="F773" s="3"/>
      <c r="G773" s="3"/>
      <c r="H773" s="3"/>
      <c r="I773" s="3"/>
    </row>
    <row r="774" spans="2:9">
      <c r="B774" s="3"/>
      <c r="C774" s="73"/>
      <c r="D774" s="3"/>
      <c r="E774" s="3"/>
      <c r="F774" s="3"/>
      <c r="G774" s="3"/>
      <c r="H774" s="3"/>
      <c r="I774" s="3"/>
    </row>
    <row r="775" spans="2:9">
      <c r="B775" s="3"/>
      <c r="C775" s="73"/>
      <c r="D775" s="3"/>
      <c r="E775" s="3"/>
      <c r="F775" s="3"/>
      <c r="G775" s="3"/>
      <c r="H775" s="3"/>
      <c r="I775" s="3"/>
    </row>
    <row r="776" spans="2:9">
      <c r="B776" s="3"/>
      <c r="C776" s="73"/>
      <c r="D776" s="3"/>
      <c r="E776" s="3"/>
      <c r="F776" s="3"/>
      <c r="G776" s="3"/>
      <c r="H776" s="3"/>
      <c r="I776" s="3"/>
    </row>
    <row r="777" spans="2:9">
      <c r="B777" s="3"/>
      <c r="C777" s="73"/>
      <c r="D777" s="3"/>
      <c r="E777" s="3"/>
      <c r="F777" s="3"/>
      <c r="G777" s="3"/>
      <c r="H777" s="3"/>
      <c r="I777" s="3"/>
    </row>
    <row r="778" spans="2:9">
      <c r="B778" s="3"/>
      <c r="C778" s="73"/>
      <c r="D778" s="3"/>
      <c r="E778" s="3"/>
      <c r="F778" s="3"/>
      <c r="G778" s="3"/>
      <c r="H778" s="3"/>
      <c r="I778" s="3"/>
    </row>
    <row r="779" spans="2:9">
      <c r="B779" s="3"/>
      <c r="C779" s="73"/>
      <c r="D779" s="3"/>
      <c r="E779" s="3"/>
      <c r="F779" s="3"/>
      <c r="G779" s="3"/>
      <c r="H779" s="3"/>
      <c r="I779" s="3"/>
    </row>
    <row r="780" spans="2:9">
      <c r="B780" s="3"/>
      <c r="C780" s="73"/>
      <c r="D780" s="3"/>
      <c r="E780" s="3"/>
      <c r="F780" s="3"/>
      <c r="G780" s="3"/>
      <c r="H780" s="3"/>
      <c r="I780" s="3"/>
    </row>
    <row r="781" spans="2:9">
      <c r="B781" s="3"/>
      <c r="C781" s="73"/>
      <c r="D781" s="3"/>
      <c r="E781" s="3"/>
      <c r="F781" s="3"/>
      <c r="G781" s="3"/>
      <c r="H781" s="3"/>
      <c r="I781" s="3"/>
    </row>
    <row r="782" spans="2:9">
      <c r="B782" s="3"/>
      <c r="C782" s="73"/>
      <c r="D782" s="3"/>
      <c r="E782" s="3"/>
      <c r="F782" s="3"/>
      <c r="G782" s="3"/>
      <c r="H782" s="3"/>
      <c r="I782" s="3"/>
    </row>
    <row r="783" spans="2:9">
      <c r="B783" s="3"/>
      <c r="C783" s="73"/>
      <c r="D783" s="3"/>
      <c r="E783" s="3"/>
      <c r="F783" s="3"/>
      <c r="G783" s="3"/>
      <c r="H783" s="3"/>
      <c r="I783" s="3"/>
    </row>
    <row r="784" spans="2:9">
      <c r="B784" s="3"/>
      <c r="C784" s="73"/>
      <c r="D784" s="3"/>
      <c r="E784" s="3"/>
      <c r="F784" s="3"/>
      <c r="G784" s="3"/>
      <c r="H784" s="3"/>
      <c r="I784" s="3"/>
    </row>
    <row r="785" spans="2:9">
      <c r="B785" s="3"/>
      <c r="C785" s="73"/>
      <c r="D785" s="3"/>
      <c r="E785" s="3"/>
      <c r="F785" s="3"/>
      <c r="G785" s="3"/>
      <c r="H785" s="3"/>
      <c r="I785" s="3"/>
    </row>
    <row r="786" spans="2:9">
      <c r="B786" s="3"/>
      <c r="C786" s="73"/>
      <c r="D786" s="3"/>
      <c r="E786" s="3"/>
      <c r="F786" s="3"/>
      <c r="G786" s="3"/>
      <c r="H786" s="3"/>
      <c r="I786" s="3"/>
    </row>
    <row r="787" spans="2:9">
      <c r="B787" s="3"/>
      <c r="C787" s="73"/>
      <c r="D787" s="3"/>
      <c r="E787" s="3"/>
      <c r="F787" s="3"/>
      <c r="G787" s="3"/>
      <c r="H787" s="3"/>
      <c r="I787" s="3"/>
    </row>
    <row r="788" spans="2:9">
      <c r="B788" s="3"/>
      <c r="C788" s="73"/>
      <c r="D788" s="3"/>
      <c r="E788" s="3"/>
      <c r="F788" s="3"/>
      <c r="G788" s="3"/>
      <c r="H788" s="3"/>
      <c r="I788" s="3"/>
    </row>
    <row r="789" spans="2:9">
      <c r="B789" s="3"/>
      <c r="C789" s="73"/>
      <c r="D789" s="3"/>
      <c r="E789" s="3"/>
      <c r="F789" s="3"/>
      <c r="G789" s="3"/>
      <c r="H789" s="3"/>
      <c r="I789" s="3"/>
    </row>
    <row r="790" spans="2:9">
      <c r="B790" s="3"/>
      <c r="C790" s="73"/>
      <c r="D790" s="3"/>
      <c r="E790" s="3"/>
      <c r="F790" s="3"/>
      <c r="G790" s="3"/>
      <c r="H790" s="3"/>
      <c r="I790" s="3"/>
    </row>
    <row r="791" spans="2:9">
      <c r="B791" s="3"/>
      <c r="C791" s="73"/>
      <c r="D791" s="3"/>
      <c r="E791" s="3"/>
      <c r="F791" s="3"/>
      <c r="G791" s="3"/>
      <c r="H791" s="3"/>
      <c r="I791" s="3"/>
    </row>
    <row r="792" spans="2:9">
      <c r="B792" s="3"/>
      <c r="C792" s="73"/>
      <c r="D792" s="3"/>
      <c r="E792" s="3"/>
      <c r="F792" s="3"/>
      <c r="G792" s="3"/>
      <c r="H792" s="3"/>
      <c r="I792" s="3"/>
    </row>
    <row r="793" spans="2:9">
      <c r="B793" s="3"/>
      <c r="C793" s="73"/>
      <c r="D793" s="3"/>
      <c r="E793" s="3"/>
      <c r="F793" s="3"/>
      <c r="G793" s="3"/>
      <c r="H793" s="3"/>
      <c r="I793" s="3"/>
    </row>
    <row r="794" spans="2:9">
      <c r="B794" s="3"/>
      <c r="C794" s="73"/>
      <c r="D794" s="3"/>
      <c r="E794" s="3"/>
      <c r="F794" s="3"/>
      <c r="G794" s="3"/>
      <c r="H794" s="3"/>
      <c r="I794" s="3"/>
    </row>
    <row r="795" spans="2:9">
      <c r="B795" s="3"/>
      <c r="C795" s="73"/>
      <c r="D795" s="3"/>
      <c r="E795" s="3"/>
      <c r="F795" s="3"/>
      <c r="G795" s="3"/>
      <c r="H795" s="3"/>
      <c r="I795" s="3"/>
    </row>
    <row r="796" spans="2:9">
      <c r="B796" s="3"/>
      <c r="C796" s="73"/>
      <c r="D796" s="3"/>
      <c r="E796" s="3"/>
      <c r="F796" s="3"/>
      <c r="G796" s="3"/>
      <c r="H796" s="3"/>
      <c r="I796" s="3"/>
    </row>
    <row r="797" spans="2:9">
      <c r="B797" s="3"/>
      <c r="C797" s="73"/>
      <c r="D797" s="3"/>
      <c r="E797" s="3"/>
      <c r="F797" s="3"/>
      <c r="G797" s="3"/>
      <c r="H797" s="3"/>
      <c r="I797" s="3"/>
    </row>
    <row r="798" spans="2:9">
      <c r="B798" s="3"/>
      <c r="C798" s="73"/>
      <c r="D798" s="3"/>
      <c r="E798" s="3"/>
      <c r="F798" s="3"/>
      <c r="G798" s="3"/>
      <c r="H798" s="3"/>
      <c r="I798" s="3"/>
    </row>
    <row r="799" spans="2:9">
      <c r="B799" s="3"/>
      <c r="C799" s="73"/>
      <c r="D799" s="3"/>
      <c r="E799" s="3"/>
      <c r="F799" s="3"/>
      <c r="G799" s="3"/>
      <c r="H799" s="3"/>
      <c r="I799" s="3"/>
    </row>
    <row r="800" spans="2:9">
      <c r="B800" s="3"/>
      <c r="C800" s="73"/>
      <c r="D800" s="3"/>
      <c r="E800" s="3"/>
      <c r="F800" s="3"/>
      <c r="G800" s="3"/>
      <c r="H800" s="3"/>
      <c r="I800" s="3"/>
    </row>
    <row r="801" spans="2:9">
      <c r="B801" s="3"/>
      <c r="C801" s="73"/>
      <c r="D801" s="3"/>
      <c r="E801" s="3"/>
      <c r="F801" s="3"/>
      <c r="G801" s="3"/>
      <c r="H801" s="3"/>
      <c r="I801" s="3"/>
    </row>
    <row r="802" spans="2:9">
      <c r="B802" s="3"/>
      <c r="C802" s="73"/>
      <c r="D802" s="3"/>
      <c r="E802" s="3"/>
      <c r="F802" s="3"/>
      <c r="G802" s="3"/>
      <c r="H802" s="3"/>
      <c r="I802" s="3"/>
    </row>
    <row r="803" spans="2:9">
      <c r="B803" s="3"/>
      <c r="C803" s="73"/>
      <c r="D803" s="3"/>
      <c r="E803" s="3"/>
      <c r="F803" s="3"/>
      <c r="G803" s="3"/>
      <c r="H803" s="3"/>
      <c r="I803" s="3"/>
    </row>
    <row r="804" spans="2:9">
      <c r="B804" s="3"/>
      <c r="C804" s="73"/>
      <c r="D804" s="3"/>
      <c r="E804" s="3"/>
      <c r="F804" s="3"/>
      <c r="G804" s="3"/>
      <c r="H804" s="3"/>
      <c r="I804" s="3"/>
    </row>
    <row r="805" spans="2:9">
      <c r="B805" s="3"/>
      <c r="C805" s="73"/>
      <c r="D805" s="3"/>
      <c r="E805" s="3"/>
      <c r="F805" s="3"/>
      <c r="G805" s="3"/>
      <c r="H805" s="3"/>
      <c r="I805" s="3"/>
    </row>
    <row r="806" spans="2:9">
      <c r="B806" s="3"/>
      <c r="C806" s="73"/>
      <c r="D806" s="3"/>
      <c r="E806" s="3"/>
      <c r="F806" s="3"/>
      <c r="G806" s="3"/>
      <c r="H806" s="3"/>
      <c r="I806" s="3"/>
    </row>
    <row r="807" spans="2:9">
      <c r="B807" s="3"/>
      <c r="C807" s="73"/>
      <c r="D807" s="3"/>
      <c r="E807" s="3"/>
      <c r="F807" s="3"/>
      <c r="G807" s="3"/>
      <c r="H807" s="3"/>
      <c r="I807" s="3"/>
    </row>
    <row r="808" spans="2:9">
      <c r="B808" s="3"/>
      <c r="C808" s="73"/>
      <c r="D808" s="3"/>
      <c r="E808" s="3"/>
      <c r="F808" s="3"/>
      <c r="G808" s="3"/>
      <c r="H808" s="3"/>
      <c r="I808" s="3"/>
    </row>
    <row r="809" spans="2:9">
      <c r="B809" s="3"/>
      <c r="C809" s="73"/>
      <c r="D809" s="3"/>
      <c r="E809" s="3"/>
      <c r="F809" s="3"/>
      <c r="G809" s="3"/>
      <c r="H809" s="3"/>
      <c r="I809" s="3"/>
    </row>
    <row r="810" spans="2:9">
      <c r="B810" s="3"/>
      <c r="C810" s="73"/>
      <c r="D810" s="3"/>
      <c r="E810" s="3"/>
      <c r="F810" s="3"/>
      <c r="G810" s="3"/>
      <c r="H810" s="3"/>
      <c r="I810" s="3"/>
    </row>
    <row r="811" spans="2:9">
      <c r="B811" s="3"/>
      <c r="C811" s="73"/>
      <c r="D811" s="3"/>
      <c r="E811" s="3"/>
      <c r="F811" s="3"/>
      <c r="G811" s="3"/>
      <c r="H811" s="3"/>
      <c r="I811" s="3"/>
    </row>
    <row r="812" spans="2:9">
      <c r="B812" s="3"/>
      <c r="C812" s="73"/>
      <c r="D812" s="3"/>
      <c r="E812" s="3"/>
      <c r="F812" s="3"/>
      <c r="G812" s="3"/>
      <c r="H812" s="3"/>
      <c r="I812" s="3"/>
    </row>
    <row r="813" spans="2:9">
      <c r="B813" s="3"/>
      <c r="C813" s="73"/>
      <c r="D813" s="3"/>
      <c r="E813" s="3"/>
      <c r="F813" s="3"/>
      <c r="G813" s="3"/>
      <c r="H813" s="3"/>
      <c r="I813" s="3"/>
    </row>
    <row r="814" spans="2:9">
      <c r="B814" s="3"/>
      <c r="C814" s="73"/>
      <c r="D814" s="3"/>
      <c r="E814" s="3"/>
      <c r="F814" s="3"/>
      <c r="G814" s="3"/>
      <c r="H814" s="3"/>
      <c r="I814" s="3"/>
    </row>
    <row r="815" spans="2:9">
      <c r="B815" s="3"/>
      <c r="C815" s="73"/>
      <c r="D815" s="3"/>
      <c r="E815" s="3"/>
      <c r="F815" s="3"/>
      <c r="G815" s="3"/>
      <c r="H815" s="3"/>
      <c r="I815" s="3"/>
    </row>
    <row r="816" spans="2:9">
      <c r="B816" s="3"/>
      <c r="C816" s="73"/>
      <c r="D816" s="3"/>
      <c r="E816" s="3"/>
      <c r="F816" s="3"/>
      <c r="G816" s="3"/>
      <c r="H816" s="3"/>
      <c r="I816" s="3"/>
    </row>
    <row r="817" spans="2:9">
      <c r="B817" s="3"/>
      <c r="C817" s="73"/>
      <c r="D817" s="3"/>
      <c r="E817" s="3"/>
      <c r="F817" s="3"/>
      <c r="G817" s="3"/>
      <c r="H817" s="3"/>
      <c r="I817" s="3"/>
    </row>
    <row r="818" spans="2:9">
      <c r="B818" s="3"/>
      <c r="C818" s="73"/>
      <c r="D818" s="3"/>
      <c r="E818" s="3"/>
      <c r="F818" s="3"/>
      <c r="G818" s="3"/>
      <c r="H818" s="3"/>
      <c r="I818" s="3"/>
    </row>
    <row r="819" spans="2:9">
      <c r="B819" s="3"/>
      <c r="C819" s="73"/>
      <c r="D819" s="3"/>
      <c r="E819" s="3"/>
      <c r="F819" s="3"/>
      <c r="G819" s="3"/>
      <c r="H819" s="3"/>
      <c r="I819" s="3"/>
    </row>
    <row r="820" spans="2:9">
      <c r="B820" s="3"/>
      <c r="C820" s="73"/>
      <c r="D820" s="3"/>
      <c r="E820" s="3"/>
      <c r="F820" s="3"/>
      <c r="G820" s="3"/>
      <c r="H820" s="3"/>
      <c r="I820" s="3"/>
    </row>
    <row r="821" spans="2:9">
      <c r="B821" s="3"/>
      <c r="C821" s="73"/>
      <c r="D821" s="3"/>
      <c r="E821" s="3"/>
      <c r="F821" s="3"/>
      <c r="G821" s="3"/>
      <c r="H821" s="3"/>
      <c r="I821" s="3"/>
    </row>
    <row r="822" spans="2:9">
      <c r="B822" s="3"/>
      <c r="C822" s="73"/>
      <c r="D822" s="3"/>
      <c r="E822" s="3"/>
      <c r="F822" s="3"/>
      <c r="G822" s="3"/>
      <c r="H822" s="3"/>
      <c r="I822" s="3"/>
    </row>
    <row r="823" spans="2:9">
      <c r="B823" s="3"/>
      <c r="C823" s="73"/>
      <c r="D823" s="3"/>
      <c r="E823" s="3"/>
      <c r="F823" s="3"/>
      <c r="G823" s="3"/>
      <c r="H823" s="3"/>
      <c r="I823" s="3"/>
    </row>
    <row r="824" spans="2:9">
      <c r="B824" s="3"/>
      <c r="C824" s="73"/>
      <c r="D824" s="3"/>
      <c r="E824" s="3"/>
      <c r="F824" s="3"/>
      <c r="G824" s="3"/>
      <c r="H824" s="3"/>
      <c r="I824" s="3"/>
    </row>
    <row r="825" spans="2:9">
      <c r="B825" s="3"/>
      <c r="C825" s="73"/>
      <c r="D825" s="3"/>
      <c r="E825" s="3"/>
      <c r="F825" s="3"/>
      <c r="G825" s="3"/>
      <c r="H825" s="3"/>
      <c r="I825" s="3"/>
    </row>
    <row r="826" spans="2:9">
      <c r="B826" s="3"/>
      <c r="C826" s="73"/>
      <c r="D826" s="3"/>
      <c r="E826" s="3"/>
      <c r="F826" s="3"/>
      <c r="G826" s="3"/>
      <c r="H826" s="3"/>
      <c r="I826" s="3"/>
    </row>
    <row r="827" spans="2:9">
      <c r="B827" s="3"/>
      <c r="C827" s="73"/>
      <c r="D827" s="3"/>
      <c r="E827" s="3"/>
      <c r="F827" s="3"/>
      <c r="G827" s="3"/>
      <c r="H827" s="3"/>
      <c r="I827" s="3"/>
    </row>
    <row r="828" spans="2:9">
      <c r="B828" s="3"/>
      <c r="C828" s="73"/>
      <c r="D828" s="3"/>
      <c r="E828" s="3"/>
      <c r="F828" s="3"/>
      <c r="G828" s="3"/>
      <c r="H828" s="3"/>
      <c r="I828" s="3"/>
    </row>
    <row r="829" spans="2:9">
      <c r="B829" s="3"/>
      <c r="C829" s="73"/>
      <c r="D829" s="3"/>
      <c r="E829" s="3"/>
      <c r="F829" s="3"/>
      <c r="G829" s="3"/>
      <c r="H829" s="3"/>
      <c r="I829" s="3"/>
    </row>
    <row r="830" spans="2:9">
      <c r="B830" s="3"/>
      <c r="C830" s="73"/>
      <c r="D830" s="3"/>
      <c r="E830" s="3"/>
      <c r="F830" s="3"/>
      <c r="G830" s="3"/>
      <c r="H830" s="3"/>
      <c r="I830" s="3"/>
    </row>
    <row r="831" spans="2:9">
      <c r="B831" s="3"/>
      <c r="C831" s="73"/>
      <c r="D831" s="3"/>
      <c r="E831" s="3"/>
      <c r="F831" s="3"/>
      <c r="G831" s="3"/>
      <c r="H831" s="3"/>
      <c r="I831" s="3"/>
    </row>
    <row r="832" spans="2:9">
      <c r="B832" s="3"/>
      <c r="C832" s="73"/>
      <c r="D832" s="3"/>
      <c r="E832" s="3"/>
      <c r="F832" s="3"/>
      <c r="G832" s="3"/>
      <c r="H832" s="3"/>
      <c r="I832" s="3"/>
    </row>
    <row r="833" spans="2:9">
      <c r="B833" s="3"/>
      <c r="C833" s="73"/>
      <c r="D833" s="3"/>
      <c r="E833" s="3"/>
      <c r="F833" s="3"/>
      <c r="G833" s="3"/>
      <c r="H833" s="3"/>
      <c r="I833" s="3"/>
    </row>
    <row r="834" spans="2:9">
      <c r="B834" s="3"/>
      <c r="C834" s="73"/>
      <c r="D834" s="3"/>
      <c r="E834" s="3"/>
      <c r="F834" s="3"/>
      <c r="G834" s="3"/>
      <c r="H834" s="3"/>
      <c r="I834" s="3"/>
    </row>
    <row r="835" spans="2:9">
      <c r="B835" s="3"/>
      <c r="C835" s="73"/>
      <c r="D835" s="3"/>
      <c r="E835" s="3"/>
      <c r="F835" s="3"/>
      <c r="G835" s="3"/>
      <c r="H835" s="3"/>
      <c r="I835" s="3"/>
    </row>
    <row r="836" spans="2:9">
      <c r="B836" s="3"/>
      <c r="C836" s="73"/>
      <c r="D836" s="3"/>
      <c r="E836" s="3"/>
      <c r="F836" s="3"/>
      <c r="G836" s="3"/>
      <c r="H836" s="3"/>
      <c r="I836" s="3"/>
    </row>
    <row r="837" spans="2:9">
      <c r="B837" s="3"/>
      <c r="C837" s="73"/>
      <c r="D837" s="3"/>
      <c r="E837" s="3"/>
      <c r="F837" s="3"/>
      <c r="G837" s="3"/>
      <c r="H837" s="3"/>
      <c r="I837" s="3"/>
    </row>
    <row r="838" spans="2:9">
      <c r="B838" s="3"/>
      <c r="C838" s="73"/>
      <c r="D838" s="3"/>
      <c r="E838" s="3"/>
      <c r="F838" s="3"/>
      <c r="G838" s="3"/>
      <c r="H838" s="3"/>
      <c r="I838" s="3"/>
    </row>
    <row r="839" spans="2:9">
      <c r="B839" s="3"/>
      <c r="C839" s="73"/>
      <c r="D839" s="3"/>
      <c r="E839" s="3"/>
      <c r="F839" s="3"/>
      <c r="G839" s="3"/>
      <c r="H839" s="3"/>
      <c r="I839" s="3"/>
    </row>
    <row r="840" spans="2:9">
      <c r="B840" s="3"/>
      <c r="C840" s="73"/>
      <c r="D840" s="3"/>
      <c r="E840" s="3"/>
      <c r="F840" s="3"/>
      <c r="G840" s="3"/>
      <c r="H840" s="3"/>
      <c r="I840" s="3"/>
    </row>
    <row r="841" spans="2:9">
      <c r="B841" s="3"/>
      <c r="C841" s="73"/>
      <c r="D841" s="3"/>
      <c r="E841" s="3"/>
      <c r="F841" s="3"/>
      <c r="G841" s="3"/>
      <c r="H841" s="3"/>
      <c r="I841" s="3"/>
    </row>
    <row r="842" spans="2:9">
      <c r="B842" s="3"/>
      <c r="C842" s="73"/>
      <c r="D842" s="3"/>
      <c r="E842" s="3"/>
      <c r="F842" s="3"/>
      <c r="G842" s="3"/>
      <c r="H842" s="3"/>
      <c r="I842" s="3"/>
    </row>
    <row r="843" spans="2:9">
      <c r="B843" s="3"/>
      <c r="C843" s="73"/>
      <c r="D843" s="3"/>
      <c r="E843" s="3"/>
      <c r="F843" s="3"/>
      <c r="G843" s="3"/>
      <c r="H843" s="3"/>
      <c r="I843" s="3"/>
    </row>
    <row r="844" spans="2:9">
      <c r="B844" s="3"/>
      <c r="C844" s="73"/>
      <c r="D844" s="3"/>
      <c r="E844" s="3"/>
      <c r="F844" s="3"/>
      <c r="G844" s="3"/>
      <c r="H844" s="3"/>
      <c r="I844" s="3"/>
    </row>
    <row r="845" spans="2:9">
      <c r="B845" s="3"/>
      <c r="C845" s="73"/>
      <c r="D845" s="3"/>
      <c r="E845" s="3"/>
      <c r="F845" s="3"/>
      <c r="G845" s="3"/>
      <c r="H845" s="3"/>
      <c r="I845" s="3"/>
    </row>
    <row r="846" spans="2:9">
      <c r="B846" s="3"/>
      <c r="C846" s="73"/>
      <c r="D846" s="3"/>
      <c r="E846" s="3"/>
      <c r="F846" s="3"/>
      <c r="G846" s="3"/>
      <c r="H846" s="3"/>
      <c r="I846" s="3"/>
    </row>
    <row r="847" spans="2:9">
      <c r="B847" s="3"/>
      <c r="C847" s="73"/>
      <c r="D847" s="3"/>
      <c r="E847" s="3"/>
      <c r="F847" s="3"/>
      <c r="G847" s="3"/>
      <c r="H847" s="3"/>
      <c r="I847" s="3"/>
    </row>
    <row r="848" spans="2:9">
      <c r="B848" s="3"/>
      <c r="C848" s="73"/>
      <c r="D848" s="3"/>
      <c r="E848" s="3"/>
      <c r="F848" s="3"/>
      <c r="G848" s="3"/>
      <c r="H848" s="3"/>
      <c r="I848" s="3"/>
    </row>
    <row r="849" spans="2:9">
      <c r="B849" s="3"/>
      <c r="C849" s="73"/>
      <c r="D849" s="3"/>
      <c r="E849" s="3"/>
      <c r="F849" s="3"/>
      <c r="G849" s="3"/>
      <c r="H849" s="3"/>
      <c r="I849" s="3"/>
    </row>
    <row r="850" spans="2:9">
      <c r="B850" s="3"/>
      <c r="C850" s="73"/>
      <c r="D850" s="3"/>
      <c r="E850" s="3"/>
      <c r="F850" s="3"/>
      <c r="G850" s="3"/>
      <c r="H850" s="3"/>
      <c r="I850" s="3"/>
    </row>
    <row r="851" spans="2:9">
      <c r="B851" s="3"/>
      <c r="C851" s="73"/>
      <c r="D851" s="3"/>
      <c r="E851" s="3"/>
      <c r="F851" s="3"/>
      <c r="G851" s="3"/>
      <c r="H851" s="3"/>
      <c r="I851" s="3"/>
    </row>
    <row r="852" spans="2:9">
      <c r="B852" s="3"/>
      <c r="C852" s="73"/>
      <c r="D852" s="3"/>
      <c r="E852" s="3"/>
      <c r="F852" s="3"/>
      <c r="G852" s="3"/>
      <c r="H852" s="3"/>
      <c r="I852" s="3"/>
    </row>
    <row r="853" spans="2:9">
      <c r="B853" s="3"/>
      <c r="C853" s="73"/>
      <c r="D853" s="3"/>
      <c r="E853" s="3"/>
      <c r="F853" s="3"/>
      <c r="G853" s="3"/>
      <c r="H853" s="3"/>
      <c r="I853" s="3"/>
    </row>
    <row r="854" spans="2:9">
      <c r="B854" s="3"/>
      <c r="C854" s="73"/>
      <c r="D854" s="3"/>
      <c r="E854" s="3"/>
      <c r="F854" s="3"/>
      <c r="G854" s="3"/>
      <c r="H854" s="3"/>
      <c r="I854" s="3"/>
    </row>
    <row r="855" spans="2:9">
      <c r="B855" s="3"/>
      <c r="C855" s="73"/>
      <c r="D855" s="3"/>
      <c r="E855" s="3"/>
      <c r="F855" s="3"/>
      <c r="G855" s="3"/>
      <c r="H855" s="3"/>
      <c r="I855" s="3"/>
    </row>
    <row r="856" spans="2:9">
      <c r="B856" s="3"/>
      <c r="C856" s="73"/>
      <c r="D856" s="3"/>
      <c r="E856" s="3"/>
      <c r="F856" s="3"/>
      <c r="G856" s="3"/>
      <c r="H856" s="3"/>
      <c r="I856" s="3"/>
    </row>
    <row r="857" spans="2:9">
      <c r="B857" s="3"/>
      <c r="C857" s="73"/>
      <c r="D857" s="3"/>
      <c r="E857" s="3"/>
      <c r="F857" s="3"/>
      <c r="G857" s="3"/>
      <c r="H857" s="3"/>
      <c r="I857" s="3"/>
    </row>
    <row r="858" spans="2:9">
      <c r="B858" s="3"/>
      <c r="C858" s="73"/>
      <c r="D858" s="3"/>
      <c r="E858" s="3"/>
      <c r="F858" s="3"/>
      <c r="G858" s="3"/>
      <c r="H858" s="3"/>
      <c r="I858" s="3"/>
    </row>
    <row r="859" spans="2:9">
      <c r="B859" s="3"/>
      <c r="C859" s="73"/>
      <c r="D859" s="3"/>
      <c r="E859" s="3"/>
      <c r="F859" s="3"/>
      <c r="G859" s="3"/>
      <c r="H859" s="3"/>
      <c r="I859" s="3"/>
    </row>
    <row r="860" spans="2:9">
      <c r="B860" s="3"/>
      <c r="C860" s="73"/>
      <c r="D860" s="3"/>
      <c r="E860" s="3"/>
      <c r="F860" s="3"/>
      <c r="G860" s="3"/>
      <c r="H860" s="3"/>
      <c r="I860" s="3"/>
    </row>
    <row r="861" spans="2:9">
      <c r="B861" s="3"/>
      <c r="C861" s="73"/>
      <c r="D861" s="3"/>
      <c r="E861" s="3"/>
      <c r="F861" s="3"/>
      <c r="G861" s="3"/>
      <c r="H861" s="3"/>
      <c r="I861" s="3"/>
    </row>
    <row r="862" spans="2:9">
      <c r="B862" s="3"/>
      <c r="C862" s="73"/>
      <c r="D862" s="3"/>
      <c r="E862" s="3"/>
      <c r="F862" s="3"/>
      <c r="G862" s="3"/>
      <c r="H862" s="3"/>
      <c r="I862" s="3"/>
    </row>
    <row r="863" spans="2:9">
      <c r="B863" s="3"/>
      <c r="C863" s="73"/>
      <c r="D863" s="3"/>
      <c r="E863" s="3"/>
      <c r="F863" s="3"/>
      <c r="G863" s="3"/>
      <c r="H863" s="3"/>
      <c r="I863" s="3"/>
    </row>
    <row r="864" spans="2:9">
      <c r="B864" s="3"/>
      <c r="C864" s="73"/>
      <c r="D864" s="3"/>
      <c r="E864" s="3"/>
      <c r="F864" s="3"/>
      <c r="G864" s="3"/>
      <c r="H864" s="3"/>
      <c r="I864" s="3"/>
    </row>
    <row r="865" spans="2:9">
      <c r="B865" s="3"/>
      <c r="C865" s="73"/>
      <c r="D865" s="3"/>
      <c r="E865" s="3"/>
      <c r="F865" s="3"/>
      <c r="G865" s="3"/>
      <c r="H865" s="3"/>
      <c r="I865" s="3"/>
    </row>
    <row r="866" spans="2:9">
      <c r="B866" s="3"/>
      <c r="C866" s="73"/>
      <c r="D866" s="3"/>
      <c r="E866" s="3"/>
      <c r="F866" s="3"/>
      <c r="G866" s="3"/>
      <c r="H866" s="3"/>
      <c r="I866" s="3"/>
    </row>
    <row r="867" spans="2:9">
      <c r="B867" s="3"/>
      <c r="C867" s="73"/>
      <c r="D867" s="3"/>
      <c r="E867" s="3"/>
      <c r="F867" s="3"/>
      <c r="G867" s="3"/>
      <c r="H867" s="3"/>
      <c r="I867" s="3"/>
    </row>
    <row r="868" spans="2:9">
      <c r="B868" s="3"/>
      <c r="C868" s="73"/>
      <c r="D868" s="3"/>
      <c r="E868" s="3"/>
      <c r="F868" s="3"/>
      <c r="G868" s="3"/>
      <c r="H868" s="3"/>
      <c r="I868" s="3"/>
    </row>
    <row r="869" spans="2:9">
      <c r="B869" s="3"/>
      <c r="C869" s="73"/>
      <c r="D869" s="3"/>
      <c r="E869" s="3"/>
      <c r="F869" s="3"/>
      <c r="G869" s="3"/>
      <c r="H869" s="3"/>
      <c r="I869" s="3"/>
    </row>
    <row r="870" spans="2:9">
      <c r="B870" s="3"/>
      <c r="C870" s="73"/>
      <c r="D870" s="3"/>
      <c r="E870" s="3"/>
      <c r="F870" s="3"/>
      <c r="G870" s="3"/>
      <c r="H870" s="3"/>
      <c r="I870" s="3"/>
    </row>
    <row r="871" spans="2:9">
      <c r="B871" s="3"/>
      <c r="C871" s="73"/>
      <c r="D871" s="3"/>
      <c r="E871" s="3"/>
      <c r="F871" s="3"/>
      <c r="G871" s="3"/>
      <c r="H871" s="3"/>
      <c r="I871" s="3"/>
    </row>
    <row r="872" spans="2:9">
      <c r="B872" s="3"/>
      <c r="C872" s="73"/>
      <c r="D872" s="3"/>
      <c r="E872" s="3"/>
      <c r="F872" s="3"/>
      <c r="G872" s="3"/>
      <c r="H872" s="3"/>
      <c r="I872" s="3"/>
    </row>
    <row r="873" spans="2:9">
      <c r="B873" s="3"/>
      <c r="C873" s="73"/>
      <c r="D873" s="3"/>
      <c r="E873" s="3"/>
      <c r="F873" s="3"/>
      <c r="G873" s="3"/>
      <c r="H873" s="3"/>
      <c r="I873" s="3"/>
    </row>
    <row r="874" spans="2:9">
      <c r="B874" s="3"/>
      <c r="C874" s="73"/>
      <c r="D874" s="3"/>
      <c r="E874" s="3"/>
      <c r="F874" s="3"/>
      <c r="G874" s="3"/>
      <c r="H874" s="3"/>
      <c r="I874" s="3"/>
    </row>
    <row r="875" spans="2:9">
      <c r="B875" s="3"/>
      <c r="C875" s="73"/>
      <c r="D875" s="3"/>
      <c r="E875" s="3"/>
      <c r="F875" s="3"/>
      <c r="G875" s="3"/>
      <c r="H875" s="3"/>
      <c r="I875" s="3"/>
    </row>
    <row r="876" spans="2:9">
      <c r="B876" s="3"/>
      <c r="C876" s="73"/>
      <c r="D876" s="3"/>
      <c r="E876" s="3"/>
      <c r="F876" s="3"/>
      <c r="G876" s="3"/>
      <c r="H876" s="3"/>
      <c r="I876" s="3"/>
    </row>
    <row r="877" spans="2:9">
      <c r="B877" s="3"/>
      <c r="C877" s="73"/>
      <c r="D877" s="3"/>
      <c r="E877" s="3"/>
      <c r="F877" s="3"/>
      <c r="G877" s="3"/>
      <c r="H877" s="3"/>
      <c r="I877" s="3"/>
    </row>
    <row r="878" spans="2:9">
      <c r="B878" s="3"/>
      <c r="C878" s="73"/>
      <c r="D878" s="3"/>
      <c r="E878" s="3"/>
      <c r="F878" s="3"/>
      <c r="G878" s="3"/>
      <c r="H878" s="3"/>
      <c r="I878" s="3"/>
    </row>
    <row r="879" spans="2:9">
      <c r="B879" s="3"/>
      <c r="C879" s="73"/>
      <c r="D879" s="3"/>
      <c r="E879" s="3"/>
      <c r="F879" s="3"/>
      <c r="G879" s="3"/>
      <c r="H879" s="3"/>
      <c r="I879" s="3"/>
    </row>
    <row r="880" spans="2:9">
      <c r="B880" s="3"/>
      <c r="C880" s="73"/>
      <c r="D880" s="3"/>
      <c r="E880" s="3"/>
      <c r="F880" s="3"/>
      <c r="G880" s="3"/>
      <c r="H880" s="3"/>
      <c r="I880" s="3"/>
    </row>
    <row r="881" spans="2:9">
      <c r="B881" s="3"/>
      <c r="C881" s="73"/>
      <c r="D881" s="3"/>
      <c r="E881" s="3"/>
      <c r="F881" s="3"/>
      <c r="G881" s="3"/>
      <c r="H881" s="3"/>
      <c r="I881" s="3"/>
    </row>
    <row r="882" spans="2:9">
      <c r="B882" s="3"/>
      <c r="C882" s="73"/>
      <c r="D882" s="3"/>
      <c r="E882" s="3"/>
      <c r="F882" s="3"/>
      <c r="G882" s="3"/>
      <c r="H882" s="3"/>
      <c r="I882" s="3"/>
    </row>
    <row r="883" spans="2:9">
      <c r="B883" s="3"/>
      <c r="C883" s="73"/>
      <c r="D883" s="3"/>
      <c r="E883" s="3"/>
      <c r="F883" s="3"/>
      <c r="G883" s="3"/>
      <c r="H883" s="3"/>
      <c r="I883" s="3"/>
    </row>
    <row r="884" spans="2:9">
      <c r="B884" s="3"/>
      <c r="C884" s="73"/>
      <c r="D884" s="3"/>
      <c r="E884" s="3"/>
      <c r="F884" s="3"/>
      <c r="G884" s="3"/>
      <c r="H884" s="3"/>
      <c r="I884" s="3"/>
    </row>
    <row r="885" spans="2:9">
      <c r="B885" s="3"/>
      <c r="C885" s="73"/>
      <c r="D885" s="3"/>
      <c r="E885" s="3"/>
      <c r="F885" s="3"/>
      <c r="G885" s="3"/>
      <c r="H885" s="3"/>
      <c r="I885" s="3"/>
    </row>
    <row r="886" spans="2:9">
      <c r="B886" s="3"/>
      <c r="C886" s="73"/>
      <c r="D886" s="3"/>
      <c r="E886" s="3"/>
      <c r="F886" s="3"/>
      <c r="G886" s="3"/>
      <c r="H886" s="3"/>
      <c r="I886" s="3"/>
    </row>
    <row r="887" spans="2:9">
      <c r="B887" s="3"/>
      <c r="C887" s="73"/>
      <c r="D887" s="3"/>
      <c r="E887" s="3"/>
      <c r="F887" s="3"/>
      <c r="G887" s="3"/>
      <c r="H887" s="3"/>
      <c r="I887" s="3"/>
    </row>
    <row r="888" spans="2:9">
      <c r="B888" s="3"/>
      <c r="C888" s="73"/>
      <c r="D888" s="3"/>
      <c r="E888" s="3"/>
      <c r="F888" s="3"/>
      <c r="G888" s="3"/>
      <c r="H888" s="3"/>
      <c r="I888" s="3"/>
    </row>
    <row r="889" spans="2:9">
      <c r="B889" s="3"/>
      <c r="C889" s="73"/>
      <c r="D889" s="3"/>
      <c r="E889" s="3"/>
      <c r="F889" s="3"/>
      <c r="G889" s="3"/>
      <c r="H889" s="3"/>
      <c r="I889" s="3"/>
    </row>
    <row r="890" spans="2:9">
      <c r="B890" s="3"/>
      <c r="C890" s="73"/>
      <c r="D890" s="3"/>
      <c r="E890" s="3"/>
      <c r="F890" s="3"/>
      <c r="G890" s="3"/>
      <c r="H890" s="3"/>
      <c r="I890" s="3"/>
    </row>
    <row r="891" spans="2:9">
      <c r="B891" s="3"/>
      <c r="C891" s="73"/>
      <c r="D891" s="3"/>
      <c r="E891" s="3"/>
      <c r="F891" s="3"/>
      <c r="G891" s="3"/>
      <c r="H891" s="3"/>
      <c r="I891" s="3"/>
    </row>
    <row r="892" spans="2:9">
      <c r="B892" s="3"/>
      <c r="C892" s="73"/>
      <c r="D892" s="3"/>
      <c r="E892" s="3"/>
      <c r="F892" s="3"/>
      <c r="G892" s="3"/>
      <c r="H892" s="3"/>
      <c r="I892" s="3"/>
    </row>
    <row r="893" spans="2:9">
      <c r="B893" s="3"/>
      <c r="C893" s="73"/>
      <c r="D893" s="3"/>
      <c r="E893" s="3"/>
      <c r="F893" s="3"/>
      <c r="G893" s="3"/>
      <c r="H893" s="3"/>
      <c r="I893" s="3"/>
    </row>
    <row r="894" spans="2:9">
      <c r="B894" s="3"/>
      <c r="C894" s="73"/>
      <c r="D894" s="3"/>
      <c r="E894" s="3"/>
      <c r="F894" s="3"/>
      <c r="G894" s="3"/>
      <c r="H894" s="3"/>
      <c r="I894" s="3"/>
    </row>
    <row r="895" spans="2:9">
      <c r="B895" s="3"/>
      <c r="C895" s="73"/>
      <c r="D895" s="3"/>
      <c r="E895" s="3"/>
      <c r="F895" s="3"/>
      <c r="G895" s="3"/>
      <c r="H895" s="3"/>
      <c r="I895" s="3"/>
    </row>
    <row r="896" spans="2:9">
      <c r="B896" s="3"/>
      <c r="C896" s="73"/>
      <c r="D896" s="3"/>
      <c r="E896" s="3"/>
      <c r="F896" s="3"/>
      <c r="G896" s="3"/>
      <c r="H896" s="3"/>
      <c r="I896" s="3"/>
    </row>
    <row r="897" spans="2:9">
      <c r="B897" s="3"/>
      <c r="C897" s="73"/>
      <c r="D897" s="3"/>
      <c r="E897" s="3"/>
      <c r="F897" s="3"/>
      <c r="G897" s="3"/>
      <c r="H897" s="3"/>
      <c r="I897" s="3"/>
    </row>
    <row r="898" spans="2:9">
      <c r="B898" s="3"/>
      <c r="C898" s="73"/>
      <c r="D898" s="3"/>
      <c r="E898" s="3"/>
      <c r="F898" s="3"/>
      <c r="G898" s="3"/>
      <c r="H898" s="3"/>
      <c r="I898" s="3"/>
    </row>
    <row r="899" spans="2:9">
      <c r="B899" s="3"/>
      <c r="C899" s="73"/>
      <c r="D899" s="3"/>
      <c r="E899" s="3"/>
      <c r="F899" s="3"/>
      <c r="G899" s="3"/>
      <c r="H899" s="3"/>
      <c r="I899" s="3"/>
    </row>
    <row r="900" spans="2:9">
      <c r="B900" s="3"/>
      <c r="C900" s="73"/>
      <c r="D900" s="3"/>
      <c r="E900" s="3"/>
      <c r="F900" s="3"/>
      <c r="G900" s="3"/>
      <c r="H900" s="3"/>
      <c r="I900" s="3"/>
    </row>
    <row r="901" spans="2:9">
      <c r="B901" s="3"/>
      <c r="C901" s="73"/>
      <c r="D901" s="3"/>
      <c r="E901" s="3"/>
      <c r="F901" s="3"/>
      <c r="G901" s="3"/>
      <c r="H901" s="3"/>
      <c r="I901" s="3"/>
    </row>
    <row r="902" spans="2:9">
      <c r="B902" s="3"/>
      <c r="C902" s="73"/>
      <c r="D902" s="3"/>
      <c r="E902" s="3"/>
      <c r="F902" s="3"/>
      <c r="G902" s="3"/>
      <c r="H902" s="3"/>
      <c r="I902" s="3"/>
    </row>
    <row r="903" spans="2:9">
      <c r="B903" s="3"/>
      <c r="C903" s="73"/>
      <c r="D903" s="3"/>
      <c r="E903" s="3"/>
      <c r="F903" s="3"/>
      <c r="G903" s="3"/>
      <c r="H903" s="3"/>
      <c r="I903" s="3"/>
    </row>
    <row r="904" spans="2:9">
      <c r="B904" s="3"/>
      <c r="C904" s="73"/>
      <c r="D904" s="3"/>
      <c r="E904" s="3"/>
      <c r="F904" s="3"/>
      <c r="G904" s="3"/>
      <c r="H904" s="3"/>
      <c r="I904" s="3"/>
    </row>
    <row r="905" spans="2:9">
      <c r="B905" s="3"/>
      <c r="C905" s="73"/>
      <c r="D905" s="3"/>
      <c r="E905" s="3"/>
      <c r="F905" s="3"/>
      <c r="G905" s="3"/>
      <c r="H905" s="3"/>
      <c r="I905" s="3"/>
    </row>
    <row r="906" spans="2:9">
      <c r="B906" s="3"/>
      <c r="C906" s="73"/>
      <c r="D906" s="3"/>
      <c r="E906" s="3"/>
      <c r="F906" s="3"/>
      <c r="G906" s="3"/>
      <c r="H906" s="3"/>
      <c r="I906" s="3"/>
    </row>
    <row r="907" spans="2:9">
      <c r="B907" s="3"/>
      <c r="C907" s="73"/>
      <c r="D907" s="3"/>
      <c r="E907" s="3"/>
      <c r="F907" s="3"/>
      <c r="G907" s="3"/>
      <c r="H907" s="3"/>
      <c r="I907" s="3"/>
    </row>
    <row r="908" spans="2:9">
      <c r="B908" s="3"/>
      <c r="C908" s="73"/>
      <c r="D908" s="3"/>
      <c r="E908" s="3"/>
      <c r="F908" s="3"/>
      <c r="G908" s="3"/>
      <c r="H908" s="3"/>
      <c r="I908" s="3"/>
    </row>
    <row r="909" spans="2:9">
      <c r="B909" s="3"/>
      <c r="C909" s="73"/>
      <c r="D909" s="3"/>
      <c r="E909" s="3"/>
      <c r="F909" s="3"/>
      <c r="G909" s="3"/>
      <c r="H909" s="3"/>
      <c r="I909" s="3"/>
    </row>
    <row r="910" spans="2:9">
      <c r="B910" s="3"/>
      <c r="C910" s="73"/>
      <c r="D910" s="3"/>
      <c r="E910" s="3"/>
      <c r="F910" s="3"/>
      <c r="G910" s="3"/>
      <c r="H910" s="3"/>
      <c r="I910" s="3"/>
    </row>
    <row r="911" spans="2:9">
      <c r="B911" s="3"/>
      <c r="C911" s="73"/>
      <c r="D911" s="3"/>
      <c r="E911" s="3"/>
      <c r="F911" s="3"/>
      <c r="G911" s="3"/>
      <c r="H911" s="3"/>
      <c r="I911" s="3"/>
    </row>
    <row r="912" spans="2:9">
      <c r="B912" s="3"/>
      <c r="C912" s="73"/>
      <c r="D912" s="3"/>
      <c r="E912" s="3"/>
      <c r="F912" s="3"/>
      <c r="G912" s="3"/>
      <c r="H912" s="3"/>
      <c r="I912" s="3"/>
    </row>
    <row r="913" spans="2:9">
      <c r="B913" s="3"/>
      <c r="C913" s="73"/>
      <c r="D913" s="3"/>
      <c r="E913" s="3"/>
      <c r="F913" s="3"/>
      <c r="G913" s="3"/>
      <c r="H913" s="3"/>
      <c r="I913" s="3"/>
    </row>
    <row r="914" spans="2:9">
      <c r="B914" s="3"/>
      <c r="C914" s="73"/>
      <c r="D914" s="3"/>
      <c r="E914" s="3"/>
      <c r="F914" s="3"/>
      <c r="G914" s="3"/>
      <c r="H914" s="3"/>
      <c r="I914" s="3"/>
    </row>
    <row r="915" spans="2:9">
      <c r="B915" s="3"/>
      <c r="C915" s="73"/>
      <c r="D915" s="3"/>
      <c r="E915" s="3"/>
      <c r="F915" s="3"/>
      <c r="G915" s="3"/>
      <c r="H915" s="3"/>
      <c r="I915" s="3"/>
    </row>
    <row r="916" spans="2:9">
      <c r="B916" s="3"/>
      <c r="C916" s="73"/>
      <c r="D916" s="3"/>
      <c r="E916" s="3"/>
      <c r="F916" s="3"/>
      <c r="G916" s="3"/>
      <c r="H916" s="3"/>
      <c r="I916" s="3"/>
    </row>
    <row r="917" spans="2:9">
      <c r="B917" s="3"/>
      <c r="C917" s="73"/>
      <c r="D917" s="3"/>
      <c r="E917" s="3"/>
      <c r="F917" s="3"/>
      <c r="G917" s="3"/>
      <c r="H917" s="3"/>
      <c r="I917" s="3"/>
    </row>
    <row r="918" spans="2:9">
      <c r="B918" s="3"/>
      <c r="C918" s="73"/>
      <c r="D918" s="3"/>
      <c r="E918" s="3"/>
      <c r="F918" s="3"/>
      <c r="G918" s="3"/>
      <c r="H918" s="3"/>
      <c r="I918" s="3"/>
    </row>
    <row r="919" spans="2:9">
      <c r="B919" s="3"/>
      <c r="C919" s="73"/>
      <c r="D919" s="3"/>
      <c r="E919" s="3"/>
      <c r="F919" s="3"/>
      <c r="G919" s="3"/>
      <c r="H919" s="3"/>
      <c r="I919" s="3"/>
    </row>
    <row r="920" spans="2:9">
      <c r="B920" s="3"/>
      <c r="C920" s="73"/>
      <c r="D920" s="3"/>
      <c r="E920" s="3"/>
      <c r="F920" s="3"/>
      <c r="G920" s="3"/>
      <c r="H920" s="3"/>
      <c r="I920" s="3"/>
    </row>
    <row r="921" spans="2:9">
      <c r="B921" s="3"/>
      <c r="C921" s="73"/>
      <c r="D921" s="3"/>
      <c r="E921" s="3"/>
      <c r="F921" s="3"/>
      <c r="G921" s="3"/>
      <c r="H921" s="3"/>
      <c r="I921" s="3"/>
    </row>
    <row r="922" spans="2:9">
      <c r="B922" s="3"/>
      <c r="C922" s="73"/>
      <c r="D922" s="3"/>
      <c r="E922" s="3"/>
      <c r="F922" s="3"/>
      <c r="G922" s="3"/>
      <c r="H922" s="3"/>
      <c r="I922" s="3"/>
    </row>
    <row r="923" spans="2:9">
      <c r="B923" s="3"/>
      <c r="C923" s="73"/>
      <c r="D923" s="3"/>
      <c r="E923" s="3"/>
      <c r="F923" s="3"/>
      <c r="G923" s="3"/>
      <c r="H923" s="3"/>
      <c r="I923" s="3"/>
    </row>
    <row r="924" spans="2:9">
      <c r="B924" s="3"/>
      <c r="C924" s="73"/>
      <c r="D924" s="3"/>
      <c r="E924" s="3"/>
      <c r="F924" s="3"/>
      <c r="G924" s="3"/>
      <c r="H924" s="3"/>
      <c r="I924" s="3"/>
    </row>
    <row r="925" spans="2:9">
      <c r="B925" s="3"/>
      <c r="C925" s="73"/>
      <c r="D925" s="3"/>
      <c r="E925" s="3"/>
      <c r="F925" s="3"/>
      <c r="G925" s="3"/>
      <c r="H925" s="3"/>
      <c r="I925" s="3"/>
    </row>
    <row r="926" spans="2:9">
      <c r="B926" s="3"/>
      <c r="C926" s="73"/>
      <c r="D926" s="3"/>
      <c r="E926" s="3"/>
      <c r="F926" s="3"/>
      <c r="G926" s="3"/>
      <c r="H926" s="3"/>
      <c r="I926" s="3"/>
    </row>
    <row r="927" spans="2:9">
      <c r="B927" s="3"/>
      <c r="C927" s="73"/>
      <c r="D927" s="3"/>
      <c r="E927" s="3"/>
      <c r="F927" s="3"/>
      <c r="G927" s="3"/>
      <c r="H927" s="3"/>
      <c r="I927" s="3"/>
    </row>
    <row r="928" spans="2:9">
      <c r="B928" s="3"/>
      <c r="C928" s="73"/>
      <c r="D928" s="3"/>
      <c r="E928" s="3"/>
      <c r="F928" s="3"/>
      <c r="G928" s="3"/>
      <c r="H928" s="3"/>
      <c r="I928" s="3"/>
    </row>
    <row r="929" spans="2:9">
      <c r="B929" s="3"/>
      <c r="C929" s="73"/>
      <c r="D929" s="3"/>
      <c r="E929" s="3"/>
      <c r="F929" s="3"/>
      <c r="G929" s="3"/>
      <c r="H929" s="3"/>
      <c r="I929" s="3"/>
    </row>
    <row r="930" spans="2:9">
      <c r="B930" s="3"/>
      <c r="C930" s="73"/>
      <c r="D930" s="3"/>
      <c r="E930" s="3"/>
      <c r="F930" s="3"/>
      <c r="G930" s="3"/>
      <c r="H930" s="3"/>
      <c r="I930" s="3"/>
    </row>
    <row r="931" spans="2:9">
      <c r="B931" s="3"/>
      <c r="C931" s="73"/>
      <c r="D931" s="3"/>
      <c r="E931" s="3"/>
      <c r="F931" s="3"/>
      <c r="G931" s="3"/>
      <c r="H931" s="3"/>
      <c r="I931" s="3"/>
    </row>
    <row r="932" spans="2:9">
      <c r="B932" s="3"/>
      <c r="C932" s="73"/>
      <c r="D932" s="3"/>
      <c r="E932" s="3"/>
      <c r="F932" s="3"/>
      <c r="G932" s="3"/>
      <c r="H932" s="3"/>
      <c r="I932" s="3"/>
    </row>
    <row r="933" spans="2:9">
      <c r="B933" s="3"/>
      <c r="C933" s="73"/>
      <c r="D933" s="3"/>
      <c r="E933" s="3"/>
      <c r="F933" s="3"/>
      <c r="G933" s="3"/>
      <c r="H933" s="3"/>
      <c r="I933" s="3"/>
    </row>
    <row r="934" spans="2:9">
      <c r="B934" s="3"/>
      <c r="C934" s="73"/>
      <c r="D934" s="3"/>
      <c r="E934" s="3"/>
      <c r="F934" s="3"/>
      <c r="G934" s="3"/>
      <c r="H934" s="3"/>
      <c r="I934" s="3"/>
    </row>
    <row r="935" spans="2:9">
      <c r="B935" s="3"/>
      <c r="C935" s="73"/>
      <c r="D935" s="3"/>
      <c r="E935" s="3"/>
      <c r="F935" s="3"/>
      <c r="G935" s="3"/>
      <c r="H935" s="3"/>
      <c r="I935" s="3"/>
    </row>
    <row r="936" spans="2:9">
      <c r="B936" s="3"/>
      <c r="C936" s="73"/>
      <c r="D936" s="3"/>
      <c r="E936" s="3"/>
      <c r="F936" s="3"/>
      <c r="G936" s="3"/>
      <c r="H936" s="3"/>
      <c r="I936" s="3"/>
    </row>
    <row r="937" spans="2:9">
      <c r="B937" s="3"/>
      <c r="C937" s="73"/>
      <c r="D937" s="3"/>
      <c r="E937" s="3"/>
      <c r="F937" s="3"/>
      <c r="G937" s="3"/>
      <c r="H937" s="3"/>
      <c r="I937" s="3"/>
    </row>
    <row r="938" spans="2:9">
      <c r="B938" s="3"/>
      <c r="C938" s="73"/>
      <c r="D938" s="3"/>
      <c r="E938" s="3"/>
      <c r="F938" s="3"/>
      <c r="G938" s="3"/>
      <c r="H938" s="3"/>
      <c r="I938" s="3"/>
    </row>
    <row r="939" spans="2:9">
      <c r="B939" s="3"/>
      <c r="C939" s="73"/>
      <c r="D939" s="3"/>
      <c r="E939" s="3"/>
      <c r="F939" s="3"/>
      <c r="G939" s="3"/>
      <c r="H939" s="3"/>
      <c r="I939" s="3"/>
    </row>
    <row r="940" spans="2:9">
      <c r="B940" s="3"/>
      <c r="C940" s="73"/>
      <c r="D940" s="3"/>
      <c r="E940" s="3"/>
      <c r="F940" s="3"/>
      <c r="G940" s="3"/>
      <c r="H940" s="3"/>
      <c r="I940" s="3"/>
    </row>
    <row r="941" spans="2:9">
      <c r="B941" s="3"/>
      <c r="C941" s="73"/>
      <c r="D941" s="3"/>
      <c r="E941" s="3"/>
      <c r="F941" s="3"/>
      <c r="G941" s="3"/>
      <c r="H941" s="3"/>
      <c r="I941" s="3"/>
    </row>
    <row r="942" spans="2:9">
      <c r="B942" s="3"/>
      <c r="C942" s="73"/>
      <c r="D942" s="3"/>
      <c r="E942" s="3"/>
      <c r="F942" s="3"/>
      <c r="G942" s="3"/>
      <c r="H942" s="3"/>
      <c r="I942" s="3"/>
    </row>
    <row r="943" spans="2:9">
      <c r="B943" s="3"/>
      <c r="C943" s="73"/>
      <c r="D943" s="3"/>
      <c r="E943" s="3"/>
      <c r="F943" s="3"/>
      <c r="G943" s="3"/>
      <c r="H943" s="3"/>
      <c r="I943" s="3"/>
    </row>
    <row r="944" spans="2:9">
      <c r="B944" s="3"/>
      <c r="C944" s="73"/>
      <c r="D944" s="3"/>
      <c r="E944" s="3"/>
      <c r="F944" s="3"/>
      <c r="G944" s="3"/>
      <c r="H944" s="3"/>
      <c r="I944" s="3"/>
    </row>
    <row r="945" spans="2:9">
      <c r="B945" s="3"/>
      <c r="C945" s="73"/>
      <c r="D945" s="3"/>
      <c r="E945" s="3"/>
      <c r="F945" s="3"/>
      <c r="G945" s="3"/>
      <c r="H945" s="3"/>
      <c r="I945" s="3"/>
    </row>
    <row r="946" spans="2:9">
      <c r="B946" s="3"/>
      <c r="C946" s="73"/>
      <c r="D946" s="3"/>
      <c r="E946" s="3"/>
      <c r="F946" s="3"/>
      <c r="G946" s="3"/>
      <c r="H946" s="3"/>
      <c r="I946" s="3"/>
    </row>
    <row r="947" spans="2:9">
      <c r="B947" s="3"/>
      <c r="C947" s="73"/>
      <c r="D947" s="3"/>
      <c r="E947" s="3"/>
      <c r="F947" s="3"/>
      <c r="G947" s="3"/>
      <c r="H947" s="3"/>
      <c r="I947" s="3"/>
    </row>
    <row r="948" spans="2:9">
      <c r="B948" s="3"/>
      <c r="C948" s="73"/>
      <c r="D948" s="3"/>
      <c r="E948" s="3"/>
      <c r="F948" s="3"/>
      <c r="G948" s="3"/>
      <c r="H948" s="3"/>
      <c r="I948" s="3"/>
    </row>
    <row r="949" spans="2:9">
      <c r="B949" s="3"/>
      <c r="C949" s="73"/>
      <c r="D949" s="3"/>
      <c r="E949" s="3"/>
      <c r="F949" s="3"/>
      <c r="G949" s="3"/>
      <c r="H949" s="3"/>
      <c r="I949" s="3"/>
    </row>
    <row r="950" spans="2:9">
      <c r="B950" s="3"/>
      <c r="C950" s="73"/>
      <c r="D950" s="3"/>
      <c r="E950" s="3"/>
      <c r="F950" s="3"/>
      <c r="G950" s="3"/>
      <c r="H950" s="3"/>
      <c r="I950" s="3"/>
    </row>
    <row r="951" spans="2:9">
      <c r="B951" s="3"/>
      <c r="C951" s="73"/>
      <c r="D951" s="3"/>
      <c r="E951" s="3"/>
      <c r="F951" s="3"/>
      <c r="G951" s="3"/>
      <c r="H951" s="3"/>
      <c r="I951" s="3"/>
    </row>
    <row r="952" spans="2:9">
      <c r="B952" s="3"/>
      <c r="C952" s="73"/>
      <c r="D952" s="3"/>
      <c r="E952" s="3"/>
      <c r="F952" s="3"/>
      <c r="G952" s="3"/>
      <c r="H952" s="3"/>
      <c r="I952" s="3"/>
    </row>
    <row r="953" spans="2:9">
      <c r="B953" s="3"/>
      <c r="C953" s="73"/>
      <c r="D953" s="3"/>
      <c r="E953" s="3"/>
      <c r="F953" s="3"/>
      <c r="G953" s="3"/>
      <c r="H953" s="3"/>
      <c r="I953" s="3"/>
    </row>
    <row r="954" spans="2:9">
      <c r="B954" s="3"/>
      <c r="C954" s="73"/>
      <c r="D954" s="3"/>
      <c r="E954" s="3"/>
      <c r="F954" s="3"/>
      <c r="G954" s="3"/>
      <c r="H954" s="3"/>
      <c r="I954" s="3"/>
    </row>
    <row r="955" spans="2:9">
      <c r="B955" s="3"/>
      <c r="C955" s="73"/>
      <c r="D955" s="3"/>
      <c r="E955" s="3"/>
      <c r="F955" s="3"/>
      <c r="G955" s="3"/>
      <c r="H955" s="3"/>
      <c r="I955" s="3"/>
    </row>
    <row r="956" spans="2:9">
      <c r="B956" s="3"/>
      <c r="C956" s="73"/>
      <c r="D956" s="3"/>
      <c r="E956" s="3"/>
      <c r="F956" s="3"/>
      <c r="G956" s="3"/>
      <c r="H956" s="3"/>
      <c r="I956" s="3"/>
    </row>
    <row r="957" spans="2:9">
      <c r="B957" s="3"/>
      <c r="C957" s="73"/>
      <c r="D957" s="3"/>
      <c r="E957" s="3"/>
      <c r="F957" s="3"/>
      <c r="G957" s="3"/>
      <c r="H957" s="3"/>
      <c r="I957" s="3"/>
    </row>
    <row r="958" spans="2:9">
      <c r="B958" s="3"/>
      <c r="C958" s="73"/>
      <c r="D958" s="3"/>
      <c r="E958" s="3"/>
      <c r="F958" s="3"/>
      <c r="G958" s="3"/>
      <c r="H958" s="3"/>
      <c r="I958" s="3"/>
    </row>
    <row r="959" spans="2:9">
      <c r="B959" s="3"/>
      <c r="C959" s="73"/>
      <c r="D959" s="3"/>
      <c r="E959" s="3"/>
      <c r="F959" s="3"/>
      <c r="G959" s="3"/>
      <c r="H959" s="3"/>
      <c r="I959" s="3"/>
    </row>
    <row r="960" spans="2:9">
      <c r="B960" s="3"/>
      <c r="C960" s="73"/>
      <c r="D960" s="3"/>
      <c r="E960" s="3"/>
      <c r="F960" s="3"/>
      <c r="G960" s="3"/>
      <c r="H960" s="3"/>
      <c r="I960" s="3"/>
    </row>
    <row r="961" spans="2:9">
      <c r="B961" s="3"/>
      <c r="C961" s="73"/>
      <c r="D961" s="3"/>
      <c r="E961" s="3"/>
      <c r="F961" s="3"/>
      <c r="G961" s="3"/>
      <c r="H961" s="3"/>
      <c r="I961" s="3"/>
    </row>
    <row r="962" spans="2:9">
      <c r="B962" s="3"/>
      <c r="C962" s="73"/>
      <c r="D962" s="3"/>
      <c r="E962" s="3"/>
      <c r="F962" s="3"/>
      <c r="G962" s="3"/>
      <c r="H962" s="3"/>
      <c r="I962" s="3"/>
    </row>
    <row r="963" spans="2:9">
      <c r="B963" s="3"/>
      <c r="C963" s="73"/>
      <c r="D963" s="3"/>
      <c r="E963" s="3"/>
      <c r="F963" s="3"/>
      <c r="G963" s="3"/>
      <c r="H963" s="3"/>
      <c r="I963" s="3"/>
    </row>
    <row r="964" spans="2:9">
      <c r="B964" s="3"/>
      <c r="C964" s="73"/>
      <c r="D964" s="3"/>
      <c r="E964" s="3"/>
      <c r="F964" s="3"/>
      <c r="G964" s="3"/>
      <c r="H964" s="3"/>
      <c r="I964" s="3"/>
    </row>
    <row r="965" spans="2:9">
      <c r="B965" s="3"/>
      <c r="C965" s="73"/>
      <c r="D965" s="3"/>
      <c r="E965" s="3"/>
      <c r="F965" s="3"/>
      <c r="G965" s="3"/>
      <c r="H965" s="3"/>
      <c r="I965" s="3"/>
    </row>
    <row r="966" spans="2:9">
      <c r="B966" s="3"/>
      <c r="C966" s="73"/>
      <c r="D966" s="3"/>
      <c r="E966" s="3"/>
      <c r="F966" s="3"/>
      <c r="G966" s="3"/>
      <c r="H966" s="3"/>
      <c r="I966" s="3"/>
    </row>
    <row r="967" spans="2:9">
      <c r="B967" s="3"/>
      <c r="C967" s="73"/>
      <c r="D967" s="3"/>
      <c r="E967" s="3"/>
      <c r="F967" s="3"/>
      <c r="G967" s="3"/>
      <c r="H967" s="3"/>
      <c r="I967" s="3"/>
    </row>
    <row r="968" spans="2:9">
      <c r="B968" s="3"/>
      <c r="C968" s="73"/>
      <c r="D968" s="3"/>
      <c r="E968" s="3"/>
      <c r="F968" s="3"/>
      <c r="G968" s="3"/>
      <c r="H968" s="3"/>
      <c r="I968" s="3"/>
    </row>
    <row r="969" spans="2:9">
      <c r="B969" s="3"/>
      <c r="C969" s="73"/>
      <c r="D969" s="3"/>
      <c r="E969" s="3"/>
      <c r="F969" s="3"/>
      <c r="G969" s="3"/>
      <c r="H969" s="3"/>
      <c r="I969" s="3"/>
    </row>
    <row r="970" spans="2:9">
      <c r="B970" s="3"/>
      <c r="C970" s="73"/>
      <c r="D970" s="3"/>
      <c r="E970" s="3"/>
      <c r="F970" s="3"/>
      <c r="G970" s="3"/>
      <c r="H970" s="3"/>
      <c r="I970" s="3"/>
    </row>
    <row r="971" spans="2:9">
      <c r="B971" s="3"/>
      <c r="C971" s="73"/>
      <c r="D971" s="3"/>
      <c r="E971" s="3"/>
      <c r="F971" s="3"/>
      <c r="G971" s="3"/>
      <c r="H971" s="3"/>
      <c r="I971" s="3"/>
    </row>
    <row r="972" spans="2:9">
      <c r="B972" s="3"/>
      <c r="C972" s="73"/>
      <c r="D972" s="3"/>
      <c r="E972" s="3"/>
      <c r="F972" s="3"/>
      <c r="G972" s="3"/>
      <c r="H972" s="3"/>
      <c r="I972" s="3"/>
    </row>
    <row r="973" spans="2:9">
      <c r="B973" s="3"/>
      <c r="C973" s="73"/>
      <c r="D973" s="3"/>
      <c r="E973" s="3"/>
      <c r="F973" s="3"/>
      <c r="G973" s="3"/>
      <c r="H973" s="3"/>
      <c r="I973" s="3"/>
    </row>
    <row r="974" spans="2:9">
      <c r="B974" s="3"/>
      <c r="C974" s="73"/>
      <c r="D974" s="3"/>
      <c r="E974" s="3"/>
      <c r="F974" s="3"/>
      <c r="G974" s="3"/>
      <c r="H974" s="3"/>
      <c r="I974" s="3"/>
    </row>
    <row r="975" spans="2:9">
      <c r="B975" s="3"/>
      <c r="C975" s="73"/>
      <c r="D975" s="3"/>
      <c r="E975" s="3"/>
      <c r="F975" s="3"/>
      <c r="G975" s="3"/>
      <c r="H975" s="3"/>
      <c r="I975" s="3"/>
    </row>
    <row r="976" spans="2:9">
      <c r="B976" s="3"/>
      <c r="C976" s="73"/>
      <c r="D976" s="3"/>
      <c r="E976" s="3"/>
      <c r="F976" s="3"/>
      <c r="G976" s="3"/>
      <c r="H976" s="3"/>
      <c r="I976" s="3"/>
    </row>
    <row r="977" spans="2:9">
      <c r="B977" s="3"/>
      <c r="C977" s="73"/>
      <c r="D977" s="3"/>
      <c r="E977" s="3"/>
      <c r="F977" s="3"/>
      <c r="G977" s="3"/>
      <c r="H977" s="3"/>
      <c r="I977" s="3"/>
    </row>
    <row r="978" spans="2:9">
      <c r="B978" s="3"/>
      <c r="C978" s="73"/>
      <c r="D978" s="3"/>
      <c r="E978" s="3"/>
      <c r="F978" s="3"/>
      <c r="G978" s="3"/>
      <c r="H978" s="3"/>
      <c r="I978" s="3"/>
    </row>
    <row r="979" spans="2:9">
      <c r="B979" s="3"/>
      <c r="C979" s="73"/>
      <c r="D979" s="3"/>
      <c r="E979" s="3"/>
      <c r="F979" s="3"/>
      <c r="G979" s="3"/>
      <c r="H979" s="3"/>
      <c r="I979" s="3"/>
    </row>
    <row r="980" spans="2:9">
      <c r="B980" s="3"/>
      <c r="C980" s="73"/>
      <c r="D980" s="3"/>
      <c r="E980" s="3"/>
      <c r="F980" s="3"/>
      <c r="G980" s="3"/>
      <c r="H980" s="3"/>
      <c r="I980" s="3"/>
    </row>
    <row r="981" spans="2:9">
      <c r="B981" s="3"/>
      <c r="C981" s="73"/>
      <c r="D981" s="3"/>
      <c r="E981" s="3"/>
      <c r="F981" s="3"/>
      <c r="G981" s="3"/>
      <c r="H981" s="3"/>
      <c r="I981" s="3"/>
    </row>
    <row r="982" spans="2:9">
      <c r="B982" s="3"/>
      <c r="C982" s="73"/>
      <c r="D982" s="3"/>
      <c r="E982" s="3"/>
      <c r="F982" s="3"/>
      <c r="G982" s="3"/>
      <c r="H982" s="3"/>
      <c r="I982" s="3"/>
    </row>
    <row r="983" spans="2:9">
      <c r="B983" s="3"/>
      <c r="C983" s="73"/>
      <c r="D983" s="3"/>
      <c r="E983" s="3"/>
      <c r="F983" s="3"/>
      <c r="G983" s="3"/>
      <c r="H983" s="3"/>
      <c r="I983" s="3"/>
    </row>
    <row r="984" spans="2:9">
      <c r="B984" s="3"/>
      <c r="C984" s="73"/>
      <c r="D984" s="3"/>
      <c r="E984" s="3"/>
      <c r="F984" s="3"/>
      <c r="G984" s="3"/>
      <c r="H984" s="3"/>
      <c r="I984" s="3"/>
    </row>
    <row r="985" spans="2:9">
      <c r="B985" s="3"/>
      <c r="C985" s="73"/>
      <c r="D985" s="3"/>
      <c r="E985" s="3"/>
      <c r="F985" s="3"/>
      <c r="G985" s="3"/>
      <c r="H985" s="3"/>
      <c r="I985" s="3"/>
    </row>
    <row r="986" spans="2:9">
      <c r="B986" s="3"/>
      <c r="C986" s="73"/>
      <c r="D986" s="3"/>
      <c r="E986" s="3"/>
      <c r="F986" s="3"/>
      <c r="G986" s="3"/>
      <c r="H986" s="3"/>
      <c r="I986" s="3"/>
    </row>
    <row r="987" spans="2:9">
      <c r="B987" s="3"/>
      <c r="C987" s="73"/>
      <c r="D987" s="3"/>
      <c r="E987" s="3"/>
      <c r="F987" s="3"/>
      <c r="G987" s="3"/>
      <c r="H987" s="3"/>
      <c r="I987" s="3"/>
    </row>
    <row r="988" spans="2:9">
      <c r="B988" s="3"/>
      <c r="C988" s="73"/>
      <c r="D988" s="3"/>
      <c r="E988" s="3"/>
      <c r="F988" s="3"/>
      <c r="G988" s="3"/>
      <c r="H988" s="3"/>
      <c r="I988" s="3"/>
    </row>
    <row r="989" spans="2:9">
      <c r="B989" s="3"/>
      <c r="C989" s="73"/>
      <c r="D989" s="3"/>
      <c r="E989" s="3"/>
      <c r="F989" s="3"/>
      <c r="G989" s="3"/>
      <c r="H989" s="3"/>
      <c r="I989" s="3"/>
    </row>
    <row r="990" spans="2:9">
      <c r="B990" s="3"/>
      <c r="C990" s="73"/>
      <c r="D990" s="3"/>
      <c r="E990" s="3"/>
      <c r="F990" s="3"/>
      <c r="G990" s="3"/>
      <c r="H990" s="3"/>
      <c r="I990" s="3"/>
    </row>
    <row r="991" spans="2:9">
      <c r="B991" s="3"/>
      <c r="C991" s="73"/>
      <c r="D991" s="3"/>
      <c r="E991" s="3"/>
      <c r="F991" s="3"/>
      <c r="G991" s="3"/>
      <c r="H991" s="3"/>
      <c r="I991" s="3"/>
    </row>
    <row r="992" spans="2:9">
      <c r="B992" s="3"/>
      <c r="C992" s="73"/>
      <c r="D992" s="3"/>
      <c r="E992" s="3"/>
      <c r="F992" s="3"/>
      <c r="G992" s="3"/>
      <c r="H992" s="3"/>
      <c r="I992" s="3"/>
    </row>
    <row r="993" spans="2:9">
      <c r="B993" s="3"/>
      <c r="C993" s="73"/>
      <c r="D993" s="3"/>
      <c r="E993" s="3"/>
      <c r="F993" s="3"/>
      <c r="G993" s="3"/>
      <c r="H993" s="3"/>
      <c r="I993" s="3"/>
    </row>
    <row r="994" spans="2:9">
      <c r="B994" s="3"/>
      <c r="C994" s="73"/>
      <c r="D994" s="3"/>
      <c r="E994" s="3"/>
      <c r="F994" s="3"/>
      <c r="G994" s="3"/>
      <c r="H994" s="3"/>
      <c r="I994" s="3"/>
    </row>
    <row r="995" spans="2:9">
      <c r="B995" s="3"/>
      <c r="C995" s="73"/>
      <c r="D995" s="3"/>
      <c r="E995" s="3"/>
      <c r="F995" s="3"/>
      <c r="G995" s="3"/>
      <c r="H995" s="3"/>
      <c r="I995" s="3"/>
    </row>
    <row r="996" spans="2:9">
      <c r="B996" s="3"/>
      <c r="C996" s="73"/>
      <c r="D996" s="3"/>
      <c r="E996" s="3"/>
      <c r="F996" s="3"/>
      <c r="G996" s="3"/>
      <c r="H996" s="3"/>
      <c r="I996" s="3"/>
    </row>
    <row r="997" spans="2:9">
      <c r="B997" s="3"/>
      <c r="C997" s="73"/>
      <c r="D997" s="3"/>
      <c r="E997" s="3"/>
      <c r="F997" s="3"/>
      <c r="G997" s="3"/>
      <c r="H997" s="3"/>
      <c r="I997" s="3"/>
    </row>
    <row r="998" spans="2:9">
      <c r="B998" s="3"/>
      <c r="C998" s="73"/>
      <c r="D998" s="3"/>
      <c r="E998" s="3"/>
      <c r="F998" s="3"/>
      <c r="G998" s="3"/>
      <c r="H998" s="3"/>
      <c r="I998" s="3"/>
    </row>
    <row r="999" spans="2:9">
      <c r="B999" s="3"/>
      <c r="C999" s="73"/>
      <c r="D999" s="3"/>
      <c r="E999" s="3"/>
      <c r="F999" s="3"/>
      <c r="G999" s="3"/>
      <c r="H999" s="3"/>
      <c r="I999" s="3"/>
    </row>
    <row r="1000" spans="2:9">
      <c r="B1000" s="3"/>
      <c r="C1000" s="73"/>
      <c r="D1000" s="3"/>
      <c r="E1000" s="3"/>
      <c r="F1000" s="3"/>
      <c r="G1000" s="3"/>
      <c r="H1000" s="3"/>
      <c r="I1000" s="3"/>
    </row>
    <row r="1001" spans="2:9">
      <c r="B1001" s="3"/>
      <c r="C1001" s="73"/>
      <c r="D1001" s="3"/>
      <c r="E1001" s="3"/>
      <c r="F1001" s="3"/>
      <c r="G1001" s="3"/>
      <c r="H1001" s="3"/>
      <c r="I1001" s="3"/>
    </row>
    <row r="1002" spans="2:9">
      <c r="B1002" s="3"/>
      <c r="C1002" s="73"/>
      <c r="D1002" s="3"/>
      <c r="E1002" s="3"/>
      <c r="F1002" s="3"/>
      <c r="G1002" s="3"/>
      <c r="H1002" s="3"/>
      <c r="I1002" s="3"/>
    </row>
    <row r="1003" spans="2:9">
      <c r="B1003" s="3"/>
      <c r="C1003" s="73"/>
      <c r="D1003" s="3"/>
      <c r="E1003" s="3"/>
      <c r="F1003" s="3"/>
      <c r="G1003" s="3"/>
      <c r="H1003" s="3"/>
      <c r="I1003" s="3"/>
    </row>
    <row r="1004" spans="2:9">
      <c r="B1004" s="3"/>
      <c r="C1004" s="73"/>
      <c r="D1004" s="3"/>
      <c r="E1004" s="3"/>
      <c r="F1004" s="3"/>
      <c r="G1004" s="3"/>
      <c r="H1004" s="3"/>
      <c r="I1004" s="3"/>
    </row>
    <row r="1005" spans="2:9">
      <c r="B1005" s="3"/>
      <c r="C1005" s="73"/>
      <c r="D1005" s="3"/>
      <c r="E1005" s="3"/>
      <c r="F1005" s="3"/>
      <c r="G1005" s="3"/>
      <c r="H1005" s="3"/>
      <c r="I1005" s="3"/>
    </row>
    <row r="1006" spans="2:9">
      <c r="B1006" s="3"/>
      <c r="C1006" s="73"/>
      <c r="D1006" s="3"/>
      <c r="E1006" s="3"/>
      <c r="F1006" s="3"/>
      <c r="G1006" s="3"/>
      <c r="H1006" s="3"/>
      <c r="I1006" s="3"/>
    </row>
    <row r="1007" spans="2:9">
      <c r="B1007" s="3"/>
      <c r="C1007" s="73"/>
      <c r="D1007" s="3"/>
      <c r="E1007" s="3"/>
      <c r="F1007" s="3"/>
      <c r="G1007" s="3"/>
      <c r="H1007" s="3"/>
      <c r="I1007" s="3"/>
    </row>
    <row r="1008" spans="2:9">
      <c r="B1008" s="3"/>
      <c r="C1008" s="73"/>
      <c r="D1008" s="3"/>
      <c r="E1008" s="3"/>
      <c r="F1008" s="3"/>
      <c r="G1008" s="3"/>
      <c r="H1008" s="3"/>
      <c r="I1008" s="3"/>
    </row>
    <row r="1009" spans="2:9">
      <c r="B1009" s="3"/>
      <c r="C1009" s="73"/>
      <c r="D1009" s="3"/>
      <c r="E1009" s="3"/>
      <c r="F1009" s="3"/>
      <c r="G1009" s="3"/>
      <c r="H1009" s="3"/>
      <c r="I1009" s="3"/>
    </row>
    <row r="1010" spans="2:9">
      <c r="B1010" s="3"/>
      <c r="C1010" s="73"/>
      <c r="D1010" s="3"/>
      <c r="E1010" s="3"/>
      <c r="F1010" s="3"/>
      <c r="G1010" s="3"/>
      <c r="H1010" s="3"/>
      <c r="I1010" s="3"/>
    </row>
    <row r="1011" spans="2:9">
      <c r="B1011" s="3"/>
      <c r="C1011" s="73"/>
      <c r="D1011" s="3"/>
      <c r="E1011" s="3"/>
      <c r="F1011" s="3"/>
      <c r="G1011" s="3"/>
      <c r="H1011" s="3"/>
      <c r="I1011" s="3"/>
    </row>
    <row r="1012" spans="2:9">
      <c r="B1012" s="3"/>
      <c r="C1012" s="73"/>
      <c r="D1012" s="3"/>
      <c r="E1012" s="3"/>
      <c r="F1012" s="3"/>
      <c r="G1012" s="3"/>
      <c r="H1012" s="3"/>
      <c r="I1012" s="3"/>
    </row>
    <row r="1013" spans="2:9">
      <c r="B1013" s="3"/>
      <c r="C1013" s="73"/>
      <c r="D1013" s="3"/>
      <c r="E1013" s="3"/>
      <c r="F1013" s="3"/>
      <c r="G1013" s="3"/>
      <c r="H1013" s="3"/>
      <c r="I1013" s="3"/>
    </row>
    <row r="1014" spans="2:9">
      <c r="B1014" s="3"/>
      <c r="C1014" s="73"/>
      <c r="D1014" s="3"/>
      <c r="E1014" s="3"/>
      <c r="F1014" s="3"/>
      <c r="G1014" s="3"/>
      <c r="H1014" s="3"/>
      <c r="I1014" s="3"/>
    </row>
    <row r="1015" spans="2:9">
      <c r="B1015" s="3"/>
      <c r="C1015" s="73"/>
      <c r="D1015" s="3"/>
      <c r="E1015" s="3"/>
      <c r="F1015" s="3"/>
      <c r="G1015" s="3"/>
      <c r="H1015" s="3"/>
      <c r="I1015" s="3"/>
    </row>
    <row r="1016" spans="2:9">
      <c r="B1016" s="3"/>
      <c r="C1016" s="73"/>
      <c r="D1016" s="3"/>
      <c r="E1016" s="3"/>
      <c r="F1016" s="3"/>
      <c r="G1016" s="3"/>
      <c r="H1016" s="3"/>
      <c r="I1016" s="3"/>
    </row>
    <row r="1017" spans="2:9">
      <c r="B1017" s="3"/>
      <c r="C1017" s="73"/>
      <c r="D1017" s="3"/>
      <c r="E1017" s="3"/>
      <c r="F1017" s="3"/>
      <c r="G1017" s="3"/>
      <c r="H1017" s="3"/>
      <c r="I1017" s="3"/>
    </row>
    <row r="1018" spans="2:9">
      <c r="B1018" s="3"/>
      <c r="C1018" s="73"/>
      <c r="D1018" s="3"/>
      <c r="E1018" s="3"/>
      <c r="F1018" s="3"/>
      <c r="G1018" s="3"/>
      <c r="H1018" s="3"/>
      <c r="I1018" s="3"/>
    </row>
    <row r="1019" spans="2:9">
      <c r="B1019" s="3"/>
      <c r="C1019" s="73"/>
      <c r="D1019" s="3"/>
      <c r="E1019" s="3"/>
      <c r="F1019" s="3"/>
      <c r="G1019" s="3"/>
      <c r="H1019" s="3"/>
      <c r="I1019" s="3"/>
    </row>
    <row r="1020" spans="2:9">
      <c r="B1020" s="3"/>
      <c r="C1020" s="73"/>
      <c r="D1020" s="3"/>
      <c r="E1020" s="3"/>
      <c r="F1020" s="3"/>
      <c r="G1020" s="3"/>
      <c r="H1020" s="3"/>
      <c r="I1020" s="3"/>
    </row>
    <row r="1021" spans="2:9">
      <c r="B1021" s="3"/>
      <c r="C1021" s="73"/>
      <c r="D1021" s="3"/>
      <c r="E1021" s="3"/>
      <c r="F1021" s="3"/>
      <c r="G1021" s="3"/>
      <c r="H1021" s="3"/>
      <c r="I1021" s="3"/>
    </row>
    <row r="1022" spans="2:9">
      <c r="B1022" s="3"/>
      <c r="C1022" s="73"/>
      <c r="D1022" s="3"/>
      <c r="E1022" s="3"/>
      <c r="F1022" s="3"/>
      <c r="G1022" s="3"/>
      <c r="H1022" s="3"/>
      <c r="I1022" s="3"/>
    </row>
    <row r="1023" spans="2:9">
      <c r="B1023" s="3"/>
      <c r="C1023" s="73"/>
      <c r="D1023" s="3"/>
      <c r="E1023" s="3"/>
      <c r="F1023" s="3"/>
      <c r="G1023" s="3"/>
      <c r="H1023" s="3"/>
      <c r="I1023" s="3"/>
    </row>
    <row r="1024" spans="2:9">
      <c r="B1024" s="3"/>
      <c r="C1024" s="73"/>
      <c r="D1024" s="3"/>
      <c r="E1024" s="3"/>
      <c r="F1024" s="3"/>
      <c r="G1024" s="3"/>
      <c r="H1024" s="3"/>
      <c r="I1024" s="3"/>
    </row>
    <row r="1025" spans="2:9">
      <c r="B1025" s="3"/>
      <c r="C1025" s="73"/>
      <c r="D1025" s="3"/>
      <c r="E1025" s="3"/>
      <c r="F1025" s="3"/>
      <c r="G1025" s="3"/>
      <c r="H1025" s="3"/>
      <c r="I1025" s="3"/>
    </row>
    <row r="1026" spans="2:9">
      <c r="B1026" s="3"/>
      <c r="C1026" s="73"/>
      <c r="D1026" s="3"/>
      <c r="E1026" s="3"/>
      <c r="F1026" s="3"/>
      <c r="G1026" s="3"/>
      <c r="H1026" s="3"/>
      <c r="I1026" s="3"/>
    </row>
    <row r="1027" spans="2:9">
      <c r="B1027" s="3"/>
      <c r="C1027" s="73"/>
      <c r="D1027" s="3"/>
      <c r="E1027" s="3"/>
      <c r="F1027" s="3"/>
      <c r="G1027" s="3"/>
      <c r="H1027" s="3"/>
      <c r="I1027" s="3"/>
    </row>
    <row r="1028" spans="2:9">
      <c r="B1028" s="3"/>
      <c r="C1028" s="73"/>
      <c r="D1028" s="3"/>
      <c r="E1028" s="3"/>
      <c r="F1028" s="3"/>
      <c r="G1028" s="3"/>
      <c r="H1028" s="3"/>
      <c r="I1028" s="3"/>
    </row>
    <row r="1029" spans="2:9">
      <c r="B1029" s="3"/>
      <c r="C1029" s="73"/>
      <c r="D1029" s="3"/>
      <c r="E1029" s="3"/>
      <c r="F1029" s="3"/>
      <c r="G1029" s="3"/>
      <c r="H1029" s="3"/>
      <c r="I1029" s="3"/>
    </row>
    <row r="1030" spans="2:9">
      <c r="B1030" s="3"/>
      <c r="C1030" s="73"/>
      <c r="D1030" s="3"/>
      <c r="E1030" s="3"/>
      <c r="F1030" s="3"/>
      <c r="G1030" s="3"/>
      <c r="H1030" s="3"/>
      <c r="I1030" s="3"/>
    </row>
    <row r="1031" spans="2:9">
      <c r="B1031" s="3"/>
      <c r="C1031" s="73"/>
      <c r="D1031" s="3"/>
      <c r="E1031" s="3"/>
      <c r="F1031" s="3"/>
      <c r="G1031" s="3"/>
      <c r="H1031" s="3"/>
      <c r="I1031" s="3"/>
    </row>
    <row r="1032" spans="2:9">
      <c r="B1032" s="3"/>
      <c r="C1032" s="73"/>
      <c r="D1032" s="3"/>
      <c r="E1032" s="3"/>
      <c r="F1032" s="3"/>
      <c r="G1032" s="3"/>
      <c r="H1032" s="3"/>
      <c r="I1032" s="3"/>
    </row>
    <row r="1033" spans="2:9">
      <c r="B1033" s="3"/>
      <c r="C1033" s="73"/>
      <c r="D1033" s="3"/>
      <c r="E1033" s="3"/>
      <c r="F1033" s="3"/>
      <c r="G1033" s="3"/>
      <c r="H1033" s="3"/>
      <c r="I1033" s="3"/>
    </row>
    <row r="1034" spans="2:9">
      <c r="B1034" s="3"/>
      <c r="C1034" s="73"/>
      <c r="D1034" s="3"/>
      <c r="E1034" s="3"/>
      <c r="F1034" s="3"/>
      <c r="G1034" s="3"/>
      <c r="H1034" s="3"/>
      <c r="I1034" s="3"/>
    </row>
    <row r="1035" spans="2:9">
      <c r="B1035" s="3"/>
      <c r="C1035" s="73"/>
      <c r="D1035" s="3"/>
      <c r="E1035" s="3"/>
      <c r="F1035" s="3"/>
      <c r="G1035" s="3"/>
      <c r="H1035" s="3"/>
      <c r="I1035" s="3"/>
    </row>
    <row r="1036" spans="2:9">
      <c r="B1036" s="3"/>
      <c r="C1036" s="73"/>
      <c r="D1036" s="3"/>
      <c r="E1036" s="3"/>
      <c r="F1036" s="3"/>
      <c r="G1036" s="3"/>
      <c r="H1036" s="3"/>
      <c r="I1036" s="3"/>
    </row>
    <row r="1037" spans="2:9">
      <c r="B1037" s="3"/>
      <c r="C1037" s="73"/>
      <c r="D1037" s="3"/>
      <c r="E1037" s="3"/>
      <c r="F1037" s="3"/>
      <c r="G1037" s="3"/>
      <c r="H1037" s="3"/>
      <c r="I1037" s="3"/>
    </row>
    <row r="1038" spans="2:9">
      <c r="B1038" s="3"/>
      <c r="C1038" s="73"/>
      <c r="D1038" s="3"/>
      <c r="E1038" s="3"/>
      <c r="F1038" s="3"/>
      <c r="G1038" s="3"/>
      <c r="H1038" s="3"/>
      <c r="I1038" s="3"/>
    </row>
    <row r="1039" spans="2:9">
      <c r="B1039" s="3"/>
      <c r="C1039" s="73"/>
      <c r="D1039" s="3"/>
      <c r="E1039" s="3"/>
      <c r="F1039" s="3"/>
      <c r="G1039" s="3"/>
      <c r="H1039" s="3"/>
      <c r="I1039" s="3"/>
    </row>
    <row r="1040" spans="2:9">
      <c r="B1040" s="3"/>
      <c r="C1040" s="73"/>
      <c r="D1040" s="3"/>
      <c r="E1040" s="3"/>
      <c r="F1040" s="3"/>
      <c r="G1040" s="3"/>
      <c r="H1040" s="3"/>
      <c r="I1040" s="3"/>
    </row>
    <row r="1041" spans="2:9">
      <c r="B1041" s="3"/>
      <c r="C1041" s="73"/>
      <c r="D1041" s="3"/>
      <c r="E1041" s="3"/>
      <c r="F1041" s="3"/>
      <c r="G1041" s="3"/>
      <c r="H1041" s="3"/>
      <c r="I1041" s="3"/>
    </row>
    <row r="1042" spans="2:9">
      <c r="B1042" s="3"/>
      <c r="C1042" s="73"/>
      <c r="D1042" s="3"/>
      <c r="E1042" s="3"/>
      <c r="F1042" s="3"/>
      <c r="G1042" s="3"/>
      <c r="H1042" s="3"/>
      <c r="I1042" s="3"/>
    </row>
    <row r="1043" spans="2:9">
      <c r="B1043" s="3"/>
      <c r="C1043" s="73"/>
      <c r="D1043" s="3"/>
      <c r="E1043" s="3"/>
      <c r="F1043" s="3"/>
      <c r="G1043" s="3"/>
      <c r="H1043" s="3"/>
      <c r="I1043" s="3"/>
    </row>
    <row r="1044" spans="2:9">
      <c r="B1044" s="3"/>
      <c r="C1044" s="73"/>
      <c r="D1044" s="3"/>
      <c r="E1044" s="3"/>
      <c r="F1044" s="3"/>
      <c r="G1044" s="3"/>
      <c r="H1044" s="3"/>
      <c r="I1044" s="3"/>
    </row>
    <row r="1045" spans="2:9">
      <c r="B1045" s="3"/>
      <c r="C1045" s="73"/>
      <c r="D1045" s="3"/>
      <c r="E1045" s="3"/>
      <c r="F1045" s="3"/>
      <c r="G1045" s="3"/>
      <c r="H1045" s="3"/>
      <c r="I1045" s="3"/>
    </row>
    <row r="1046" spans="2:9">
      <c r="B1046" s="3"/>
      <c r="C1046" s="73"/>
      <c r="D1046" s="3"/>
      <c r="E1046" s="3"/>
      <c r="F1046" s="3"/>
      <c r="G1046" s="3"/>
      <c r="H1046" s="3"/>
      <c r="I1046" s="3"/>
    </row>
    <row r="1047" spans="2:9">
      <c r="B1047" s="3"/>
      <c r="C1047" s="73"/>
      <c r="D1047" s="3"/>
      <c r="E1047" s="3"/>
      <c r="F1047" s="3"/>
      <c r="G1047" s="3"/>
      <c r="H1047" s="3"/>
      <c r="I1047" s="3"/>
    </row>
    <row r="1048" spans="2:9">
      <c r="B1048" s="3"/>
      <c r="C1048" s="73"/>
      <c r="D1048" s="3"/>
      <c r="E1048" s="3"/>
      <c r="F1048" s="3"/>
      <c r="G1048" s="3"/>
      <c r="H1048" s="3"/>
      <c r="I1048" s="3"/>
    </row>
    <row r="1049" spans="2:9">
      <c r="B1049" s="3"/>
      <c r="C1049" s="73"/>
      <c r="D1049" s="3"/>
      <c r="E1049" s="3"/>
      <c r="F1049" s="3"/>
      <c r="G1049" s="3"/>
      <c r="H1049" s="3"/>
      <c r="I1049" s="3"/>
    </row>
    <row r="1050" spans="2:9">
      <c r="B1050" s="3"/>
      <c r="C1050" s="73"/>
      <c r="D1050" s="3"/>
      <c r="E1050" s="3"/>
      <c r="F1050" s="3"/>
      <c r="G1050" s="3"/>
      <c r="H1050" s="3"/>
      <c r="I1050" s="3"/>
    </row>
    <row r="1051" spans="2:9">
      <c r="B1051" s="3"/>
      <c r="C1051" s="73"/>
      <c r="D1051" s="3"/>
      <c r="E1051" s="3"/>
      <c r="F1051" s="3"/>
      <c r="G1051" s="3"/>
      <c r="H1051" s="3"/>
      <c r="I1051" s="3"/>
    </row>
    <row r="1052" spans="2:9">
      <c r="B1052" s="3"/>
      <c r="C1052" s="73"/>
      <c r="D1052" s="3"/>
      <c r="E1052" s="3"/>
      <c r="F1052" s="3"/>
      <c r="G1052" s="3"/>
      <c r="H1052" s="3"/>
      <c r="I1052" s="3"/>
    </row>
    <row r="1053" spans="2:9">
      <c r="B1053" s="3"/>
      <c r="C1053" s="73"/>
      <c r="D1053" s="3"/>
      <c r="E1053" s="3"/>
      <c r="F1053" s="3"/>
      <c r="G1053" s="3"/>
      <c r="H1053" s="3"/>
      <c r="I1053" s="3"/>
    </row>
    <row r="1054" spans="2:9">
      <c r="B1054" s="3"/>
      <c r="C1054" s="73"/>
      <c r="D1054" s="3"/>
      <c r="E1054" s="3"/>
      <c r="F1054" s="3"/>
      <c r="G1054" s="3"/>
      <c r="H1054" s="3"/>
      <c r="I1054" s="3"/>
    </row>
    <row r="1055" spans="2:9">
      <c r="B1055" s="3"/>
      <c r="C1055" s="73"/>
      <c r="D1055" s="3"/>
      <c r="E1055" s="3"/>
      <c r="F1055" s="3"/>
      <c r="G1055" s="3"/>
      <c r="H1055" s="3"/>
      <c r="I1055" s="3"/>
    </row>
    <row r="1056" spans="2:9">
      <c r="B1056" s="3"/>
      <c r="C1056" s="73"/>
      <c r="D1056" s="3"/>
      <c r="E1056" s="3"/>
      <c r="F1056" s="3"/>
      <c r="G1056" s="3"/>
      <c r="H1056" s="3"/>
      <c r="I1056" s="3"/>
    </row>
    <row r="1057" spans="2:9">
      <c r="B1057" s="3"/>
      <c r="C1057" s="73"/>
      <c r="D1057" s="3"/>
      <c r="E1057" s="3"/>
      <c r="F1057" s="3"/>
      <c r="G1057" s="3"/>
      <c r="H1057" s="3"/>
      <c r="I1057" s="3"/>
    </row>
    <row r="1058" spans="2:9">
      <c r="B1058" s="3"/>
      <c r="C1058" s="73"/>
      <c r="D1058" s="3"/>
      <c r="E1058" s="3"/>
      <c r="F1058" s="3"/>
      <c r="G1058" s="3"/>
      <c r="H1058" s="3"/>
      <c r="I1058" s="3"/>
    </row>
    <row r="1059" spans="2:9">
      <c r="B1059" s="3"/>
      <c r="C1059" s="73"/>
      <c r="D1059" s="3"/>
      <c r="E1059" s="3"/>
      <c r="F1059" s="3"/>
      <c r="G1059" s="3"/>
      <c r="H1059" s="3"/>
      <c r="I1059" s="3"/>
    </row>
    <row r="1060" spans="2:9">
      <c r="B1060" s="3"/>
      <c r="C1060" s="73"/>
      <c r="D1060" s="3"/>
      <c r="E1060" s="3"/>
      <c r="F1060" s="3"/>
      <c r="G1060" s="3"/>
      <c r="H1060" s="3"/>
      <c r="I1060" s="3"/>
    </row>
    <row r="1061" spans="2:9">
      <c r="B1061" s="3"/>
      <c r="C1061" s="73"/>
      <c r="D1061" s="3"/>
      <c r="E1061" s="3"/>
      <c r="F1061" s="3"/>
      <c r="G1061" s="3"/>
      <c r="H1061" s="3"/>
      <c r="I1061" s="3"/>
    </row>
    <row r="1062" spans="2:9">
      <c r="B1062" s="3"/>
      <c r="C1062" s="73"/>
      <c r="D1062" s="3"/>
      <c r="E1062" s="3"/>
      <c r="F1062" s="3"/>
      <c r="G1062" s="3"/>
      <c r="H1062" s="3"/>
      <c r="I1062" s="3"/>
    </row>
    <row r="1063" spans="2:9">
      <c r="B1063" s="3"/>
      <c r="C1063" s="73"/>
      <c r="D1063" s="3"/>
      <c r="E1063" s="3"/>
      <c r="F1063" s="3"/>
      <c r="G1063" s="3"/>
      <c r="H1063" s="3"/>
      <c r="I1063" s="3"/>
    </row>
    <row r="1064" spans="2:9">
      <c r="B1064" s="3"/>
      <c r="C1064" s="73"/>
      <c r="D1064" s="3"/>
      <c r="E1064" s="3"/>
      <c r="F1064" s="3"/>
      <c r="G1064" s="3"/>
      <c r="H1064" s="3"/>
      <c r="I1064" s="3"/>
    </row>
    <row r="1065" spans="2:9">
      <c r="B1065" s="3"/>
      <c r="C1065" s="73"/>
      <c r="D1065" s="3"/>
      <c r="E1065" s="3"/>
      <c r="F1065" s="3"/>
      <c r="G1065" s="3"/>
      <c r="H1065" s="3"/>
      <c r="I1065" s="3"/>
    </row>
    <row r="1066" spans="2:9">
      <c r="B1066" s="3"/>
      <c r="C1066" s="73"/>
      <c r="D1066" s="3"/>
      <c r="E1066" s="3"/>
      <c r="F1066" s="3"/>
      <c r="G1066" s="3"/>
      <c r="H1066" s="3"/>
      <c r="I1066" s="3"/>
    </row>
    <row r="1067" spans="2:9">
      <c r="B1067" s="3"/>
      <c r="C1067" s="73"/>
      <c r="D1067" s="3"/>
      <c r="E1067" s="3"/>
      <c r="F1067" s="3"/>
      <c r="G1067" s="3"/>
      <c r="H1067" s="3"/>
      <c r="I1067" s="3"/>
    </row>
    <row r="1068" spans="2:9">
      <c r="B1068" s="3"/>
      <c r="C1068" s="73"/>
      <c r="D1068" s="3"/>
      <c r="E1068" s="3"/>
      <c r="F1068" s="3"/>
      <c r="G1068" s="3"/>
      <c r="H1068" s="3"/>
      <c r="I1068" s="3"/>
    </row>
    <row r="1069" spans="2:9">
      <c r="B1069" s="3"/>
      <c r="C1069" s="73"/>
      <c r="D1069" s="3"/>
      <c r="E1069" s="3"/>
      <c r="F1069" s="3"/>
      <c r="G1069" s="3"/>
      <c r="H1069" s="3"/>
      <c r="I1069" s="3"/>
    </row>
    <row r="1070" spans="2:9">
      <c r="B1070" s="3"/>
      <c r="C1070" s="73"/>
      <c r="D1070" s="3"/>
      <c r="E1070" s="3"/>
      <c r="F1070" s="3"/>
      <c r="G1070" s="3"/>
      <c r="H1070" s="3"/>
      <c r="I1070" s="3"/>
    </row>
    <row r="1071" spans="2:9">
      <c r="B1071" s="3"/>
      <c r="C1071" s="73"/>
      <c r="D1071" s="3"/>
      <c r="E1071" s="3"/>
      <c r="F1071" s="3"/>
      <c r="G1071" s="3"/>
      <c r="H1071" s="3"/>
      <c r="I1071" s="3"/>
    </row>
    <row r="1072" spans="2:9">
      <c r="B1072" s="3"/>
      <c r="C1072" s="73"/>
      <c r="D1072" s="3"/>
      <c r="E1072" s="3"/>
      <c r="F1072" s="3"/>
      <c r="G1072" s="3"/>
      <c r="H1072" s="3"/>
      <c r="I1072" s="3"/>
    </row>
    <row r="1073" spans="2:9">
      <c r="B1073" s="3"/>
      <c r="C1073" s="73"/>
      <c r="D1073" s="3"/>
      <c r="E1073" s="3"/>
      <c r="F1073" s="3"/>
      <c r="G1073" s="3"/>
      <c r="H1073" s="3"/>
      <c r="I1073" s="3"/>
    </row>
    <row r="1074" spans="2:9">
      <c r="B1074" s="3"/>
      <c r="C1074" s="73"/>
      <c r="D1074" s="3"/>
      <c r="E1074" s="3"/>
      <c r="F1074" s="3"/>
      <c r="G1074" s="3"/>
      <c r="H1074" s="3"/>
      <c r="I1074" s="3"/>
    </row>
    <row r="1075" spans="2:9">
      <c r="B1075" s="3"/>
      <c r="C1075" s="73"/>
      <c r="D1075" s="3"/>
      <c r="E1075" s="3"/>
      <c r="F1075" s="3"/>
      <c r="G1075" s="3"/>
      <c r="H1075" s="3"/>
      <c r="I1075" s="3"/>
    </row>
    <row r="1076" spans="2:9">
      <c r="B1076" s="3"/>
      <c r="C1076" s="73"/>
      <c r="D1076" s="3"/>
      <c r="E1076" s="3"/>
      <c r="F1076" s="3"/>
      <c r="G1076" s="3"/>
      <c r="H1076" s="3"/>
      <c r="I1076" s="3"/>
    </row>
    <row r="1077" spans="2:9">
      <c r="B1077" s="3"/>
      <c r="C1077" s="73"/>
      <c r="D1077" s="3"/>
      <c r="E1077" s="3"/>
      <c r="F1077" s="3"/>
      <c r="G1077" s="3"/>
      <c r="H1077" s="3"/>
      <c r="I1077" s="3"/>
    </row>
    <row r="1078" spans="2:9">
      <c r="B1078" s="3"/>
      <c r="C1078" s="73"/>
      <c r="D1078" s="3"/>
      <c r="E1078" s="3"/>
      <c r="F1078" s="3"/>
      <c r="G1078" s="3"/>
      <c r="H1078" s="3"/>
      <c r="I1078" s="3"/>
    </row>
    <row r="1079" spans="2:9">
      <c r="B1079" s="3"/>
      <c r="C1079" s="73"/>
      <c r="D1079" s="3"/>
      <c r="E1079" s="3"/>
      <c r="F1079" s="3"/>
      <c r="G1079" s="3"/>
      <c r="H1079" s="3"/>
      <c r="I1079" s="3"/>
    </row>
    <row r="1080" spans="2:9">
      <c r="B1080" s="3"/>
      <c r="C1080" s="73"/>
      <c r="D1080" s="3"/>
      <c r="E1080" s="3"/>
      <c r="F1080" s="3"/>
      <c r="G1080" s="3"/>
      <c r="H1080" s="3"/>
      <c r="I1080" s="3"/>
    </row>
    <row r="1081" spans="2:9">
      <c r="B1081" s="3"/>
      <c r="C1081" s="73"/>
      <c r="D1081" s="3"/>
      <c r="E1081" s="3"/>
      <c r="F1081" s="3"/>
      <c r="G1081" s="3"/>
      <c r="H1081" s="3"/>
      <c r="I1081" s="3"/>
    </row>
    <row r="1082" spans="2:9">
      <c r="B1082" s="3"/>
      <c r="C1082" s="73"/>
      <c r="D1082" s="3"/>
      <c r="E1082" s="3"/>
      <c r="F1082" s="3"/>
      <c r="G1082" s="3"/>
      <c r="H1082" s="3"/>
      <c r="I1082" s="3"/>
    </row>
    <row r="1083" spans="2:9">
      <c r="B1083" s="3"/>
      <c r="C1083" s="73"/>
      <c r="D1083" s="3"/>
      <c r="E1083" s="3"/>
      <c r="F1083" s="3"/>
      <c r="G1083" s="3"/>
      <c r="H1083" s="3"/>
      <c r="I1083" s="3"/>
    </row>
    <row r="1084" spans="2:9">
      <c r="B1084" s="3"/>
      <c r="C1084" s="73"/>
      <c r="D1084" s="3"/>
      <c r="E1084" s="3"/>
      <c r="F1084" s="3"/>
      <c r="G1084" s="3"/>
      <c r="H1084" s="3"/>
      <c r="I1084" s="3"/>
    </row>
    <row r="1085" spans="2:9">
      <c r="B1085" s="3"/>
      <c r="C1085" s="73"/>
      <c r="D1085" s="3"/>
      <c r="E1085" s="3"/>
      <c r="F1085" s="3"/>
      <c r="G1085" s="3"/>
      <c r="H1085" s="3"/>
      <c r="I1085" s="3"/>
    </row>
    <row r="1086" spans="2:9">
      <c r="B1086" s="3"/>
      <c r="C1086" s="73"/>
      <c r="D1086" s="3"/>
      <c r="E1086" s="3"/>
      <c r="F1086" s="3"/>
      <c r="G1086" s="3"/>
      <c r="H1086" s="3"/>
      <c r="I1086" s="3"/>
    </row>
    <row r="1087" spans="2:9">
      <c r="B1087" s="3"/>
      <c r="C1087" s="73"/>
      <c r="D1087" s="3"/>
      <c r="E1087" s="3"/>
      <c r="F1087" s="3"/>
      <c r="G1087" s="3"/>
      <c r="H1087" s="3"/>
      <c r="I1087" s="3"/>
    </row>
    <row r="1088" spans="2:9">
      <c r="B1088" s="3"/>
      <c r="C1088" s="73"/>
      <c r="D1088" s="3"/>
      <c r="E1088" s="3"/>
      <c r="F1088" s="3"/>
      <c r="G1088" s="3"/>
      <c r="H1088" s="3"/>
      <c r="I1088" s="3"/>
    </row>
    <row r="1089" spans="2:9">
      <c r="B1089" s="3"/>
      <c r="C1089" s="73"/>
      <c r="D1089" s="3"/>
      <c r="E1089" s="3"/>
      <c r="F1089" s="3"/>
      <c r="G1089" s="3"/>
      <c r="H1089" s="3"/>
      <c r="I1089" s="3"/>
    </row>
    <row r="1090" spans="2:9">
      <c r="B1090" s="3"/>
      <c r="C1090" s="73"/>
      <c r="D1090" s="3"/>
      <c r="E1090" s="3"/>
      <c r="F1090" s="3"/>
      <c r="G1090" s="3"/>
      <c r="H1090" s="3"/>
      <c r="I1090" s="3"/>
    </row>
    <row r="1091" spans="2:9">
      <c r="B1091" s="3"/>
      <c r="C1091" s="73"/>
      <c r="D1091" s="3"/>
      <c r="E1091" s="3"/>
      <c r="F1091" s="3"/>
      <c r="G1091" s="3"/>
      <c r="H1091" s="3"/>
      <c r="I1091" s="3"/>
    </row>
    <row r="1092" spans="2:9">
      <c r="B1092" s="3"/>
      <c r="C1092" s="73"/>
      <c r="D1092" s="3"/>
      <c r="E1092" s="3"/>
      <c r="F1092" s="3"/>
      <c r="G1092" s="3"/>
      <c r="H1092" s="3"/>
      <c r="I1092" s="3"/>
    </row>
    <row r="1093" spans="2:9">
      <c r="B1093" s="3"/>
      <c r="C1093" s="73"/>
      <c r="D1093" s="3"/>
      <c r="E1093" s="3"/>
      <c r="F1093" s="3"/>
      <c r="G1093" s="3"/>
      <c r="H1093" s="3"/>
      <c r="I1093" s="3"/>
    </row>
    <row r="1094" spans="2:9">
      <c r="B1094" s="3"/>
      <c r="C1094" s="73"/>
      <c r="D1094" s="3"/>
      <c r="E1094" s="3"/>
      <c r="F1094" s="3"/>
      <c r="G1094" s="3"/>
      <c r="H1094" s="3"/>
      <c r="I1094" s="3"/>
    </row>
    <row r="1095" spans="2:9">
      <c r="B1095" s="3"/>
      <c r="C1095" s="73"/>
      <c r="D1095" s="3"/>
      <c r="E1095" s="3"/>
      <c r="F1095" s="3"/>
      <c r="G1095" s="3"/>
      <c r="H1095" s="3"/>
      <c r="I1095" s="3"/>
    </row>
    <row r="1096" spans="2:9">
      <c r="B1096" s="3"/>
      <c r="C1096" s="73"/>
      <c r="D1096" s="3"/>
      <c r="E1096" s="3"/>
      <c r="F1096" s="3"/>
      <c r="G1096" s="3"/>
      <c r="H1096" s="3"/>
      <c r="I1096" s="3"/>
    </row>
    <row r="1097" spans="2:9">
      <c r="B1097" s="3"/>
      <c r="C1097" s="73"/>
      <c r="D1097" s="3"/>
      <c r="E1097" s="3"/>
      <c r="F1097" s="3"/>
      <c r="G1097" s="3"/>
      <c r="H1097" s="3"/>
      <c r="I1097" s="3"/>
    </row>
    <row r="1098" spans="2:9">
      <c r="B1098" s="3"/>
      <c r="C1098" s="73"/>
      <c r="D1098" s="3"/>
      <c r="E1098" s="3"/>
      <c r="F1098" s="3"/>
      <c r="G1098" s="3"/>
      <c r="H1098" s="3"/>
      <c r="I1098" s="3"/>
    </row>
    <row r="1099" spans="2:9">
      <c r="B1099" s="3"/>
      <c r="C1099" s="73"/>
      <c r="D1099" s="3"/>
      <c r="E1099" s="3"/>
      <c r="F1099" s="3"/>
      <c r="G1099" s="3"/>
      <c r="H1099" s="3"/>
      <c r="I1099" s="3"/>
    </row>
    <row r="1100" spans="2:9">
      <c r="B1100" s="3"/>
      <c r="C1100" s="73"/>
      <c r="D1100" s="3"/>
      <c r="E1100" s="3"/>
      <c r="F1100" s="3"/>
      <c r="G1100" s="3"/>
      <c r="H1100" s="3"/>
      <c r="I1100" s="3"/>
    </row>
    <row r="1101" spans="2:9">
      <c r="B1101" s="3"/>
      <c r="C1101" s="73"/>
      <c r="D1101" s="3"/>
      <c r="E1101" s="3"/>
      <c r="F1101" s="3"/>
      <c r="G1101" s="3"/>
      <c r="H1101" s="3"/>
      <c r="I1101" s="3"/>
    </row>
    <row r="1102" spans="2:9">
      <c r="B1102" s="3"/>
      <c r="C1102" s="73"/>
      <c r="D1102" s="3"/>
      <c r="E1102" s="3"/>
      <c r="F1102" s="3"/>
      <c r="G1102" s="3"/>
      <c r="H1102" s="3"/>
      <c r="I1102" s="3"/>
    </row>
    <row r="1103" spans="2:9">
      <c r="B1103" s="3"/>
      <c r="C1103" s="73"/>
      <c r="D1103" s="3"/>
      <c r="E1103" s="3"/>
      <c r="F1103" s="3"/>
      <c r="G1103" s="3"/>
      <c r="H1103" s="3"/>
      <c r="I1103" s="3"/>
    </row>
    <row r="1104" spans="2:9">
      <c r="B1104" s="3"/>
      <c r="C1104" s="73"/>
      <c r="D1104" s="3"/>
      <c r="E1104" s="3"/>
      <c r="F1104" s="3"/>
      <c r="G1104" s="3"/>
      <c r="H1104" s="3"/>
      <c r="I1104" s="3"/>
    </row>
    <row r="1105" spans="2:9">
      <c r="B1105" s="3"/>
      <c r="C1105" s="73"/>
      <c r="D1105" s="3"/>
      <c r="E1105" s="3"/>
      <c r="F1105" s="3"/>
      <c r="G1105" s="3"/>
      <c r="H1105" s="3"/>
      <c r="I1105" s="3"/>
    </row>
    <row r="1106" spans="2:9">
      <c r="B1106" s="3"/>
      <c r="C1106" s="73"/>
      <c r="D1106" s="3"/>
      <c r="E1106" s="3"/>
      <c r="F1106" s="3"/>
      <c r="G1106" s="3"/>
      <c r="H1106" s="3"/>
      <c r="I1106" s="3"/>
    </row>
    <row r="1107" spans="2:9">
      <c r="B1107" s="3"/>
      <c r="C1107" s="73"/>
      <c r="D1107" s="3"/>
      <c r="E1107" s="3"/>
      <c r="F1107" s="3"/>
      <c r="G1107" s="3"/>
      <c r="H1107" s="3"/>
      <c r="I1107" s="3"/>
    </row>
    <row r="1108" spans="2:9">
      <c r="B1108" s="3"/>
      <c r="C1108" s="73"/>
      <c r="D1108" s="3"/>
      <c r="E1108" s="3"/>
      <c r="F1108" s="3"/>
      <c r="G1108" s="3"/>
      <c r="H1108" s="3"/>
      <c r="I1108" s="3"/>
    </row>
    <row r="1109" spans="2:9">
      <c r="B1109" s="3"/>
      <c r="C1109" s="73"/>
      <c r="D1109" s="3"/>
      <c r="E1109" s="3"/>
      <c r="F1109" s="3"/>
      <c r="G1109" s="3"/>
      <c r="H1109" s="3"/>
      <c r="I1109" s="3"/>
    </row>
    <row r="1110" spans="2:9">
      <c r="B1110" s="3"/>
      <c r="C1110" s="73"/>
      <c r="D1110" s="3"/>
      <c r="E1110" s="3"/>
      <c r="F1110" s="3"/>
      <c r="G1110" s="3"/>
      <c r="H1110" s="3"/>
      <c r="I1110" s="3"/>
    </row>
    <row r="1111" spans="2:9">
      <c r="B1111" s="3"/>
      <c r="C1111" s="73"/>
      <c r="D1111" s="3"/>
      <c r="E1111" s="3"/>
      <c r="F1111" s="3"/>
      <c r="G1111" s="3"/>
      <c r="H1111" s="3"/>
      <c r="I1111" s="3"/>
    </row>
    <row r="1112" spans="2:9">
      <c r="B1112" s="3"/>
      <c r="C1112" s="73"/>
      <c r="D1112" s="3"/>
      <c r="E1112" s="3"/>
      <c r="F1112" s="3"/>
      <c r="G1112" s="3"/>
      <c r="H1112" s="3"/>
      <c r="I1112" s="3"/>
    </row>
    <row r="1113" spans="2:9">
      <c r="B1113" s="3"/>
      <c r="C1113" s="73"/>
      <c r="D1113" s="3"/>
      <c r="E1113" s="3"/>
      <c r="F1113" s="3"/>
      <c r="G1113" s="3"/>
      <c r="H1113" s="3"/>
      <c r="I1113" s="3"/>
    </row>
    <row r="1114" spans="2:9">
      <c r="B1114" s="3"/>
      <c r="C1114" s="73"/>
      <c r="D1114" s="3"/>
      <c r="E1114" s="3"/>
      <c r="F1114" s="3"/>
      <c r="G1114" s="3"/>
      <c r="H1114" s="3"/>
      <c r="I1114" s="3"/>
    </row>
    <row r="1115" spans="2:9">
      <c r="B1115" s="3"/>
      <c r="C1115" s="73"/>
      <c r="D1115" s="3"/>
      <c r="E1115" s="3"/>
      <c r="F1115" s="3"/>
      <c r="G1115" s="3"/>
      <c r="H1115" s="3"/>
      <c r="I1115" s="3"/>
    </row>
    <row r="1116" spans="2:9">
      <c r="B1116" s="3"/>
      <c r="C1116" s="73"/>
      <c r="D1116" s="3"/>
      <c r="E1116" s="3"/>
      <c r="F1116" s="3"/>
      <c r="G1116" s="3"/>
      <c r="H1116" s="3"/>
      <c r="I1116" s="3"/>
    </row>
    <row r="1117" spans="2:9">
      <c r="B1117" s="3"/>
      <c r="C1117" s="73"/>
      <c r="D1117" s="3"/>
      <c r="E1117" s="3"/>
      <c r="F1117" s="3"/>
      <c r="G1117" s="3"/>
      <c r="H1117" s="3"/>
      <c r="I1117" s="3"/>
    </row>
    <row r="1118" spans="2:9">
      <c r="B1118" s="3"/>
      <c r="C1118" s="73"/>
      <c r="D1118" s="3"/>
      <c r="E1118" s="3"/>
      <c r="F1118" s="3"/>
      <c r="G1118" s="3"/>
      <c r="H1118" s="3"/>
      <c r="I1118" s="3"/>
    </row>
    <row r="1119" spans="2:9">
      <c r="B1119" s="3"/>
      <c r="C1119" s="73"/>
      <c r="D1119" s="3"/>
      <c r="E1119" s="3"/>
      <c r="F1119" s="3"/>
      <c r="G1119" s="3"/>
      <c r="H1119" s="3"/>
      <c r="I1119" s="3"/>
    </row>
    <row r="1120" spans="2:9">
      <c r="B1120" s="3"/>
      <c r="C1120" s="73"/>
      <c r="D1120" s="3"/>
      <c r="E1120" s="3"/>
      <c r="F1120" s="3"/>
      <c r="G1120" s="3"/>
      <c r="H1120" s="3"/>
      <c r="I1120" s="3"/>
    </row>
    <row r="1121" spans="2:9">
      <c r="B1121" s="3"/>
      <c r="C1121" s="73"/>
      <c r="D1121" s="3"/>
      <c r="E1121" s="3"/>
      <c r="F1121" s="3"/>
      <c r="G1121" s="3"/>
      <c r="H1121" s="3"/>
      <c r="I1121" s="3"/>
    </row>
    <row r="1122" spans="2:9">
      <c r="B1122" s="3"/>
      <c r="C1122" s="73"/>
      <c r="D1122" s="3"/>
      <c r="E1122" s="3"/>
      <c r="F1122" s="3"/>
      <c r="G1122" s="3"/>
      <c r="H1122" s="3"/>
      <c r="I1122" s="3"/>
    </row>
    <row r="1123" spans="2:9">
      <c r="B1123" s="3"/>
      <c r="C1123" s="73"/>
      <c r="D1123" s="3"/>
      <c r="E1123" s="3"/>
      <c r="F1123" s="3"/>
      <c r="G1123" s="3"/>
      <c r="H1123" s="3"/>
      <c r="I1123" s="3"/>
    </row>
    <row r="1124" spans="2:9">
      <c r="B1124" s="3"/>
      <c r="C1124" s="73"/>
      <c r="D1124" s="3"/>
      <c r="E1124" s="3"/>
      <c r="F1124" s="3"/>
      <c r="G1124" s="3"/>
      <c r="H1124" s="3"/>
      <c r="I1124" s="3"/>
    </row>
    <row r="1125" spans="2:9">
      <c r="B1125" s="3"/>
      <c r="C1125" s="73"/>
      <c r="D1125" s="3"/>
      <c r="E1125" s="3"/>
      <c r="F1125" s="3"/>
      <c r="G1125" s="3"/>
      <c r="H1125" s="3"/>
      <c r="I1125" s="3"/>
    </row>
    <row r="1126" spans="2:9">
      <c r="B1126" s="3"/>
      <c r="C1126" s="73"/>
      <c r="D1126" s="3"/>
      <c r="E1126" s="3"/>
      <c r="F1126" s="3"/>
      <c r="G1126" s="3"/>
      <c r="H1126" s="3"/>
      <c r="I1126" s="3"/>
    </row>
    <row r="1127" spans="2:9">
      <c r="B1127" s="3"/>
      <c r="C1127" s="73"/>
      <c r="D1127" s="3"/>
      <c r="E1127" s="3"/>
      <c r="F1127" s="3"/>
      <c r="G1127" s="3"/>
      <c r="H1127" s="3"/>
      <c r="I1127" s="3"/>
    </row>
    <row r="1128" spans="2:9">
      <c r="B1128" s="3"/>
      <c r="C1128" s="73"/>
      <c r="D1128" s="3"/>
      <c r="E1128" s="3"/>
      <c r="F1128" s="3"/>
      <c r="G1128" s="3"/>
      <c r="H1128" s="3"/>
      <c r="I1128" s="3"/>
    </row>
    <row r="1129" spans="2:9">
      <c r="B1129" s="3"/>
      <c r="C1129" s="73"/>
      <c r="D1129" s="3"/>
      <c r="E1129" s="3"/>
      <c r="F1129" s="3"/>
      <c r="G1129" s="3"/>
      <c r="H1129" s="3"/>
      <c r="I1129" s="3"/>
    </row>
    <row r="1130" spans="2:9">
      <c r="B1130" s="3"/>
      <c r="C1130" s="73"/>
      <c r="D1130" s="3"/>
      <c r="E1130" s="3"/>
      <c r="F1130" s="3"/>
      <c r="G1130" s="3"/>
      <c r="H1130" s="3"/>
      <c r="I1130" s="3"/>
    </row>
    <row r="1131" spans="2:9">
      <c r="B1131" s="3"/>
      <c r="C1131" s="73"/>
      <c r="D1131" s="3"/>
      <c r="E1131" s="3"/>
      <c r="F1131" s="3"/>
      <c r="G1131" s="3"/>
      <c r="H1131" s="3"/>
      <c r="I1131" s="3"/>
    </row>
    <row r="1132" spans="2:9">
      <c r="B1132" s="3"/>
      <c r="C1132" s="73"/>
      <c r="D1132" s="3"/>
      <c r="E1132" s="3"/>
      <c r="F1132" s="3"/>
      <c r="G1132" s="3"/>
      <c r="H1132" s="3"/>
      <c r="I1132" s="3"/>
    </row>
    <row r="1133" spans="2:9">
      <c r="B1133" s="3"/>
      <c r="C1133" s="73"/>
      <c r="D1133" s="3"/>
      <c r="E1133" s="3"/>
      <c r="F1133" s="3"/>
      <c r="G1133" s="3"/>
      <c r="H1133" s="3"/>
      <c r="I1133" s="3"/>
    </row>
    <row r="1134" spans="2:9">
      <c r="B1134" s="3"/>
      <c r="C1134" s="73"/>
      <c r="D1134" s="3"/>
      <c r="E1134" s="3"/>
      <c r="F1134" s="3"/>
      <c r="G1134" s="3"/>
      <c r="H1134" s="3"/>
      <c r="I1134" s="3"/>
    </row>
    <row r="1135" spans="2:9">
      <c r="B1135" s="3"/>
      <c r="C1135" s="73"/>
      <c r="D1135" s="3"/>
      <c r="E1135" s="3"/>
      <c r="F1135" s="3"/>
      <c r="G1135" s="3"/>
      <c r="H1135" s="3"/>
      <c r="I1135" s="3"/>
    </row>
    <row r="1136" spans="2:9">
      <c r="B1136" s="3"/>
      <c r="C1136" s="73"/>
      <c r="D1136" s="3"/>
      <c r="E1136" s="3"/>
      <c r="F1136" s="3"/>
      <c r="G1136" s="3"/>
      <c r="H1136" s="3"/>
      <c r="I1136" s="3"/>
    </row>
    <row r="1137" spans="2:9">
      <c r="B1137" s="3"/>
      <c r="C1137" s="73"/>
      <c r="D1137" s="3"/>
      <c r="E1137" s="3"/>
      <c r="F1137" s="3"/>
      <c r="G1137" s="3"/>
      <c r="H1137" s="3"/>
      <c r="I1137" s="3"/>
    </row>
    <row r="1138" spans="2:9">
      <c r="B1138" s="3"/>
      <c r="C1138" s="73"/>
      <c r="D1138" s="3"/>
      <c r="E1138" s="3"/>
      <c r="F1138" s="3"/>
      <c r="G1138" s="3"/>
      <c r="H1138" s="3"/>
      <c r="I1138" s="3"/>
    </row>
    <row r="1139" spans="2:9">
      <c r="B1139" s="3"/>
      <c r="C1139" s="73"/>
      <c r="D1139" s="3"/>
      <c r="E1139" s="3"/>
      <c r="F1139" s="3"/>
      <c r="G1139" s="3"/>
      <c r="H1139" s="3"/>
      <c r="I1139" s="3"/>
    </row>
    <row r="1140" spans="2:9">
      <c r="B1140" s="3"/>
      <c r="C1140" s="73"/>
      <c r="D1140" s="3"/>
      <c r="E1140" s="3"/>
      <c r="F1140" s="3"/>
      <c r="G1140" s="3"/>
      <c r="H1140" s="3"/>
      <c r="I1140" s="3"/>
    </row>
    <row r="1141" spans="2:9">
      <c r="B1141" s="3"/>
      <c r="C1141" s="73"/>
      <c r="D1141" s="3"/>
      <c r="E1141" s="3"/>
      <c r="F1141" s="3"/>
      <c r="G1141" s="3"/>
      <c r="H1141" s="3"/>
      <c r="I1141" s="3"/>
    </row>
    <row r="1142" spans="2:9">
      <c r="B1142" s="3"/>
      <c r="C1142" s="73"/>
      <c r="D1142" s="3"/>
      <c r="E1142" s="3"/>
      <c r="F1142" s="3"/>
      <c r="G1142" s="3"/>
      <c r="H1142" s="3"/>
      <c r="I1142" s="3"/>
    </row>
    <row r="1143" spans="2:9">
      <c r="B1143" s="3"/>
      <c r="C1143" s="73"/>
      <c r="D1143" s="3"/>
      <c r="E1143" s="3"/>
      <c r="F1143" s="3"/>
      <c r="G1143" s="3"/>
      <c r="H1143" s="3"/>
      <c r="I1143" s="3"/>
    </row>
    <row r="1144" spans="2:9">
      <c r="B1144" s="3"/>
      <c r="C1144" s="73"/>
      <c r="D1144" s="3"/>
      <c r="E1144" s="3"/>
      <c r="F1144" s="3"/>
      <c r="G1144" s="3"/>
      <c r="H1144" s="3"/>
      <c r="I1144" s="3"/>
    </row>
    <row r="1145" spans="2:9">
      <c r="B1145" s="3"/>
      <c r="C1145" s="73"/>
      <c r="D1145" s="3"/>
      <c r="E1145" s="3"/>
      <c r="F1145" s="3"/>
      <c r="G1145" s="3"/>
      <c r="H1145" s="3"/>
      <c r="I1145" s="3"/>
    </row>
    <row r="1146" spans="2:9">
      <c r="B1146" s="3"/>
      <c r="C1146" s="73"/>
      <c r="D1146" s="3"/>
      <c r="E1146" s="3"/>
      <c r="F1146" s="3"/>
      <c r="G1146" s="3"/>
      <c r="H1146" s="3"/>
      <c r="I1146" s="3"/>
    </row>
    <row r="1147" spans="2:9">
      <c r="B1147" s="3"/>
      <c r="C1147" s="73"/>
      <c r="D1147" s="3"/>
      <c r="E1147" s="3"/>
      <c r="F1147" s="3"/>
      <c r="G1147" s="3"/>
      <c r="H1147" s="3"/>
      <c r="I1147" s="3"/>
    </row>
    <row r="1148" spans="2:9">
      <c r="B1148" s="3"/>
      <c r="C1148" s="73"/>
      <c r="D1148" s="3"/>
      <c r="E1148" s="3"/>
      <c r="F1148" s="3"/>
      <c r="G1148" s="3"/>
      <c r="H1148" s="3"/>
      <c r="I1148" s="3"/>
    </row>
    <row r="1149" spans="2:9">
      <c r="B1149" s="3"/>
      <c r="C1149" s="73"/>
      <c r="D1149" s="3"/>
      <c r="E1149" s="3"/>
      <c r="F1149" s="3"/>
      <c r="G1149" s="3"/>
      <c r="H1149" s="3"/>
      <c r="I1149" s="3"/>
    </row>
    <row r="1150" spans="2:9">
      <c r="B1150" s="3"/>
      <c r="C1150" s="73"/>
      <c r="D1150" s="3"/>
      <c r="E1150" s="3"/>
      <c r="F1150" s="3"/>
      <c r="G1150" s="3"/>
      <c r="H1150" s="3"/>
      <c r="I1150" s="3"/>
    </row>
    <row r="1151" spans="2:9">
      <c r="B1151" s="3"/>
      <c r="C1151" s="73"/>
      <c r="D1151" s="3"/>
      <c r="E1151" s="3"/>
      <c r="F1151" s="3"/>
      <c r="G1151" s="3"/>
      <c r="H1151" s="3"/>
      <c r="I1151" s="3"/>
    </row>
    <row r="1152" spans="2:9">
      <c r="B1152" s="3"/>
      <c r="C1152" s="73"/>
      <c r="D1152" s="3"/>
      <c r="E1152" s="3"/>
      <c r="F1152" s="3"/>
      <c r="G1152" s="3"/>
      <c r="H1152" s="3"/>
      <c r="I1152" s="3"/>
    </row>
    <row r="1153" spans="2:9">
      <c r="B1153" s="3"/>
      <c r="C1153" s="73"/>
      <c r="D1153" s="3"/>
      <c r="E1153" s="3"/>
      <c r="F1153" s="3"/>
      <c r="G1153" s="3"/>
      <c r="H1153" s="3"/>
      <c r="I1153" s="3"/>
    </row>
    <row r="1154" spans="2:9">
      <c r="B1154" s="3"/>
      <c r="C1154" s="73"/>
      <c r="D1154" s="3"/>
      <c r="E1154" s="3"/>
      <c r="F1154" s="3"/>
      <c r="G1154" s="3"/>
      <c r="H1154" s="3"/>
      <c r="I1154" s="3"/>
    </row>
    <row r="1155" spans="2:9">
      <c r="B1155" s="3"/>
      <c r="C1155" s="73"/>
      <c r="D1155" s="3"/>
      <c r="E1155" s="3"/>
      <c r="F1155" s="3"/>
      <c r="G1155" s="3"/>
      <c r="H1155" s="3"/>
      <c r="I1155" s="3"/>
    </row>
    <row r="1156" spans="2:9">
      <c r="B1156" s="3"/>
      <c r="C1156" s="73"/>
      <c r="D1156" s="3"/>
      <c r="E1156" s="3"/>
      <c r="F1156" s="3"/>
      <c r="G1156" s="3"/>
      <c r="H1156" s="3"/>
      <c r="I1156" s="3"/>
    </row>
    <row r="1157" spans="2:9">
      <c r="B1157" s="3"/>
      <c r="C1157" s="73"/>
      <c r="D1157" s="3"/>
      <c r="E1157" s="3"/>
      <c r="F1157" s="3"/>
      <c r="G1157" s="3"/>
      <c r="H1157" s="3"/>
      <c r="I1157" s="3"/>
    </row>
    <row r="1158" spans="2:9">
      <c r="B1158" s="3"/>
      <c r="C1158" s="73"/>
      <c r="D1158" s="3"/>
      <c r="E1158" s="3"/>
      <c r="F1158" s="3"/>
      <c r="G1158" s="3"/>
      <c r="H1158" s="3"/>
      <c r="I1158" s="3"/>
    </row>
    <row r="1159" spans="2:9">
      <c r="B1159" s="3"/>
      <c r="C1159" s="73"/>
      <c r="D1159" s="3"/>
      <c r="E1159" s="3"/>
      <c r="F1159" s="3"/>
      <c r="G1159" s="3"/>
      <c r="H1159" s="3"/>
      <c r="I1159" s="3"/>
    </row>
    <row r="1160" spans="2:9">
      <c r="B1160" s="3"/>
      <c r="C1160" s="73"/>
      <c r="D1160" s="3"/>
      <c r="E1160" s="3"/>
      <c r="F1160" s="3"/>
      <c r="G1160" s="3"/>
      <c r="H1160" s="3"/>
      <c r="I1160" s="3"/>
    </row>
    <row r="1161" spans="2:9">
      <c r="B1161" s="3"/>
      <c r="C1161" s="73"/>
      <c r="D1161" s="3"/>
      <c r="E1161" s="3"/>
      <c r="F1161" s="3"/>
      <c r="G1161" s="3"/>
      <c r="H1161" s="3"/>
      <c r="I1161" s="3"/>
    </row>
    <row r="1162" spans="2:9">
      <c r="B1162" s="3"/>
      <c r="C1162" s="73"/>
      <c r="D1162" s="3"/>
      <c r="E1162" s="3"/>
      <c r="F1162" s="3"/>
      <c r="G1162" s="3"/>
      <c r="H1162" s="3"/>
      <c r="I1162" s="3"/>
    </row>
    <row r="1163" spans="2:9">
      <c r="B1163" s="3"/>
      <c r="C1163" s="73"/>
      <c r="D1163" s="3"/>
      <c r="E1163" s="3"/>
      <c r="F1163" s="3"/>
      <c r="G1163" s="3"/>
      <c r="H1163" s="3"/>
      <c r="I1163" s="3"/>
    </row>
    <row r="1164" spans="2:9">
      <c r="B1164" s="3"/>
      <c r="C1164" s="73"/>
      <c r="D1164" s="3"/>
      <c r="E1164" s="3"/>
      <c r="F1164" s="3"/>
      <c r="G1164" s="3"/>
      <c r="H1164" s="3"/>
      <c r="I1164" s="3"/>
    </row>
    <row r="1165" spans="2:9">
      <c r="B1165" s="3"/>
      <c r="C1165" s="73"/>
      <c r="D1165" s="3"/>
      <c r="E1165" s="3"/>
      <c r="F1165" s="3"/>
      <c r="G1165" s="3"/>
      <c r="H1165" s="3"/>
      <c r="I1165" s="3"/>
    </row>
    <row r="1166" spans="2:9">
      <c r="B1166" s="3"/>
      <c r="C1166" s="73"/>
      <c r="D1166" s="3"/>
      <c r="E1166" s="3"/>
      <c r="F1166" s="3"/>
      <c r="G1166" s="3"/>
      <c r="H1166" s="3"/>
      <c r="I1166" s="3"/>
    </row>
    <row r="1167" spans="2:9">
      <c r="B1167" s="3"/>
      <c r="C1167" s="73"/>
      <c r="D1167" s="3"/>
      <c r="E1167" s="3"/>
      <c r="F1167" s="3"/>
      <c r="G1167" s="3"/>
      <c r="H1167" s="3"/>
      <c r="I1167" s="3"/>
    </row>
    <row r="1168" spans="2:9">
      <c r="B1168" s="3"/>
      <c r="C1168" s="73"/>
      <c r="D1168" s="3"/>
      <c r="E1168" s="3"/>
      <c r="F1168" s="3"/>
      <c r="G1168" s="3"/>
      <c r="H1168" s="3"/>
      <c r="I1168" s="3"/>
    </row>
    <row r="1169" spans="2:9">
      <c r="B1169" s="3"/>
      <c r="C1169" s="73"/>
      <c r="D1169" s="3"/>
      <c r="E1169" s="3"/>
      <c r="F1169" s="3"/>
      <c r="G1169" s="3"/>
      <c r="H1169" s="3"/>
      <c r="I1169" s="3"/>
    </row>
    <row r="1170" spans="2:9">
      <c r="B1170" s="3"/>
      <c r="C1170" s="73"/>
      <c r="D1170" s="3"/>
      <c r="E1170" s="3"/>
      <c r="F1170" s="3"/>
      <c r="G1170" s="3"/>
      <c r="H1170" s="3"/>
      <c r="I1170" s="3"/>
    </row>
    <row r="1171" spans="2:9">
      <c r="B1171" s="3"/>
      <c r="C1171" s="73"/>
      <c r="D1171" s="3"/>
      <c r="E1171" s="3"/>
      <c r="F1171" s="3"/>
      <c r="G1171" s="3"/>
      <c r="H1171" s="3"/>
      <c r="I1171" s="3"/>
    </row>
    <row r="1172" spans="2:9">
      <c r="B1172" s="3"/>
      <c r="C1172" s="73"/>
      <c r="D1172" s="3"/>
      <c r="E1172" s="3"/>
      <c r="F1172" s="3"/>
      <c r="G1172" s="3"/>
      <c r="H1172" s="3"/>
      <c r="I1172" s="3"/>
    </row>
    <row r="1173" spans="2:9">
      <c r="B1173" s="3"/>
      <c r="C1173" s="73"/>
      <c r="D1173" s="3"/>
      <c r="E1173" s="3"/>
      <c r="F1173" s="3"/>
      <c r="G1173" s="3"/>
      <c r="H1173" s="3"/>
      <c r="I1173" s="3"/>
    </row>
    <row r="1174" spans="2:9">
      <c r="B1174" s="3"/>
      <c r="C1174" s="73"/>
      <c r="D1174" s="3"/>
      <c r="E1174" s="3"/>
      <c r="F1174" s="3"/>
      <c r="G1174" s="3"/>
      <c r="H1174" s="3"/>
      <c r="I1174" s="3"/>
    </row>
    <row r="1175" spans="2:9">
      <c r="B1175" s="3"/>
      <c r="C1175" s="73"/>
      <c r="D1175" s="3"/>
      <c r="E1175" s="3"/>
      <c r="F1175" s="3"/>
      <c r="G1175" s="3"/>
      <c r="H1175" s="3"/>
      <c r="I1175" s="3"/>
    </row>
    <row r="1176" spans="2:9">
      <c r="B1176" s="3"/>
      <c r="C1176" s="73"/>
      <c r="D1176" s="3"/>
      <c r="E1176" s="3"/>
      <c r="F1176" s="3"/>
      <c r="G1176" s="3"/>
      <c r="H1176" s="3"/>
      <c r="I1176" s="3"/>
    </row>
    <row r="1177" spans="2:9">
      <c r="B1177" s="3"/>
      <c r="C1177" s="73"/>
      <c r="D1177" s="3"/>
      <c r="E1177" s="3"/>
      <c r="F1177" s="3"/>
      <c r="G1177" s="3"/>
      <c r="H1177" s="3"/>
      <c r="I1177" s="3"/>
    </row>
    <row r="1178" spans="2:9">
      <c r="B1178" s="3"/>
      <c r="C1178" s="73"/>
      <c r="D1178" s="3"/>
      <c r="E1178" s="3"/>
      <c r="F1178" s="3"/>
      <c r="G1178" s="3"/>
      <c r="H1178" s="3"/>
      <c r="I1178" s="3"/>
    </row>
    <row r="1179" spans="2:9">
      <c r="B1179" s="3"/>
      <c r="C1179" s="73"/>
      <c r="D1179" s="3"/>
      <c r="E1179" s="3"/>
      <c r="F1179" s="3"/>
      <c r="G1179" s="3"/>
      <c r="H1179" s="3"/>
      <c r="I1179" s="3"/>
    </row>
    <row r="1180" spans="2:9">
      <c r="B1180" s="3"/>
      <c r="C1180" s="73"/>
      <c r="D1180" s="3"/>
      <c r="E1180" s="3"/>
      <c r="F1180" s="3"/>
      <c r="G1180" s="3"/>
      <c r="H1180" s="3"/>
      <c r="I1180" s="3"/>
    </row>
    <row r="1181" spans="2:9">
      <c r="B1181" s="3"/>
      <c r="C1181" s="73"/>
      <c r="D1181" s="3"/>
      <c r="E1181" s="3"/>
      <c r="F1181" s="3"/>
      <c r="G1181" s="3"/>
      <c r="H1181" s="3"/>
      <c r="I1181" s="3"/>
    </row>
    <row r="1182" spans="2:9">
      <c r="B1182" s="3"/>
      <c r="C1182" s="73"/>
      <c r="D1182" s="3"/>
      <c r="E1182" s="3"/>
      <c r="F1182" s="3"/>
      <c r="G1182" s="3"/>
      <c r="H1182" s="3"/>
      <c r="I1182" s="3"/>
    </row>
    <row r="1183" spans="2:9">
      <c r="B1183" s="3"/>
      <c r="C1183" s="73"/>
      <c r="D1183" s="3"/>
      <c r="E1183" s="3"/>
      <c r="F1183" s="3"/>
      <c r="G1183" s="3"/>
      <c r="H1183" s="3"/>
      <c r="I1183" s="3"/>
    </row>
    <row r="1184" spans="2:9">
      <c r="B1184" s="3"/>
      <c r="C1184" s="73"/>
      <c r="D1184" s="3"/>
      <c r="E1184" s="3"/>
      <c r="F1184" s="3"/>
      <c r="G1184" s="3"/>
      <c r="H1184" s="3"/>
      <c r="I1184" s="3"/>
    </row>
    <row r="1185" spans="2:9">
      <c r="B1185" s="3"/>
      <c r="C1185" s="73"/>
      <c r="D1185" s="3"/>
      <c r="E1185" s="3"/>
      <c r="F1185" s="3"/>
      <c r="G1185" s="3"/>
      <c r="H1185" s="3"/>
      <c r="I1185" s="3"/>
    </row>
    <row r="1186" spans="2:9">
      <c r="B1186" s="3"/>
      <c r="C1186" s="73"/>
      <c r="D1186" s="3"/>
      <c r="E1186" s="3"/>
      <c r="F1186" s="3"/>
      <c r="G1186" s="3"/>
      <c r="H1186" s="3"/>
      <c r="I1186" s="3"/>
    </row>
    <row r="1187" spans="2:9">
      <c r="B1187" s="3"/>
      <c r="C1187" s="73"/>
      <c r="D1187" s="3"/>
      <c r="E1187" s="3"/>
      <c r="F1187" s="3"/>
      <c r="G1187" s="3"/>
      <c r="H1187" s="3"/>
      <c r="I1187" s="3"/>
    </row>
    <row r="1188" spans="2:9">
      <c r="B1188" s="3"/>
      <c r="C1188" s="73"/>
      <c r="D1188" s="3"/>
      <c r="E1188" s="3"/>
      <c r="F1188" s="3"/>
      <c r="G1188" s="3"/>
      <c r="H1188" s="3"/>
      <c r="I1188" s="3"/>
    </row>
    <row r="1189" spans="2:9">
      <c r="B1189" s="3"/>
      <c r="C1189" s="73"/>
      <c r="D1189" s="3"/>
      <c r="E1189" s="3"/>
      <c r="F1189" s="3"/>
      <c r="G1189" s="3"/>
      <c r="H1189" s="3"/>
      <c r="I1189" s="3"/>
    </row>
    <row r="1190" spans="2:9">
      <c r="B1190" s="3"/>
      <c r="C1190" s="73"/>
      <c r="D1190" s="3"/>
      <c r="E1190" s="3"/>
      <c r="F1190" s="3"/>
      <c r="G1190" s="3"/>
      <c r="H1190" s="3"/>
      <c r="I1190" s="3"/>
    </row>
    <row r="1191" spans="2:9">
      <c r="B1191" s="3"/>
      <c r="C1191" s="73"/>
      <c r="D1191" s="3"/>
      <c r="E1191" s="3"/>
      <c r="F1191" s="3"/>
      <c r="G1191" s="3"/>
      <c r="H1191" s="3"/>
      <c r="I1191" s="3"/>
    </row>
    <row r="1192" spans="2:9">
      <c r="B1192" s="3"/>
      <c r="C1192" s="73"/>
      <c r="D1192" s="3"/>
      <c r="E1192" s="3"/>
      <c r="F1192" s="3"/>
      <c r="G1192" s="3"/>
      <c r="H1192" s="3"/>
      <c r="I1192" s="3"/>
    </row>
    <row r="1193" spans="2:9">
      <c r="B1193" s="3"/>
      <c r="C1193" s="73"/>
      <c r="D1193" s="3"/>
      <c r="E1193" s="3"/>
      <c r="F1193" s="3"/>
      <c r="G1193" s="3"/>
      <c r="H1193" s="3"/>
      <c r="I1193" s="3"/>
    </row>
    <row r="1194" spans="2:9">
      <c r="B1194" s="3"/>
      <c r="C1194" s="73"/>
      <c r="D1194" s="3"/>
      <c r="E1194" s="3"/>
      <c r="F1194" s="3"/>
      <c r="G1194" s="3"/>
      <c r="H1194" s="3"/>
      <c r="I1194" s="3"/>
    </row>
    <row r="1195" spans="2:9">
      <c r="B1195" s="3"/>
      <c r="C1195" s="73"/>
      <c r="D1195" s="3"/>
      <c r="E1195" s="3"/>
      <c r="F1195" s="3"/>
      <c r="G1195" s="3"/>
      <c r="H1195" s="3"/>
      <c r="I1195" s="3"/>
    </row>
    <row r="1196" spans="2:9">
      <c r="B1196" s="3"/>
      <c r="C1196" s="73"/>
      <c r="D1196" s="3"/>
      <c r="E1196" s="3"/>
      <c r="F1196" s="3"/>
      <c r="G1196" s="3"/>
      <c r="H1196" s="3"/>
      <c r="I1196" s="3"/>
    </row>
    <row r="1197" spans="2:9">
      <c r="B1197" s="3"/>
      <c r="C1197" s="73"/>
      <c r="D1197" s="3"/>
      <c r="E1197" s="3"/>
      <c r="F1197" s="3"/>
      <c r="G1197" s="3"/>
      <c r="H1197" s="3"/>
      <c r="I1197" s="3"/>
    </row>
    <row r="1198" spans="2:9">
      <c r="B1198" s="3"/>
      <c r="C1198" s="73"/>
      <c r="D1198" s="3"/>
      <c r="E1198" s="3"/>
      <c r="F1198" s="3"/>
      <c r="G1198" s="3"/>
      <c r="H1198" s="3"/>
      <c r="I1198" s="3"/>
    </row>
    <row r="1199" spans="2:9">
      <c r="B1199" s="3"/>
      <c r="C1199" s="73"/>
      <c r="D1199" s="3"/>
      <c r="E1199" s="3"/>
      <c r="F1199" s="3"/>
      <c r="G1199" s="3"/>
      <c r="H1199" s="3"/>
      <c r="I1199" s="3"/>
    </row>
    <row r="1200" spans="2:9">
      <c r="B1200" s="3"/>
      <c r="C1200" s="73"/>
      <c r="D1200" s="3"/>
      <c r="E1200" s="3"/>
      <c r="F1200" s="3"/>
      <c r="G1200" s="3"/>
      <c r="H1200" s="3"/>
      <c r="I1200" s="3"/>
    </row>
    <row r="1201" spans="2:9">
      <c r="B1201" s="3"/>
      <c r="C1201" s="73"/>
      <c r="D1201" s="3"/>
      <c r="E1201" s="3"/>
      <c r="F1201" s="3"/>
      <c r="G1201" s="3"/>
      <c r="H1201" s="3"/>
      <c r="I1201" s="3"/>
    </row>
    <row r="1202" spans="2:9">
      <c r="B1202" s="3"/>
      <c r="C1202" s="73"/>
      <c r="D1202" s="3"/>
      <c r="E1202" s="3"/>
      <c r="F1202" s="3"/>
      <c r="G1202" s="3"/>
      <c r="H1202" s="3"/>
      <c r="I1202" s="3"/>
    </row>
    <row r="1203" spans="2:9">
      <c r="B1203" s="3"/>
      <c r="C1203" s="73"/>
      <c r="D1203" s="3"/>
      <c r="E1203" s="3"/>
      <c r="F1203" s="3"/>
      <c r="G1203" s="3"/>
      <c r="H1203" s="3"/>
      <c r="I1203" s="3"/>
    </row>
    <row r="1204" spans="2:9">
      <c r="B1204" s="3"/>
      <c r="C1204" s="73"/>
      <c r="D1204" s="3"/>
      <c r="E1204" s="3"/>
      <c r="F1204" s="3"/>
      <c r="G1204" s="3"/>
      <c r="H1204" s="3"/>
      <c r="I1204" s="3"/>
    </row>
    <row r="1205" spans="2:9">
      <c r="B1205" s="3"/>
      <c r="C1205" s="73"/>
      <c r="D1205" s="3"/>
      <c r="E1205" s="3"/>
      <c r="F1205" s="3"/>
      <c r="G1205" s="3"/>
      <c r="H1205" s="3"/>
      <c r="I1205" s="3"/>
    </row>
    <row r="1206" spans="2:9">
      <c r="B1206" s="3"/>
      <c r="C1206" s="73"/>
      <c r="D1206" s="3"/>
      <c r="E1206" s="3"/>
      <c r="F1206" s="3"/>
      <c r="G1206" s="3"/>
      <c r="H1206" s="3"/>
      <c r="I1206" s="3"/>
    </row>
    <row r="1207" spans="2:9">
      <c r="B1207" s="3"/>
      <c r="C1207" s="73"/>
      <c r="D1207" s="3"/>
      <c r="E1207" s="3"/>
      <c r="F1207" s="3"/>
      <c r="G1207" s="3"/>
      <c r="H1207" s="3"/>
      <c r="I1207" s="3"/>
    </row>
    <row r="1208" spans="2:9">
      <c r="B1208" s="3"/>
      <c r="C1208" s="73"/>
      <c r="D1208" s="3"/>
      <c r="E1208" s="3"/>
      <c r="F1208" s="3"/>
      <c r="G1208" s="3"/>
      <c r="H1208" s="3"/>
      <c r="I1208" s="3"/>
    </row>
    <row r="1209" spans="2:9">
      <c r="B1209" s="3"/>
      <c r="C1209" s="73"/>
      <c r="D1209" s="3"/>
      <c r="E1209" s="3"/>
      <c r="F1209" s="3"/>
      <c r="G1209" s="3"/>
      <c r="H1209" s="3"/>
      <c r="I1209" s="3"/>
    </row>
    <row r="1210" spans="2:9">
      <c r="B1210" s="3"/>
      <c r="C1210" s="73"/>
      <c r="D1210" s="3"/>
      <c r="E1210" s="3"/>
      <c r="F1210" s="3"/>
      <c r="G1210" s="3"/>
      <c r="H1210" s="3"/>
      <c r="I1210" s="3"/>
    </row>
    <row r="1211" spans="2:9">
      <c r="B1211" s="3"/>
      <c r="C1211" s="73"/>
      <c r="D1211" s="3"/>
      <c r="E1211" s="3"/>
      <c r="F1211" s="3"/>
      <c r="G1211" s="3"/>
      <c r="H1211" s="3"/>
      <c r="I1211" s="3"/>
    </row>
    <row r="1212" spans="2:9">
      <c r="B1212" s="3"/>
      <c r="C1212" s="73"/>
      <c r="D1212" s="3"/>
      <c r="E1212" s="3"/>
      <c r="F1212" s="3"/>
      <c r="G1212" s="3"/>
      <c r="H1212" s="3"/>
      <c r="I1212" s="3"/>
    </row>
    <row r="1213" spans="2:9">
      <c r="B1213" s="3"/>
      <c r="C1213" s="73"/>
      <c r="D1213" s="3"/>
      <c r="E1213" s="3"/>
      <c r="F1213" s="3"/>
      <c r="G1213" s="3"/>
      <c r="H1213" s="3"/>
      <c r="I1213" s="3"/>
    </row>
    <row r="1214" spans="2:9">
      <c r="B1214" s="3"/>
      <c r="C1214" s="73"/>
      <c r="D1214" s="3"/>
      <c r="E1214" s="3"/>
      <c r="F1214" s="3"/>
      <c r="G1214" s="3"/>
      <c r="H1214" s="3"/>
      <c r="I1214" s="3"/>
    </row>
    <row r="1215" spans="2:9">
      <c r="B1215" s="3"/>
      <c r="C1215" s="73"/>
      <c r="D1215" s="3"/>
      <c r="E1215" s="3"/>
      <c r="F1215" s="3"/>
      <c r="G1215" s="3"/>
      <c r="H1215" s="3"/>
      <c r="I1215" s="3"/>
    </row>
    <row r="1216" spans="2:9">
      <c r="B1216" s="3"/>
      <c r="C1216" s="73"/>
      <c r="D1216" s="3"/>
      <c r="E1216" s="3"/>
      <c r="F1216" s="3"/>
      <c r="G1216" s="3"/>
      <c r="H1216" s="3"/>
      <c r="I1216" s="3"/>
    </row>
    <row r="1217" spans="2:9">
      <c r="B1217" s="3"/>
      <c r="C1217" s="73"/>
      <c r="D1217" s="3"/>
      <c r="E1217" s="3"/>
      <c r="F1217" s="3"/>
      <c r="G1217" s="3"/>
      <c r="H1217" s="3"/>
      <c r="I1217" s="3"/>
    </row>
    <row r="1218" spans="2:9">
      <c r="B1218" s="3"/>
      <c r="C1218" s="73"/>
      <c r="D1218" s="3"/>
      <c r="E1218" s="3"/>
      <c r="F1218" s="3"/>
      <c r="G1218" s="3"/>
      <c r="H1218" s="3"/>
      <c r="I1218" s="3"/>
    </row>
    <row r="1219" spans="2:9">
      <c r="B1219" s="3"/>
      <c r="C1219" s="73"/>
      <c r="D1219" s="3"/>
      <c r="E1219" s="3"/>
      <c r="F1219" s="3"/>
      <c r="G1219" s="3"/>
      <c r="H1219" s="3"/>
      <c r="I1219" s="3"/>
    </row>
    <row r="1220" spans="2:9">
      <c r="B1220" s="3"/>
      <c r="C1220" s="73"/>
      <c r="D1220" s="3"/>
      <c r="E1220" s="3"/>
      <c r="F1220" s="3"/>
      <c r="G1220" s="3"/>
      <c r="H1220" s="3"/>
      <c r="I1220" s="3"/>
    </row>
    <row r="1221" spans="2:9">
      <c r="B1221" s="3"/>
      <c r="C1221" s="73"/>
      <c r="D1221" s="3"/>
      <c r="E1221" s="3"/>
      <c r="F1221" s="3"/>
      <c r="G1221" s="3"/>
      <c r="H1221" s="3"/>
      <c r="I1221" s="3"/>
    </row>
    <row r="1222" spans="2:9">
      <c r="B1222" s="3"/>
      <c r="C1222" s="73"/>
      <c r="D1222" s="3"/>
      <c r="E1222" s="3"/>
      <c r="F1222" s="3"/>
      <c r="G1222" s="3"/>
      <c r="H1222" s="3"/>
      <c r="I1222" s="3"/>
    </row>
    <row r="1223" spans="2:9">
      <c r="B1223" s="3"/>
      <c r="C1223" s="73"/>
      <c r="D1223" s="3"/>
      <c r="E1223" s="3"/>
      <c r="F1223" s="3"/>
      <c r="G1223" s="3"/>
      <c r="H1223" s="3"/>
      <c r="I1223" s="3"/>
    </row>
    <row r="1224" spans="2:9">
      <c r="B1224" s="3"/>
      <c r="C1224" s="73"/>
      <c r="D1224" s="3"/>
      <c r="E1224" s="3"/>
      <c r="F1224" s="3"/>
      <c r="G1224" s="3"/>
      <c r="H1224" s="3"/>
      <c r="I1224" s="3"/>
    </row>
    <row r="1225" spans="2:9">
      <c r="B1225" s="3"/>
      <c r="C1225" s="73"/>
      <c r="D1225" s="3"/>
      <c r="E1225" s="3"/>
      <c r="F1225" s="3"/>
      <c r="G1225" s="3"/>
      <c r="H1225" s="3"/>
      <c r="I1225" s="3"/>
    </row>
    <row r="1226" spans="2:9">
      <c r="B1226" s="3"/>
      <c r="C1226" s="73"/>
      <c r="D1226" s="3"/>
      <c r="E1226" s="3"/>
      <c r="F1226" s="3"/>
      <c r="G1226" s="3"/>
      <c r="H1226" s="3"/>
      <c r="I1226" s="3"/>
    </row>
    <row r="1227" spans="2:9">
      <c r="B1227" s="3"/>
      <c r="C1227" s="73"/>
      <c r="D1227" s="3"/>
      <c r="E1227" s="3"/>
      <c r="F1227" s="3"/>
      <c r="G1227" s="3"/>
      <c r="H1227" s="3"/>
      <c r="I1227" s="3"/>
    </row>
    <row r="1228" spans="2:9">
      <c r="B1228" s="3"/>
      <c r="C1228" s="73"/>
      <c r="D1228" s="3"/>
      <c r="E1228" s="3"/>
      <c r="F1228" s="3"/>
      <c r="G1228" s="3"/>
      <c r="H1228" s="3"/>
      <c r="I1228" s="3"/>
    </row>
    <row r="1229" spans="2:9">
      <c r="B1229" s="3"/>
      <c r="C1229" s="73"/>
      <c r="D1229" s="3"/>
      <c r="E1229" s="3"/>
      <c r="F1229" s="3"/>
      <c r="G1229" s="3"/>
      <c r="H1229" s="3"/>
      <c r="I1229" s="3"/>
    </row>
    <row r="1230" spans="2:9">
      <c r="B1230" s="3"/>
      <c r="C1230" s="73"/>
      <c r="D1230" s="3"/>
      <c r="E1230" s="3"/>
      <c r="F1230" s="3"/>
      <c r="G1230" s="3"/>
      <c r="H1230" s="3"/>
      <c r="I1230" s="3"/>
    </row>
    <row r="1231" spans="2:9">
      <c r="B1231" s="3"/>
      <c r="C1231" s="73"/>
      <c r="D1231" s="3"/>
      <c r="E1231" s="3"/>
      <c r="F1231" s="3"/>
      <c r="G1231" s="3"/>
      <c r="H1231" s="3"/>
      <c r="I1231" s="3"/>
    </row>
    <row r="1232" spans="2:9">
      <c r="B1232" s="3"/>
      <c r="C1232" s="73"/>
      <c r="D1232" s="3"/>
      <c r="E1232" s="3"/>
      <c r="F1232" s="3"/>
      <c r="G1232" s="3"/>
      <c r="H1232" s="3"/>
      <c r="I1232" s="3"/>
    </row>
    <row r="1233" spans="2:9">
      <c r="B1233" s="3"/>
      <c r="C1233" s="73"/>
      <c r="D1233" s="3"/>
      <c r="E1233" s="3"/>
      <c r="F1233" s="3"/>
      <c r="G1233" s="3"/>
      <c r="H1233" s="3"/>
      <c r="I1233" s="3"/>
    </row>
    <row r="1234" spans="2:9">
      <c r="B1234" s="3"/>
      <c r="C1234" s="73"/>
      <c r="D1234" s="3"/>
      <c r="E1234" s="3"/>
      <c r="F1234" s="3"/>
      <c r="G1234" s="3"/>
      <c r="H1234" s="3"/>
      <c r="I1234" s="3"/>
    </row>
    <row r="1235" spans="2:9">
      <c r="B1235" s="3"/>
      <c r="C1235" s="73"/>
      <c r="D1235" s="3"/>
      <c r="E1235" s="3"/>
      <c r="F1235" s="3"/>
      <c r="G1235" s="3"/>
      <c r="H1235" s="3"/>
      <c r="I1235" s="3"/>
    </row>
    <row r="1236" spans="2:9">
      <c r="B1236" s="3"/>
      <c r="C1236" s="73"/>
      <c r="D1236" s="3"/>
      <c r="E1236" s="3"/>
      <c r="F1236" s="3"/>
      <c r="G1236" s="3"/>
      <c r="H1236" s="3"/>
      <c r="I1236" s="3"/>
    </row>
    <row r="1237" spans="2:9">
      <c r="B1237" s="3"/>
      <c r="C1237" s="73"/>
      <c r="D1237" s="3"/>
      <c r="E1237" s="3"/>
      <c r="F1237" s="3"/>
      <c r="G1237" s="3"/>
      <c r="H1237" s="3"/>
      <c r="I1237" s="3"/>
    </row>
    <row r="1238" spans="2:9">
      <c r="B1238" s="3"/>
      <c r="C1238" s="73"/>
      <c r="D1238" s="3"/>
      <c r="E1238" s="3"/>
      <c r="F1238" s="3"/>
      <c r="G1238" s="3"/>
      <c r="H1238" s="3"/>
      <c r="I1238" s="3"/>
    </row>
    <row r="1239" spans="2:9">
      <c r="B1239" s="3"/>
      <c r="C1239" s="73"/>
      <c r="D1239" s="3"/>
      <c r="E1239" s="3"/>
      <c r="F1239" s="3"/>
      <c r="G1239" s="3"/>
      <c r="H1239" s="3"/>
      <c r="I1239" s="3"/>
    </row>
    <row r="1240" spans="2:9">
      <c r="B1240" s="3"/>
      <c r="C1240" s="73"/>
      <c r="D1240" s="3"/>
      <c r="E1240" s="3"/>
      <c r="F1240" s="3"/>
      <c r="G1240" s="3"/>
      <c r="H1240" s="3"/>
      <c r="I1240" s="3"/>
    </row>
    <row r="1241" spans="2:9">
      <c r="B1241" s="3"/>
      <c r="C1241" s="73"/>
      <c r="D1241" s="3"/>
      <c r="E1241" s="3"/>
      <c r="F1241" s="3"/>
      <c r="G1241" s="3"/>
      <c r="H1241" s="3"/>
      <c r="I1241" s="3"/>
    </row>
    <row r="1242" spans="2:9">
      <c r="B1242" s="3"/>
      <c r="C1242" s="73"/>
      <c r="D1242" s="3"/>
      <c r="E1242" s="3"/>
      <c r="F1242" s="3"/>
      <c r="G1242" s="3"/>
      <c r="H1242" s="3"/>
      <c r="I1242" s="3"/>
    </row>
    <row r="1243" spans="2:9">
      <c r="B1243" s="3"/>
      <c r="C1243" s="73"/>
      <c r="D1243" s="3"/>
      <c r="E1243" s="3"/>
      <c r="F1243" s="3"/>
      <c r="G1243" s="3"/>
      <c r="H1243" s="3"/>
      <c r="I1243" s="3"/>
    </row>
    <row r="1244" spans="2:9">
      <c r="B1244" s="3"/>
      <c r="C1244" s="73"/>
      <c r="D1244" s="3"/>
      <c r="E1244" s="3"/>
      <c r="F1244" s="3"/>
      <c r="G1244" s="3"/>
      <c r="H1244" s="3"/>
      <c r="I1244" s="3"/>
    </row>
    <row r="1245" spans="2:9">
      <c r="B1245" s="3"/>
      <c r="C1245" s="73"/>
      <c r="D1245" s="3"/>
      <c r="E1245" s="3"/>
      <c r="F1245" s="3"/>
      <c r="G1245" s="3"/>
      <c r="H1245" s="3"/>
      <c r="I1245" s="3"/>
    </row>
    <row r="1246" spans="2:9">
      <c r="B1246" s="3"/>
      <c r="C1246" s="73"/>
      <c r="D1246" s="3"/>
      <c r="E1246" s="3"/>
      <c r="F1246" s="3"/>
      <c r="G1246" s="3"/>
      <c r="H1246" s="3"/>
      <c r="I1246" s="3"/>
    </row>
    <row r="1247" spans="2:9">
      <c r="B1247" s="3"/>
      <c r="C1247" s="73"/>
      <c r="D1247" s="3"/>
      <c r="E1247" s="3"/>
      <c r="F1247" s="3"/>
      <c r="G1247" s="3"/>
      <c r="H1247" s="3"/>
      <c r="I1247" s="3"/>
    </row>
    <row r="1248" spans="2:9">
      <c r="B1248" s="3"/>
      <c r="C1248" s="73"/>
      <c r="D1248" s="3"/>
      <c r="E1248" s="3"/>
      <c r="F1248" s="3"/>
      <c r="G1248" s="3"/>
      <c r="H1248" s="3"/>
      <c r="I1248" s="3"/>
    </row>
    <row r="1249" spans="2:9">
      <c r="B1249" s="3"/>
      <c r="C1249" s="73"/>
      <c r="D1249" s="3"/>
      <c r="E1249" s="3"/>
      <c r="F1249" s="3"/>
      <c r="G1249" s="3"/>
      <c r="H1249" s="3"/>
      <c r="I1249" s="3"/>
    </row>
    <row r="1250" spans="2:9">
      <c r="B1250" s="3"/>
      <c r="C1250" s="73"/>
      <c r="D1250" s="3"/>
      <c r="E1250" s="3"/>
      <c r="F1250" s="3"/>
      <c r="G1250" s="3"/>
      <c r="H1250" s="3"/>
      <c r="I1250" s="3"/>
    </row>
    <row r="1251" spans="2:9">
      <c r="B1251" s="3"/>
      <c r="C1251" s="73"/>
      <c r="D1251" s="3"/>
      <c r="E1251" s="3"/>
      <c r="F1251" s="3"/>
      <c r="G1251" s="3"/>
      <c r="H1251" s="3"/>
      <c r="I1251" s="3"/>
    </row>
    <row r="1252" spans="2:9">
      <c r="B1252" s="3"/>
      <c r="C1252" s="73"/>
      <c r="D1252" s="3"/>
      <c r="E1252" s="3"/>
      <c r="F1252" s="3"/>
      <c r="G1252" s="3"/>
      <c r="H1252" s="3"/>
      <c r="I1252" s="3"/>
    </row>
    <row r="1253" spans="2:9">
      <c r="B1253" s="3"/>
      <c r="C1253" s="73"/>
      <c r="D1253" s="3"/>
      <c r="E1253" s="3"/>
      <c r="F1253" s="3"/>
      <c r="G1253" s="3"/>
      <c r="H1253" s="3"/>
      <c r="I1253" s="3"/>
    </row>
    <row r="1254" spans="2:9">
      <c r="B1254" s="3"/>
      <c r="C1254" s="73"/>
      <c r="D1254" s="3"/>
      <c r="E1254" s="3"/>
      <c r="F1254" s="3"/>
      <c r="G1254" s="3"/>
      <c r="H1254" s="3"/>
      <c r="I1254" s="3"/>
    </row>
    <row r="1255" spans="2:9">
      <c r="B1255" s="3"/>
      <c r="C1255" s="73"/>
      <c r="D1255" s="3"/>
      <c r="E1255" s="3"/>
      <c r="F1255" s="3"/>
      <c r="G1255" s="3"/>
      <c r="H1255" s="3"/>
      <c r="I1255" s="3"/>
    </row>
    <row r="1256" spans="2:9">
      <c r="B1256" s="3"/>
      <c r="C1256" s="73"/>
      <c r="D1256" s="3"/>
      <c r="E1256" s="3"/>
      <c r="F1256" s="3"/>
      <c r="G1256" s="3"/>
      <c r="H1256" s="3"/>
      <c r="I1256" s="3"/>
    </row>
    <row r="1257" spans="2:9">
      <c r="B1257" s="3"/>
      <c r="C1257" s="73"/>
      <c r="D1257" s="3"/>
      <c r="E1257" s="3"/>
      <c r="F1257" s="3"/>
      <c r="G1257" s="3"/>
      <c r="H1257" s="3"/>
      <c r="I1257" s="3"/>
    </row>
    <row r="1258" spans="2:9">
      <c r="B1258" s="3"/>
      <c r="C1258" s="73"/>
      <c r="D1258" s="3"/>
      <c r="E1258" s="3"/>
      <c r="F1258" s="3"/>
      <c r="G1258" s="3"/>
      <c r="H1258" s="3"/>
      <c r="I1258" s="3"/>
    </row>
    <row r="1259" spans="2:9">
      <c r="B1259" s="3"/>
      <c r="C1259" s="73"/>
      <c r="D1259" s="3"/>
      <c r="E1259" s="3"/>
      <c r="F1259" s="3"/>
      <c r="G1259" s="3"/>
      <c r="H1259" s="3"/>
      <c r="I1259" s="3"/>
    </row>
    <row r="1260" spans="2:9">
      <c r="B1260" s="3"/>
      <c r="C1260" s="73"/>
      <c r="D1260" s="3"/>
      <c r="E1260" s="3"/>
      <c r="F1260" s="3"/>
      <c r="G1260" s="3"/>
      <c r="H1260" s="3"/>
      <c r="I1260" s="3"/>
    </row>
    <row r="1261" spans="2:9">
      <c r="B1261" s="3"/>
      <c r="C1261" s="73"/>
      <c r="D1261" s="3"/>
      <c r="E1261" s="3"/>
      <c r="F1261" s="3"/>
      <c r="G1261" s="3"/>
      <c r="H1261" s="3"/>
      <c r="I1261" s="3"/>
    </row>
    <row r="1262" spans="2:9">
      <c r="B1262" s="3"/>
      <c r="C1262" s="73"/>
      <c r="D1262" s="3"/>
      <c r="E1262" s="3"/>
      <c r="F1262" s="3"/>
      <c r="G1262" s="3"/>
      <c r="H1262" s="3"/>
      <c r="I1262" s="3"/>
    </row>
    <row r="1263" spans="2:9">
      <c r="B1263" s="3"/>
      <c r="C1263" s="73"/>
      <c r="D1263" s="3"/>
      <c r="E1263" s="3"/>
      <c r="F1263" s="3"/>
      <c r="G1263" s="3"/>
      <c r="H1263" s="3"/>
      <c r="I1263" s="3"/>
    </row>
    <row r="1264" spans="2:9">
      <c r="B1264" s="3"/>
      <c r="C1264" s="73"/>
      <c r="D1264" s="3"/>
      <c r="E1264" s="3"/>
      <c r="F1264" s="3"/>
      <c r="G1264" s="3"/>
      <c r="H1264" s="3"/>
      <c r="I1264" s="3"/>
    </row>
    <row r="1265" spans="2:9">
      <c r="B1265" s="3"/>
      <c r="C1265" s="73"/>
      <c r="D1265" s="3"/>
      <c r="E1265" s="3"/>
      <c r="F1265" s="3"/>
      <c r="G1265" s="3"/>
      <c r="H1265" s="3"/>
      <c r="I1265" s="3"/>
    </row>
    <row r="1266" spans="2:9">
      <c r="B1266" s="3"/>
      <c r="C1266" s="73"/>
      <c r="D1266" s="3"/>
      <c r="E1266" s="3"/>
      <c r="F1266" s="3"/>
      <c r="G1266" s="3"/>
      <c r="H1266" s="3"/>
      <c r="I1266" s="3"/>
    </row>
    <row r="1267" spans="2:9">
      <c r="B1267" s="3"/>
      <c r="C1267" s="73"/>
      <c r="D1267" s="3"/>
      <c r="E1267" s="3"/>
      <c r="F1267" s="3"/>
      <c r="G1267" s="3"/>
      <c r="H1267" s="3"/>
      <c r="I1267" s="3"/>
    </row>
    <row r="1268" spans="2:9">
      <c r="B1268" s="3"/>
      <c r="C1268" s="73"/>
      <c r="D1268" s="3"/>
      <c r="E1268" s="3"/>
      <c r="F1268" s="3"/>
      <c r="G1268" s="3"/>
      <c r="H1268" s="3"/>
      <c r="I1268" s="3"/>
    </row>
    <row r="1269" spans="2:9">
      <c r="B1269" s="3"/>
      <c r="C1269" s="73"/>
      <c r="D1269" s="3"/>
      <c r="E1269" s="3"/>
      <c r="F1269" s="3"/>
      <c r="G1269" s="3"/>
      <c r="H1269" s="3"/>
      <c r="I1269" s="3"/>
    </row>
    <row r="1270" spans="2:9">
      <c r="B1270" s="3"/>
      <c r="C1270" s="73"/>
      <c r="D1270" s="3"/>
      <c r="E1270" s="3"/>
      <c r="F1270" s="3"/>
      <c r="G1270" s="3"/>
      <c r="H1270" s="3"/>
      <c r="I1270" s="3"/>
    </row>
    <row r="1271" spans="2:9">
      <c r="B1271" s="3"/>
      <c r="C1271" s="73"/>
      <c r="D1271" s="3"/>
      <c r="E1271" s="3"/>
      <c r="F1271" s="3"/>
      <c r="G1271" s="3"/>
      <c r="H1271" s="3"/>
      <c r="I1271" s="3"/>
    </row>
    <row r="1272" spans="2:9">
      <c r="B1272" s="3"/>
      <c r="C1272" s="73"/>
      <c r="D1272" s="3"/>
      <c r="E1272" s="3"/>
      <c r="F1272" s="3"/>
      <c r="G1272" s="3"/>
      <c r="H1272" s="3"/>
      <c r="I1272" s="3"/>
    </row>
    <row r="1273" spans="2:9">
      <c r="B1273" s="3"/>
      <c r="C1273" s="73"/>
      <c r="D1273" s="3"/>
      <c r="E1273" s="3"/>
      <c r="F1273" s="3"/>
      <c r="G1273" s="3"/>
      <c r="H1273" s="3"/>
      <c r="I1273" s="3"/>
    </row>
    <row r="1274" spans="2:9">
      <c r="B1274" s="3"/>
      <c r="C1274" s="73"/>
      <c r="D1274" s="3"/>
      <c r="E1274" s="3"/>
      <c r="F1274" s="3"/>
      <c r="G1274" s="3"/>
      <c r="H1274" s="3"/>
      <c r="I1274" s="3"/>
    </row>
    <row r="1275" spans="2:9">
      <c r="B1275" s="3"/>
      <c r="C1275" s="73"/>
      <c r="D1275" s="3"/>
      <c r="E1275" s="3"/>
      <c r="F1275" s="3"/>
      <c r="G1275" s="3"/>
      <c r="H1275" s="3"/>
      <c r="I1275" s="3"/>
    </row>
    <row r="1276" spans="2:9">
      <c r="B1276" s="3"/>
      <c r="C1276" s="73"/>
      <c r="D1276" s="3"/>
      <c r="E1276" s="3"/>
      <c r="F1276" s="3"/>
      <c r="G1276" s="3"/>
      <c r="H1276" s="3"/>
      <c r="I1276" s="3"/>
    </row>
    <row r="1277" spans="2:9">
      <c r="B1277" s="3"/>
      <c r="C1277" s="73"/>
      <c r="D1277" s="3"/>
      <c r="E1277" s="3"/>
      <c r="F1277" s="3"/>
      <c r="G1277" s="3"/>
      <c r="H1277" s="3"/>
      <c r="I1277" s="3"/>
    </row>
    <row r="1278" spans="2:9">
      <c r="B1278" s="3"/>
      <c r="C1278" s="73"/>
      <c r="D1278" s="3"/>
      <c r="E1278" s="3"/>
      <c r="F1278" s="3"/>
      <c r="G1278" s="3"/>
      <c r="H1278" s="3"/>
      <c r="I1278" s="3"/>
    </row>
    <row r="1279" spans="2:9">
      <c r="B1279" s="3"/>
      <c r="C1279" s="73"/>
      <c r="D1279" s="3"/>
      <c r="E1279" s="3"/>
      <c r="F1279" s="3"/>
      <c r="G1279" s="3"/>
      <c r="H1279" s="3"/>
      <c r="I1279" s="3"/>
    </row>
    <row r="1280" spans="2:9">
      <c r="B1280" s="3"/>
      <c r="C1280" s="73"/>
      <c r="D1280" s="3"/>
      <c r="E1280" s="3"/>
      <c r="F1280" s="3"/>
      <c r="G1280" s="3"/>
      <c r="H1280" s="3"/>
      <c r="I1280" s="3"/>
    </row>
    <row r="1281" spans="2:9">
      <c r="B1281" s="3"/>
      <c r="C1281" s="73"/>
      <c r="D1281" s="3"/>
      <c r="E1281" s="3"/>
      <c r="F1281" s="3"/>
      <c r="G1281" s="3"/>
      <c r="H1281" s="3"/>
      <c r="I1281" s="3"/>
    </row>
    <row r="1282" spans="2:9">
      <c r="B1282" s="3"/>
      <c r="C1282" s="73"/>
      <c r="D1282" s="3"/>
      <c r="E1282" s="3"/>
      <c r="F1282" s="3"/>
      <c r="G1282" s="3"/>
      <c r="H1282" s="3"/>
      <c r="I1282" s="3"/>
    </row>
    <row r="1283" spans="2:9">
      <c r="B1283" s="3"/>
      <c r="C1283" s="73"/>
      <c r="D1283" s="3"/>
      <c r="E1283" s="3"/>
      <c r="F1283" s="3"/>
      <c r="G1283" s="3"/>
      <c r="H1283" s="3"/>
      <c r="I1283" s="3"/>
    </row>
    <row r="1284" spans="2:9">
      <c r="B1284" s="3"/>
      <c r="C1284" s="73"/>
      <c r="D1284" s="3"/>
      <c r="E1284" s="3"/>
      <c r="F1284" s="3"/>
      <c r="G1284" s="3"/>
      <c r="H1284" s="3"/>
      <c r="I1284" s="3"/>
    </row>
    <row r="1285" spans="2:9">
      <c r="B1285" s="3"/>
      <c r="C1285" s="73"/>
      <c r="D1285" s="3"/>
      <c r="E1285" s="3"/>
      <c r="F1285" s="3"/>
      <c r="G1285" s="3"/>
      <c r="H1285" s="3"/>
      <c r="I1285" s="3"/>
    </row>
    <row r="1286" spans="2:9">
      <c r="B1286" s="3"/>
      <c r="C1286" s="73"/>
      <c r="D1286" s="3"/>
      <c r="E1286" s="3"/>
      <c r="F1286" s="3"/>
      <c r="G1286" s="3"/>
      <c r="H1286" s="3"/>
      <c r="I1286" s="3"/>
    </row>
    <row r="1287" spans="2:9">
      <c r="B1287" s="3"/>
      <c r="C1287" s="73"/>
      <c r="D1287" s="3"/>
      <c r="E1287" s="3"/>
      <c r="F1287" s="3"/>
      <c r="G1287" s="3"/>
      <c r="H1287" s="3"/>
      <c r="I1287" s="3"/>
    </row>
    <row r="1288" spans="2:9">
      <c r="B1288" s="3"/>
      <c r="C1288" s="73"/>
      <c r="D1288" s="3"/>
      <c r="E1288" s="3"/>
      <c r="F1288" s="3"/>
      <c r="G1288" s="3"/>
      <c r="H1288" s="3"/>
      <c r="I1288" s="3"/>
    </row>
    <row r="1289" spans="2:9">
      <c r="B1289" s="3"/>
      <c r="C1289" s="73"/>
      <c r="D1289" s="3"/>
      <c r="E1289" s="3"/>
      <c r="F1289" s="3"/>
      <c r="G1289" s="3"/>
      <c r="H1289" s="3"/>
      <c r="I1289" s="3"/>
    </row>
    <row r="1290" spans="2:9">
      <c r="B1290" s="3"/>
      <c r="C1290" s="73"/>
      <c r="D1290" s="3"/>
      <c r="E1290" s="3"/>
      <c r="F1290" s="3"/>
      <c r="G1290" s="3"/>
      <c r="H1290" s="3"/>
      <c r="I1290" s="3"/>
    </row>
    <row r="1291" spans="2:9">
      <c r="B1291" s="3"/>
      <c r="C1291" s="73"/>
      <c r="D1291" s="3"/>
      <c r="E1291" s="3"/>
      <c r="F1291" s="3"/>
      <c r="G1291" s="3"/>
      <c r="H1291" s="3"/>
      <c r="I1291" s="3"/>
    </row>
    <row r="1292" spans="2:9">
      <c r="B1292" s="3"/>
      <c r="C1292" s="73"/>
      <c r="D1292" s="3"/>
      <c r="E1292" s="3"/>
      <c r="F1292" s="3"/>
      <c r="G1292" s="3"/>
      <c r="H1292" s="3"/>
      <c r="I1292" s="3"/>
    </row>
    <row r="1293" spans="2:9">
      <c r="B1293" s="3"/>
      <c r="C1293" s="73"/>
      <c r="D1293" s="3"/>
      <c r="E1293" s="3"/>
      <c r="F1293" s="3"/>
      <c r="G1293" s="3"/>
      <c r="H1293" s="3"/>
      <c r="I1293" s="3"/>
    </row>
    <row r="1294" spans="2:9">
      <c r="B1294" s="3"/>
      <c r="C1294" s="73"/>
      <c r="D1294" s="3"/>
      <c r="E1294" s="3"/>
      <c r="F1294" s="3"/>
      <c r="G1294" s="3"/>
      <c r="H1294" s="3"/>
      <c r="I1294" s="3"/>
    </row>
    <row r="1295" spans="2:9">
      <c r="B1295" s="3"/>
      <c r="C1295" s="73"/>
      <c r="D1295" s="3"/>
      <c r="E1295" s="3"/>
      <c r="F1295" s="3"/>
      <c r="G1295" s="3"/>
      <c r="H1295" s="3"/>
      <c r="I1295" s="3"/>
    </row>
    <row r="1296" spans="2:9">
      <c r="B1296" s="3"/>
      <c r="C1296" s="73"/>
      <c r="D1296" s="3"/>
      <c r="E1296" s="3"/>
      <c r="F1296" s="3"/>
      <c r="G1296" s="3"/>
      <c r="H1296" s="3"/>
      <c r="I1296" s="3"/>
    </row>
    <row r="1297" spans="2:9">
      <c r="B1297" s="3"/>
      <c r="C1297" s="73"/>
      <c r="D1297" s="3"/>
      <c r="E1297" s="3"/>
      <c r="F1297" s="3"/>
      <c r="G1297" s="3"/>
      <c r="H1297" s="3"/>
      <c r="I1297" s="3"/>
    </row>
    <row r="1298" spans="2:9">
      <c r="B1298" s="3"/>
      <c r="C1298" s="73"/>
      <c r="D1298" s="3"/>
      <c r="E1298" s="3"/>
      <c r="F1298" s="3"/>
      <c r="G1298" s="3"/>
      <c r="H1298" s="3"/>
      <c r="I1298" s="3"/>
    </row>
    <row r="1299" spans="2:9">
      <c r="B1299" s="3"/>
      <c r="C1299" s="73"/>
      <c r="D1299" s="3"/>
      <c r="E1299" s="3"/>
      <c r="F1299" s="3"/>
      <c r="G1299" s="3"/>
      <c r="H1299" s="3"/>
      <c r="I1299" s="3"/>
    </row>
    <row r="1300" spans="2:9">
      <c r="B1300" s="3"/>
      <c r="C1300" s="73"/>
      <c r="D1300" s="3"/>
      <c r="E1300" s="3"/>
      <c r="F1300" s="3"/>
      <c r="G1300" s="3"/>
      <c r="H1300" s="3"/>
      <c r="I1300" s="3"/>
    </row>
    <row r="1301" spans="2:9">
      <c r="B1301" s="3"/>
      <c r="C1301" s="73"/>
      <c r="D1301" s="3"/>
      <c r="E1301" s="3"/>
      <c r="F1301" s="3"/>
      <c r="G1301" s="3"/>
      <c r="H1301" s="3"/>
      <c r="I1301" s="3"/>
    </row>
    <row r="1302" spans="2:9">
      <c r="B1302" s="3"/>
      <c r="C1302" s="73"/>
      <c r="D1302" s="3"/>
      <c r="E1302" s="3"/>
      <c r="F1302" s="3"/>
      <c r="G1302" s="3"/>
      <c r="H1302" s="3"/>
      <c r="I1302" s="3"/>
    </row>
    <row r="1303" spans="2:9">
      <c r="B1303" s="3"/>
      <c r="C1303" s="73"/>
      <c r="D1303" s="3"/>
      <c r="E1303" s="3"/>
      <c r="F1303" s="3"/>
      <c r="G1303" s="3"/>
      <c r="H1303" s="3"/>
      <c r="I1303" s="3"/>
    </row>
    <row r="1304" spans="2:9">
      <c r="B1304" s="3"/>
      <c r="C1304" s="73"/>
      <c r="D1304" s="3"/>
      <c r="E1304" s="3"/>
      <c r="F1304" s="3"/>
      <c r="G1304" s="3"/>
      <c r="H1304" s="3"/>
      <c r="I1304" s="3"/>
    </row>
    <row r="1305" spans="2:9">
      <c r="B1305" s="3"/>
      <c r="C1305" s="73"/>
      <c r="D1305" s="3"/>
      <c r="E1305" s="3"/>
      <c r="F1305" s="3"/>
      <c r="G1305" s="3"/>
      <c r="H1305" s="3"/>
      <c r="I1305" s="3"/>
    </row>
    <row r="1306" spans="2:9">
      <c r="B1306" s="3"/>
      <c r="C1306" s="73"/>
      <c r="D1306" s="3"/>
      <c r="E1306" s="3"/>
      <c r="F1306" s="3"/>
      <c r="G1306" s="3"/>
      <c r="H1306" s="3"/>
      <c r="I1306" s="3"/>
    </row>
    <row r="1307" spans="2:9">
      <c r="B1307" s="3"/>
      <c r="C1307" s="73"/>
      <c r="D1307" s="3"/>
      <c r="E1307" s="3"/>
      <c r="F1307" s="3"/>
      <c r="G1307" s="3"/>
      <c r="H1307" s="3"/>
      <c r="I1307" s="3"/>
    </row>
    <row r="1308" spans="2:9">
      <c r="B1308" s="3"/>
      <c r="C1308" s="73"/>
      <c r="D1308" s="3"/>
      <c r="E1308" s="3"/>
      <c r="F1308" s="3"/>
      <c r="G1308" s="3"/>
      <c r="H1308" s="3"/>
      <c r="I1308" s="3"/>
    </row>
    <row r="1309" spans="2:9">
      <c r="B1309" s="3"/>
      <c r="C1309" s="73"/>
      <c r="D1309" s="3"/>
      <c r="E1309" s="3"/>
      <c r="F1309" s="3"/>
      <c r="G1309" s="3"/>
      <c r="H1309" s="3"/>
      <c r="I1309" s="3"/>
    </row>
    <row r="1310" spans="2:9">
      <c r="B1310" s="3"/>
      <c r="C1310" s="73"/>
      <c r="D1310" s="3"/>
      <c r="E1310" s="3"/>
      <c r="F1310" s="3"/>
      <c r="G1310" s="3"/>
      <c r="H1310" s="3"/>
      <c r="I1310" s="3"/>
    </row>
    <row r="1311" spans="2:9">
      <c r="B1311" s="3"/>
      <c r="C1311" s="73"/>
      <c r="D1311" s="3"/>
      <c r="E1311" s="3"/>
      <c r="F1311" s="3"/>
      <c r="G1311" s="3"/>
      <c r="H1311" s="3"/>
      <c r="I1311" s="3"/>
    </row>
    <row r="1312" spans="2:9">
      <c r="B1312" s="3"/>
      <c r="C1312" s="73"/>
      <c r="D1312" s="3"/>
      <c r="E1312" s="3"/>
      <c r="F1312" s="3"/>
      <c r="G1312" s="3"/>
      <c r="H1312" s="3"/>
      <c r="I1312" s="3"/>
    </row>
    <row r="1313" spans="2:9">
      <c r="B1313" s="3"/>
      <c r="C1313" s="73"/>
      <c r="D1313" s="3"/>
      <c r="E1313" s="3"/>
      <c r="F1313" s="3"/>
      <c r="G1313" s="3"/>
      <c r="H1313" s="3"/>
      <c r="I1313" s="3"/>
    </row>
    <row r="1314" spans="2:9">
      <c r="B1314" s="3"/>
      <c r="C1314" s="73"/>
      <c r="D1314" s="3"/>
      <c r="E1314" s="3"/>
      <c r="F1314" s="3"/>
      <c r="G1314" s="3"/>
      <c r="H1314" s="3"/>
      <c r="I1314" s="3"/>
    </row>
    <row r="1315" spans="2:9">
      <c r="B1315" s="3"/>
      <c r="C1315" s="73"/>
      <c r="D1315" s="3"/>
      <c r="E1315" s="3"/>
      <c r="F1315" s="3"/>
      <c r="G1315" s="3"/>
      <c r="H1315" s="3"/>
      <c r="I1315" s="3"/>
    </row>
    <row r="1316" spans="2:9">
      <c r="B1316" s="3"/>
      <c r="C1316" s="73"/>
      <c r="D1316" s="3"/>
      <c r="E1316" s="3"/>
      <c r="F1316" s="3"/>
      <c r="G1316" s="3"/>
      <c r="H1316" s="3"/>
      <c r="I1316" s="3"/>
    </row>
    <row r="1317" spans="2:9">
      <c r="B1317" s="3"/>
      <c r="C1317" s="73"/>
      <c r="D1317" s="3"/>
      <c r="E1317" s="3"/>
      <c r="F1317" s="3"/>
      <c r="G1317" s="3"/>
      <c r="H1317" s="3"/>
      <c r="I1317" s="3"/>
    </row>
    <row r="1318" spans="2:9">
      <c r="B1318" s="3"/>
      <c r="C1318" s="73"/>
      <c r="D1318" s="3"/>
      <c r="E1318" s="3"/>
      <c r="F1318" s="3"/>
      <c r="G1318" s="3"/>
      <c r="H1318" s="3"/>
      <c r="I1318" s="3"/>
    </row>
    <row r="1319" spans="2:9">
      <c r="B1319" s="3"/>
      <c r="C1319" s="73"/>
      <c r="D1319" s="3"/>
      <c r="E1319" s="3"/>
      <c r="F1319" s="3"/>
      <c r="G1319" s="3"/>
      <c r="H1319" s="3"/>
      <c r="I1319" s="3"/>
    </row>
    <row r="1320" spans="2:9">
      <c r="B1320" s="3"/>
      <c r="C1320" s="73"/>
      <c r="D1320" s="3"/>
      <c r="E1320" s="3"/>
      <c r="F1320" s="3"/>
      <c r="G1320" s="3"/>
      <c r="H1320" s="3"/>
      <c r="I1320" s="3"/>
    </row>
    <row r="1321" spans="2:9">
      <c r="B1321" s="3"/>
      <c r="C1321" s="73"/>
      <c r="D1321" s="3"/>
      <c r="E1321" s="3"/>
      <c r="F1321" s="3"/>
      <c r="G1321" s="3"/>
      <c r="H1321" s="3"/>
      <c r="I1321" s="3"/>
    </row>
    <row r="1322" spans="2:9">
      <c r="B1322" s="3"/>
      <c r="C1322" s="73"/>
      <c r="D1322" s="3"/>
      <c r="E1322" s="3"/>
      <c r="F1322" s="3"/>
      <c r="G1322" s="3"/>
      <c r="H1322" s="3"/>
      <c r="I1322" s="3"/>
    </row>
    <row r="1323" spans="2:9">
      <c r="B1323" s="3"/>
      <c r="C1323" s="73"/>
      <c r="D1323" s="3"/>
      <c r="E1323" s="3"/>
      <c r="F1323" s="3"/>
      <c r="G1323" s="3"/>
      <c r="H1323" s="3"/>
      <c r="I1323" s="3"/>
    </row>
    <row r="1324" spans="2:9">
      <c r="B1324" s="3"/>
      <c r="C1324" s="73"/>
      <c r="D1324" s="3"/>
      <c r="E1324" s="3"/>
      <c r="F1324" s="3"/>
      <c r="G1324" s="3"/>
      <c r="H1324" s="3"/>
      <c r="I1324" s="3"/>
    </row>
    <row r="1325" spans="2:9">
      <c r="B1325" s="3"/>
      <c r="C1325" s="73"/>
      <c r="D1325" s="3"/>
      <c r="E1325" s="3"/>
      <c r="F1325" s="3"/>
      <c r="G1325" s="3"/>
      <c r="H1325" s="3"/>
      <c r="I1325" s="3"/>
    </row>
    <row r="1326" spans="2:9">
      <c r="B1326" s="3"/>
      <c r="C1326" s="73"/>
      <c r="D1326" s="3"/>
      <c r="E1326" s="3"/>
      <c r="F1326" s="3"/>
      <c r="G1326" s="3"/>
      <c r="H1326" s="3"/>
      <c r="I1326" s="3"/>
    </row>
    <row r="1327" spans="2:9">
      <c r="B1327" s="3"/>
      <c r="C1327" s="73"/>
      <c r="D1327" s="3"/>
      <c r="E1327" s="3"/>
      <c r="F1327" s="3"/>
      <c r="G1327" s="3"/>
      <c r="H1327" s="3"/>
      <c r="I1327" s="3"/>
    </row>
    <row r="1328" spans="2:9">
      <c r="B1328" s="3"/>
      <c r="C1328" s="73"/>
      <c r="D1328" s="3"/>
      <c r="E1328" s="3"/>
      <c r="F1328" s="3"/>
      <c r="G1328" s="3"/>
      <c r="H1328" s="3"/>
      <c r="I1328" s="3"/>
    </row>
    <row r="1329" spans="2:9">
      <c r="B1329" s="3"/>
      <c r="C1329" s="73"/>
      <c r="D1329" s="3"/>
      <c r="E1329" s="3"/>
      <c r="F1329" s="3"/>
      <c r="G1329" s="3"/>
      <c r="H1329" s="3"/>
      <c r="I1329" s="3"/>
    </row>
    <row r="1330" spans="2:9">
      <c r="B1330" s="3"/>
      <c r="C1330" s="73"/>
      <c r="D1330" s="3"/>
      <c r="E1330" s="3"/>
      <c r="F1330" s="3"/>
      <c r="G1330" s="3"/>
      <c r="H1330" s="3"/>
      <c r="I1330" s="3"/>
    </row>
    <row r="1331" spans="2:9">
      <c r="B1331" s="3"/>
      <c r="C1331" s="73"/>
      <c r="D1331" s="3"/>
      <c r="E1331" s="3"/>
      <c r="F1331" s="3"/>
      <c r="G1331" s="3"/>
      <c r="H1331" s="3"/>
      <c r="I1331" s="3"/>
    </row>
    <row r="1332" spans="2:9">
      <c r="B1332" s="3"/>
      <c r="C1332" s="73"/>
      <c r="D1332" s="3"/>
      <c r="E1332" s="3"/>
      <c r="F1332" s="3"/>
      <c r="G1332" s="3"/>
      <c r="H1332" s="3"/>
      <c r="I1332" s="3"/>
    </row>
    <row r="1333" spans="2:9">
      <c r="B1333" s="3"/>
      <c r="C1333" s="73"/>
      <c r="D1333" s="3"/>
      <c r="E1333" s="3"/>
      <c r="F1333" s="3"/>
      <c r="G1333" s="3"/>
      <c r="H1333" s="3"/>
      <c r="I1333" s="3"/>
    </row>
    <row r="1334" spans="2:9">
      <c r="B1334" s="3"/>
      <c r="C1334" s="73"/>
      <c r="D1334" s="3"/>
      <c r="E1334" s="3"/>
      <c r="F1334" s="3"/>
      <c r="G1334" s="3"/>
      <c r="H1334" s="3"/>
      <c r="I1334" s="3"/>
    </row>
    <row r="1335" spans="2:9">
      <c r="B1335" s="3"/>
      <c r="C1335" s="73"/>
      <c r="D1335" s="3"/>
      <c r="E1335" s="3"/>
      <c r="F1335" s="3"/>
      <c r="G1335" s="3"/>
      <c r="H1335" s="3"/>
      <c r="I1335" s="3"/>
    </row>
    <row r="1336" spans="2:9">
      <c r="B1336" s="3"/>
      <c r="C1336" s="73"/>
      <c r="D1336" s="3"/>
      <c r="E1336" s="3"/>
      <c r="F1336" s="3"/>
      <c r="G1336" s="3"/>
      <c r="H1336" s="3"/>
      <c r="I1336" s="3"/>
    </row>
    <row r="1337" spans="2:9">
      <c r="B1337" s="3"/>
      <c r="C1337" s="73"/>
      <c r="D1337" s="3"/>
      <c r="E1337" s="3"/>
      <c r="F1337" s="3"/>
      <c r="G1337" s="3"/>
      <c r="H1337" s="3"/>
      <c r="I1337" s="3"/>
    </row>
    <row r="1338" spans="2:9">
      <c r="B1338" s="3"/>
      <c r="C1338" s="73"/>
      <c r="D1338" s="3"/>
      <c r="E1338" s="3"/>
      <c r="F1338" s="3"/>
      <c r="G1338" s="3"/>
      <c r="H1338" s="3"/>
      <c r="I1338" s="3"/>
    </row>
    <row r="1339" spans="2:9">
      <c r="B1339" s="3"/>
      <c r="C1339" s="73"/>
      <c r="D1339" s="3"/>
      <c r="E1339" s="3"/>
      <c r="F1339" s="3"/>
      <c r="G1339" s="3"/>
      <c r="H1339" s="3"/>
      <c r="I1339" s="3"/>
    </row>
    <row r="1340" spans="2:9">
      <c r="B1340" s="3"/>
      <c r="C1340" s="73"/>
      <c r="D1340" s="3"/>
      <c r="E1340" s="3"/>
      <c r="F1340" s="3"/>
      <c r="G1340" s="3"/>
      <c r="H1340" s="3"/>
      <c r="I1340" s="3"/>
    </row>
    <row r="1341" spans="2:9">
      <c r="B1341" s="3"/>
      <c r="C1341" s="73"/>
      <c r="D1341" s="3"/>
      <c r="E1341" s="3"/>
      <c r="F1341" s="3"/>
      <c r="G1341" s="3"/>
      <c r="H1341" s="3"/>
      <c r="I1341" s="3"/>
    </row>
    <row r="1342" spans="2:9">
      <c r="B1342" s="3"/>
      <c r="C1342" s="73"/>
      <c r="D1342" s="3"/>
      <c r="E1342" s="3"/>
      <c r="F1342" s="3"/>
      <c r="G1342" s="3"/>
      <c r="H1342" s="3"/>
      <c r="I1342" s="3"/>
    </row>
    <row r="1343" spans="2:9">
      <c r="B1343" s="3"/>
      <c r="C1343" s="73"/>
      <c r="D1343" s="3"/>
      <c r="E1343" s="3"/>
      <c r="F1343" s="3"/>
      <c r="G1343" s="3"/>
      <c r="H1343" s="3"/>
      <c r="I1343" s="3"/>
    </row>
    <row r="1344" spans="2:9">
      <c r="B1344" s="3"/>
      <c r="C1344" s="73"/>
      <c r="D1344" s="3"/>
      <c r="E1344" s="3"/>
      <c r="F1344" s="3"/>
      <c r="G1344" s="3"/>
      <c r="H1344" s="3"/>
      <c r="I1344" s="3"/>
    </row>
    <row r="1345" spans="2:9">
      <c r="B1345" s="3"/>
      <c r="C1345" s="73"/>
      <c r="D1345" s="3"/>
      <c r="E1345" s="3"/>
      <c r="F1345" s="3"/>
      <c r="G1345" s="3"/>
      <c r="H1345" s="3"/>
      <c r="I1345" s="3"/>
    </row>
    <row r="1346" spans="2:9">
      <c r="B1346" s="3"/>
      <c r="C1346" s="73"/>
      <c r="D1346" s="3"/>
      <c r="E1346" s="3"/>
      <c r="F1346" s="3"/>
      <c r="G1346" s="3"/>
      <c r="H1346" s="3"/>
      <c r="I1346" s="3"/>
    </row>
    <row r="1347" spans="2:9">
      <c r="B1347" s="3"/>
      <c r="C1347" s="73"/>
      <c r="D1347" s="3"/>
      <c r="E1347" s="3"/>
      <c r="F1347" s="3"/>
      <c r="G1347" s="3"/>
      <c r="H1347" s="3"/>
      <c r="I1347" s="3"/>
    </row>
    <row r="1348" spans="2:9">
      <c r="B1348" s="3"/>
      <c r="C1348" s="73"/>
      <c r="D1348" s="3"/>
      <c r="E1348" s="3"/>
      <c r="F1348" s="3"/>
      <c r="G1348" s="3"/>
      <c r="H1348" s="3"/>
      <c r="I1348" s="3"/>
    </row>
    <row r="1349" spans="2:9">
      <c r="B1349" s="3"/>
      <c r="C1349" s="73"/>
      <c r="D1349" s="3"/>
      <c r="E1349" s="3"/>
      <c r="F1349" s="3"/>
      <c r="G1349" s="3"/>
      <c r="H1349" s="3"/>
      <c r="I1349" s="3"/>
    </row>
    <row r="1350" spans="2:9">
      <c r="B1350" s="3"/>
      <c r="C1350" s="73"/>
      <c r="D1350" s="3"/>
      <c r="E1350" s="3"/>
      <c r="F1350" s="3"/>
      <c r="G1350" s="3"/>
      <c r="H1350" s="3"/>
      <c r="I1350" s="3"/>
    </row>
    <row r="1351" spans="2:9">
      <c r="B1351" s="3"/>
      <c r="C1351" s="73"/>
      <c r="D1351" s="3"/>
      <c r="E1351" s="3"/>
      <c r="F1351" s="3"/>
      <c r="G1351" s="3"/>
      <c r="H1351" s="3"/>
      <c r="I1351" s="3"/>
    </row>
    <row r="1352" spans="2:9">
      <c r="B1352" s="3"/>
      <c r="C1352" s="73"/>
      <c r="D1352" s="3"/>
      <c r="E1352" s="3"/>
      <c r="F1352" s="3"/>
      <c r="G1352" s="3"/>
      <c r="H1352" s="3"/>
      <c r="I1352" s="3"/>
    </row>
    <row r="1353" spans="2:9">
      <c r="B1353" s="3"/>
      <c r="C1353" s="73"/>
      <c r="D1353" s="3"/>
      <c r="E1353" s="3"/>
      <c r="F1353" s="3"/>
      <c r="G1353" s="3"/>
      <c r="H1353" s="3"/>
      <c r="I1353" s="3"/>
    </row>
    <row r="1354" spans="2:9">
      <c r="B1354" s="3"/>
      <c r="C1354" s="73"/>
      <c r="D1354" s="3"/>
      <c r="E1354" s="3"/>
      <c r="F1354" s="3"/>
      <c r="G1354" s="3"/>
      <c r="H1354" s="3"/>
      <c r="I1354" s="3"/>
    </row>
    <row r="1355" spans="2:9">
      <c r="B1355" s="3"/>
      <c r="C1355" s="73"/>
      <c r="D1355" s="3"/>
      <c r="E1355" s="3"/>
      <c r="F1355" s="3"/>
      <c r="G1355" s="3"/>
      <c r="H1355" s="3"/>
      <c r="I1355" s="3"/>
    </row>
    <row r="1356" spans="2:9">
      <c r="B1356" s="3"/>
      <c r="C1356" s="73"/>
      <c r="D1356" s="3"/>
      <c r="E1356" s="3"/>
      <c r="F1356" s="3"/>
      <c r="G1356" s="3"/>
      <c r="H1356" s="3"/>
      <c r="I1356" s="3"/>
    </row>
    <row r="1357" spans="2:9">
      <c r="B1357" s="3"/>
      <c r="C1357" s="73"/>
      <c r="D1357" s="3"/>
      <c r="E1357" s="3"/>
      <c r="F1357" s="3"/>
      <c r="G1357" s="3"/>
      <c r="H1357" s="3"/>
      <c r="I1357" s="3"/>
    </row>
    <row r="1358" spans="2:9">
      <c r="B1358" s="3"/>
      <c r="C1358" s="73"/>
      <c r="D1358" s="3"/>
      <c r="E1358" s="3"/>
      <c r="F1358" s="3"/>
      <c r="G1358" s="3"/>
      <c r="H1358" s="3"/>
      <c r="I1358" s="3"/>
    </row>
    <row r="1359" spans="2:9">
      <c r="B1359" s="3"/>
      <c r="C1359" s="73"/>
      <c r="D1359" s="3"/>
      <c r="E1359" s="3"/>
      <c r="F1359" s="3"/>
      <c r="G1359" s="3"/>
      <c r="H1359" s="3"/>
      <c r="I1359" s="3"/>
    </row>
    <row r="1360" spans="2:9">
      <c r="B1360" s="3"/>
      <c r="C1360" s="73"/>
      <c r="D1360" s="3"/>
      <c r="E1360" s="3"/>
      <c r="F1360" s="3"/>
      <c r="G1360" s="3"/>
      <c r="H1360" s="3"/>
      <c r="I1360" s="3"/>
    </row>
    <row r="1361" spans="2:9">
      <c r="B1361" s="3"/>
      <c r="C1361" s="73"/>
      <c r="D1361" s="3"/>
      <c r="E1361" s="3"/>
      <c r="F1361" s="3"/>
      <c r="G1361" s="3"/>
      <c r="H1361" s="3"/>
      <c r="I1361" s="3"/>
    </row>
    <row r="1362" spans="2:9">
      <c r="B1362" s="3"/>
      <c r="C1362" s="73"/>
      <c r="D1362" s="3"/>
      <c r="E1362" s="3"/>
      <c r="F1362" s="3"/>
      <c r="G1362" s="3"/>
      <c r="H1362" s="3"/>
      <c r="I1362" s="3"/>
    </row>
    <row r="1363" spans="2:9">
      <c r="B1363" s="3"/>
      <c r="C1363" s="73"/>
      <c r="D1363" s="3"/>
      <c r="E1363" s="3"/>
      <c r="F1363" s="3"/>
      <c r="G1363" s="3"/>
      <c r="H1363" s="3"/>
      <c r="I1363" s="3"/>
    </row>
    <row r="1364" spans="2:9">
      <c r="B1364" s="3"/>
      <c r="C1364" s="73"/>
      <c r="D1364" s="3"/>
      <c r="E1364" s="3"/>
      <c r="F1364" s="3"/>
      <c r="G1364" s="3"/>
      <c r="H1364" s="3"/>
      <c r="I1364" s="3"/>
    </row>
    <row r="1365" spans="2:9">
      <c r="B1365" s="3"/>
      <c r="C1365" s="73"/>
      <c r="D1365" s="3"/>
      <c r="E1365" s="3"/>
      <c r="F1365" s="3"/>
      <c r="G1365" s="3"/>
      <c r="H1365" s="3"/>
      <c r="I1365" s="3"/>
    </row>
    <row r="1366" spans="2:9">
      <c r="B1366" s="3"/>
      <c r="C1366" s="73"/>
      <c r="D1366" s="3"/>
      <c r="E1366" s="3"/>
      <c r="F1366" s="3"/>
      <c r="G1366" s="3"/>
      <c r="H1366" s="3"/>
      <c r="I1366" s="3"/>
    </row>
    <row r="1367" spans="2:9">
      <c r="B1367" s="3"/>
      <c r="C1367" s="73"/>
      <c r="D1367" s="3"/>
      <c r="E1367" s="3"/>
      <c r="F1367" s="3"/>
      <c r="G1367" s="3"/>
      <c r="H1367" s="3"/>
      <c r="I1367" s="3"/>
    </row>
    <row r="1368" spans="2:9">
      <c r="B1368" s="3"/>
      <c r="C1368" s="73"/>
      <c r="D1368" s="3"/>
      <c r="E1368" s="3"/>
      <c r="F1368" s="3"/>
      <c r="G1368" s="3"/>
      <c r="H1368" s="3"/>
      <c r="I1368" s="3"/>
    </row>
    <row r="1369" spans="2:9">
      <c r="B1369" s="3"/>
      <c r="C1369" s="73"/>
      <c r="D1369" s="3"/>
      <c r="E1369" s="3"/>
      <c r="F1369" s="3"/>
      <c r="G1369" s="3"/>
      <c r="H1369" s="3"/>
      <c r="I1369" s="3"/>
    </row>
    <row r="1370" spans="2:9">
      <c r="B1370" s="3"/>
      <c r="C1370" s="73"/>
      <c r="D1370" s="3"/>
      <c r="E1370" s="3"/>
      <c r="F1370" s="3"/>
      <c r="G1370" s="3"/>
      <c r="H1370" s="3"/>
      <c r="I1370" s="3"/>
    </row>
    <row r="1371" spans="2:9">
      <c r="B1371" s="3"/>
      <c r="C1371" s="73"/>
      <c r="D1371" s="3"/>
      <c r="E1371" s="3"/>
      <c r="F1371" s="3"/>
      <c r="G1371" s="3"/>
      <c r="H1371" s="3"/>
      <c r="I1371" s="3"/>
    </row>
    <row r="1372" spans="2:9">
      <c r="B1372" s="3"/>
      <c r="C1372" s="73"/>
      <c r="D1372" s="3"/>
      <c r="E1372" s="3"/>
      <c r="F1372" s="3"/>
      <c r="G1372" s="3"/>
      <c r="H1372" s="3"/>
      <c r="I1372" s="3"/>
    </row>
    <row r="1373" spans="2:9">
      <c r="B1373" s="3"/>
      <c r="C1373" s="73"/>
      <c r="D1373" s="3"/>
      <c r="E1373" s="3"/>
      <c r="F1373" s="3"/>
      <c r="G1373" s="3"/>
      <c r="H1373" s="3"/>
      <c r="I1373" s="3"/>
    </row>
    <row r="1374" spans="2:9">
      <c r="B1374" s="3"/>
      <c r="C1374" s="73"/>
      <c r="D1374" s="3"/>
      <c r="E1374" s="3"/>
      <c r="F1374" s="3"/>
      <c r="G1374" s="3"/>
      <c r="H1374" s="3"/>
      <c r="I1374" s="3"/>
    </row>
    <row r="1375" spans="2:9">
      <c r="B1375" s="3"/>
      <c r="C1375" s="73"/>
      <c r="D1375" s="3"/>
      <c r="E1375" s="3"/>
      <c r="F1375" s="3"/>
      <c r="G1375" s="3"/>
      <c r="H1375" s="3"/>
      <c r="I1375" s="3"/>
    </row>
    <row r="1376" spans="2:9">
      <c r="B1376" s="3"/>
      <c r="C1376" s="73"/>
      <c r="D1376" s="3"/>
      <c r="E1376" s="3"/>
      <c r="F1376" s="3"/>
      <c r="G1376" s="3"/>
      <c r="H1376" s="3"/>
      <c r="I1376" s="3"/>
    </row>
    <row r="1377" spans="2:9">
      <c r="B1377" s="3"/>
      <c r="C1377" s="73"/>
      <c r="D1377" s="3"/>
      <c r="E1377" s="3"/>
      <c r="F1377" s="3"/>
      <c r="G1377" s="3"/>
      <c r="H1377" s="3"/>
      <c r="I1377" s="3"/>
    </row>
    <row r="1378" spans="2:9">
      <c r="B1378" s="3"/>
      <c r="C1378" s="73"/>
      <c r="D1378" s="3"/>
      <c r="E1378" s="3"/>
      <c r="F1378" s="3"/>
      <c r="G1378" s="3"/>
      <c r="H1378" s="3"/>
      <c r="I1378" s="3"/>
    </row>
    <row r="1379" spans="2:9">
      <c r="B1379" s="3"/>
      <c r="C1379" s="73"/>
      <c r="D1379" s="3"/>
      <c r="E1379" s="3"/>
      <c r="F1379" s="3"/>
      <c r="G1379" s="3"/>
      <c r="H1379" s="3"/>
      <c r="I1379" s="3"/>
    </row>
    <row r="1380" spans="2:9">
      <c r="B1380" s="3"/>
      <c r="C1380" s="73"/>
      <c r="D1380" s="3"/>
      <c r="E1380" s="3"/>
      <c r="F1380" s="3"/>
      <c r="G1380" s="3"/>
      <c r="H1380" s="3"/>
      <c r="I1380" s="3"/>
    </row>
    <row r="1381" spans="2:9">
      <c r="B1381" s="3"/>
      <c r="C1381" s="73"/>
      <c r="D1381" s="3"/>
      <c r="E1381" s="3"/>
      <c r="F1381" s="3"/>
      <c r="G1381" s="3"/>
      <c r="H1381" s="3"/>
      <c r="I1381" s="3"/>
    </row>
    <row r="1382" spans="2:9">
      <c r="B1382" s="3"/>
      <c r="C1382" s="73"/>
      <c r="D1382" s="3"/>
      <c r="E1382" s="3"/>
      <c r="F1382" s="3"/>
      <c r="G1382" s="3"/>
      <c r="H1382" s="3"/>
      <c r="I1382" s="3"/>
    </row>
    <row r="1383" spans="2:9">
      <c r="B1383" s="3"/>
      <c r="C1383" s="73"/>
      <c r="D1383" s="3"/>
      <c r="E1383" s="3"/>
      <c r="F1383" s="3"/>
      <c r="G1383" s="3"/>
      <c r="H1383" s="3"/>
      <c r="I1383" s="3"/>
    </row>
    <row r="1384" spans="2:9">
      <c r="B1384" s="3"/>
      <c r="C1384" s="73"/>
      <c r="D1384" s="3"/>
      <c r="E1384" s="3"/>
      <c r="F1384" s="3"/>
      <c r="G1384" s="3"/>
      <c r="H1384" s="3"/>
      <c r="I1384" s="3"/>
    </row>
    <row r="1385" spans="2:9">
      <c r="B1385" s="3"/>
      <c r="C1385" s="73"/>
      <c r="D1385" s="3"/>
      <c r="E1385" s="3"/>
      <c r="F1385" s="3"/>
      <c r="G1385" s="3"/>
      <c r="H1385" s="3"/>
      <c r="I1385" s="3"/>
    </row>
    <row r="1386" spans="2:9">
      <c r="B1386" s="3"/>
      <c r="C1386" s="73"/>
      <c r="D1386" s="3"/>
      <c r="E1386" s="3"/>
      <c r="F1386" s="3"/>
      <c r="G1386" s="3"/>
      <c r="H1386" s="3"/>
      <c r="I1386" s="3"/>
    </row>
    <row r="1387" spans="2:9">
      <c r="B1387" s="3"/>
      <c r="C1387" s="73"/>
      <c r="D1387" s="3"/>
      <c r="E1387" s="3"/>
      <c r="F1387" s="3"/>
      <c r="G1387" s="3"/>
      <c r="H1387" s="3"/>
      <c r="I1387" s="3"/>
    </row>
    <row r="1388" spans="2:9">
      <c r="B1388" s="3"/>
      <c r="C1388" s="73"/>
      <c r="D1388" s="3"/>
      <c r="E1388" s="3"/>
      <c r="F1388" s="3"/>
      <c r="G1388" s="3"/>
      <c r="H1388" s="3"/>
      <c r="I1388" s="3"/>
    </row>
    <row r="1389" spans="2:9">
      <c r="B1389" s="3"/>
      <c r="C1389" s="73"/>
      <c r="D1389" s="3"/>
      <c r="E1389" s="3"/>
      <c r="F1389" s="3"/>
      <c r="G1389" s="3"/>
      <c r="H1389" s="3"/>
      <c r="I1389" s="3"/>
    </row>
    <row r="1390" spans="2:9">
      <c r="B1390" s="3"/>
      <c r="C1390" s="73"/>
      <c r="D1390" s="3"/>
      <c r="E1390" s="3"/>
      <c r="F1390" s="3"/>
      <c r="G1390" s="3"/>
      <c r="H1390" s="3"/>
      <c r="I1390" s="3"/>
    </row>
    <row r="1391" spans="2:9">
      <c r="B1391" s="3"/>
      <c r="C1391" s="73"/>
      <c r="D1391" s="3"/>
      <c r="E1391" s="3"/>
      <c r="F1391" s="3"/>
      <c r="G1391" s="3"/>
      <c r="H1391" s="3"/>
      <c r="I1391" s="3"/>
    </row>
    <row r="1392" spans="2:9">
      <c r="B1392" s="3"/>
      <c r="C1392" s="73"/>
      <c r="D1392" s="3"/>
      <c r="E1392" s="3"/>
      <c r="F1392" s="3"/>
      <c r="G1392" s="3"/>
      <c r="H1392" s="3"/>
      <c r="I1392" s="3"/>
    </row>
    <row r="1393" spans="2:9">
      <c r="B1393" s="3"/>
      <c r="C1393" s="73"/>
      <c r="D1393" s="3"/>
      <c r="E1393" s="3"/>
      <c r="F1393" s="3"/>
      <c r="G1393" s="3"/>
      <c r="H1393" s="3"/>
      <c r="I1393" s="3"/>
    </row>
    <row r="1394" spans="2:9">
      <c r="B1394" s="3"/>
      <c r="C1394" s="73"/>
      <c r="D1394" s="3"/>
      <c r="E1394" s="3"/>
      <c r="F1394" s="3"/>
      <c r="G1394" s="3"/>
      <c r="H1394" s="3"/>
      <c r="I1394" s="3"/>
    </row>
    <row r="1395" spans="2:9">
      <c r="B1395" s="3"/>
      <c r="C1395" s="73"/>
      <c r="D1395" s="3"/>
      <c r="E1395" s="3"/>
      <c r="F1395" s="3"/>
      <c r="G1395" s="3"/>
      <c r="H1395" s="3"/>
      <c r="I1395" s="3"/>
    </row>
    <row r="1396" spans="2:9">
      <c r="B1396" s="3"/>
      <c r="C1396" s="73"/>
      <c r="D1396" s="3"/>
      <c r="E1396" s="3"/>
      <c r="F1396" s="3"/>
      <c r="G1396" s="3"/>
      <c r="H1396" s="3"/>
      <c r="I1396" s="3"/>
    </row>
    <row r="1397" spans="2:9">
      <c r="B1397" s="3"/>
      <c r="C1397" s="73"/>
      <c r="D1397" s="3"/>
      <c r="E1397" s="3"/>
      <c r="F1397" s="3"/>
      <c r="G1397" s="3"/>
      <c r="H1397" s="3"/>
      <c r="I1397" s="3"/>
    </row>
    <row r="1398" spans="2:9">
      <c r="B1398" s="3"/>
      <c r="C1398" s="73"/>
      <c r="D1398" s="3"/>
      <c r="E1398" s="3"/>
      <c r="F1398" s="3"/>
      <c r="G1398" s="3"/>
      <c r="H1398" s="3"/>
      <c r="I1398" s="3"/>
    </row>
    <row r="1399" spans="2:9">
      <c r="B1399" s="3"/>
      <c r="C1399" s="73"/>
      <c r="D1399" s="3"/>
      <c r="E1399" s="3"/>
      <c r="F1399" s="3"/>
      <c r="G1399" s="3"/>
      <c r="H1399" s="3"/>
      <c r="I1399" s="3"/>
    </row>
    <row r="1400" spans="2:9">
      <c r="B1400" s="3"/>
      <c r="C1400" s="73"/>
      <c r="D1400" s="3"/>
      <c r="E1400" s="3"/>
      <c r="F1400" s="3"/>
      <c r="G1400" s="3"/>
      <c r="H1400" s="3"/>
      <c r="I1400" s="3"/>
    </row>
    <row r="1401" spans="2:9">
      <c r="B1401" s="3"/>
      <c r="C1401" s="73"/>
      <c r="D1401" s="3"/>
      <c r="E1401" s="3"/>
      <c r="F1401" s="3"/>
      <c r="G1401" s="3"/>
      <c r="H1401" s="3"/>
      <c r="I1401" s="3"/>
    </row>
    <row r="1402" spans="2:9">
      <c r="B1402" s="3"/>
      <c r="C1402" s="73"/>
      <c r="D1402" s="3"/>
      <c r="E1402" s="3"/>
      <c r="F1402" s="3"/>
      <c r="G1402" s="3"/>
      <c r="H1402" s="3"/>
      <c r="I1402" s="3"/>
    </row>
    <row r="1403" spans="2:9">
      <c r="B1403" s="3"/>
      <c r="C1403" s="73"/>
      <c r="D1403" s="3"/>
      <c r="E1403" s="3"/>
      <c r="F1403" s="3"/>
      <c r="G1403" s="3"/>
      <c r="H1403" s="3"/>
      <c r="I1403" s="3"/>
    </row>
    <row r="1404" spans="2:9">
      <c r="B1404" s="3"/>
      <c r="C1404" s="73"/>
      <c r="D1404" s="3"/>
      <c r="E1404" s="3"/>
      <c r="F1404" s="3"/>
      <c r="G1404" s="3"/>
      <c r="H1404" s="3"/>
      <c r="I1404" s="3"/>
    </row>
    <row r="1405" spans="2:9">
      <c r="B1405" s="3"/>
      <c r="C1405" s="73"/>
      <c r="D1405" s="3"/>
      <c r="E1405" s="3"/>
      <c r="F1405" s="3"/>
      <c r="G1405" s="3"/>
      <c r="H1405" s="3"/>
      <c r="I1405" s="3"/>
    </row>
    <row r="1406" spans="2:9">
      <c r="B1406" s="3"/>
      <c r="C1406" s="73"/>
      <c r="D1406" s="3"/>
      <c r="E1406" s="3"/>
      <c r="F1406" s="3"/>
      <c r="G1406" s="3"/>
      <c r="H1406" s="3"/>
      <c r="I1406" s="3"/>
    </row>
    <row r="1407" spans="2:9">
      <c r="B1407" s="3"/>
      <c r="C1407" s="73"/>
      <c r="D1407" s="3"/>
      <c r="E1407" s="3"/>
      <c r="F1407" s="3"/>
      <c r="G1407" s="3"/>
      <c r="H1407" s="3"/>
      <c r="I1407" s="3"/>
    </row>
    <row r="1408" spans="2:9">
      <c r="B1408" s="3"/>
      <c r="C1408" s="73"/>
      <c r="D1408" s="3"/>
      <c r="E1408" s="3"/>
      <c r="F1408" s="3"/>
      <c r="G1408" s="3"/>
      <c r="H1408" s="3"/>
      <c r="I1408" s="3"/>
    </row>
    <row r="1409" spans="2:9">
      <c r="B1409" s="3"/>
      <c r="C1409" s="73"/>
      <c r="D1409" s="3"/>
      <c r="E1409" s="3"/>
      <c r="F1409" s="3"/>
      <c r="G1409" s="3"/>
      <c r="H1409" s="3"/>
      <c r="I1409" s="3"/>
    </row>
    <row r="1410" spans="2:9">
      <c r="B1410" s="3"/>
      <c r="C1410" s="73"/>
      <c r="D1410" s="3"/>
      <c r="E1410" s="3"/>
      <c r="F1410" s="3"/>
      <c r="G1410" s="3"/>
      <c r="H1410" s="3"/>
      <c r="I1410" s="3"/>
    </row>
    <row r="1411" spans="2:9">
      <c r="B1411" s="3"/>
      <c r="C1411" s="73"/>
      <c r="D1411" s="3"/>
      <c r="E1411" s="3"/>
      <c r="F1411" s="3"/>
      <c r="G1411" s="3"/>
      <c r="H1411" s="3"/>
      <c r="I1411" s="3"/>
    </row>
    <row r="1412" spans="2:9">
      <c r="B1412" s="3"/>
      <c r="C1412" s="73"/>
      <c r="D1412" s="3"/>
      <c r="E1412" s="3"/>
      <c r="F1412" s="3"/>
      <c r="G1412" s="3"/>
      <c r="H1412" s="3"/>
      <c r="I1412" s="3"/>
    </row>
    <row r="1413" spans="2:9">
      <c r="B1413" s="3"/>
      <c r="C1413" s="73"/>
      <c r="D1413" s="3"/>
      <c r="E1413" s="3"/>
      <c r="F1413" s="3"/>
      <c r="G1413" s="3"/>
      <c r="H1413" s="3"/>
      <c r="I1413" s="3"/>
    </row>
    <row r="1414" spans="2:9">
      <c r="B1414" s="3"/>
      <c r="C1414" s="73"/>
      <c r="D1414" s="3"/>
      <c r="E1414" s="3"/>
      <c r="F1414" s="3"/>
      <c r="G1414" s="3"/>
      <c r="H1414" s="3"/>
      <c r="I1414" s="3"/>
    </row>
    <row r="1415" spans="2:9">
      <c r="B1415" s="3"/>
      <c r="C1415" s="73"/>
      <c r="D1415" s="3"/>
      <c r="E1415" s="3"/>
      <c r="F1415" s="3"/>
      <c r="G1415" s="3"/>
      <c r="H1415" s="3"/>
      <c r="I1415" s="3"/>
    </row>
    <row r="1416" spans="2:9">
      <c r="B1416" s="3"/>
      <c r="C1416" s="73"/>
      <c r="D1416" s="3"/>
      <c r="E1416" s="3"/>
      <c r="F1416" s="3"/>
      <c r="G1416" s="3"/>
      <c r="H1416" s="3"/>
      <c r="I1416" s="3"/>
    </row>
    <row r="1417" spans="2:9">
      <c r="B1417" s="3"/>
      <c r="C1417" s="73"/>
      <c r="D1417" s="3"/>
      <c r="E1417" s="3"/>
      <c r="F1417" s="3"/>
      <c r="G1417" s="3"/>
      <c r="H1417" s="3"/>
      <c r="I1417" s="3"/>
    </row>
    <row r="1418" spans="2:9">
      <c r="B1418" s="3"/>
      <c r="C1418" s="73"/>
      <c r="D1418" s="3"/>
      <c r="E1418" s="3"/>
      <c r="F1418" s="3"/>
      <c r="G1418" s="3"/>
      <c r="H1418" s="3"/>
      <c r="I1418" s="3"/>
    </row>
    <row r="1419" spans="2:9">
      <c r="B1419" s="3"/>
      <c r="C1419" s="73"/>
      <c r="D1419" s="3"/>
      <c r="E1419" s="3"/>
      <c r="F1419" s="3"/>
      <c r="G1419" s="3"/>
      <c r="H1419" s="3"/>
      <c r="I1419" s="3"/>
    </row>
    <row r="1420" spans="2:9">
      <c r="B1420" s="3"/>
      <c r="C1420" s="73"/>
      <c r="D1420" s="3"/>
      <c r="E1420" s="3"/>
      <c r="F1420" s="3"/>
      <c r="G1420" s="3"/>
      <c r="H1420" s="3"/>
      <c r="I1420" s="3"/>
    </row>
    <row r="1421" spans="2:9">
      <c r="B1421" s="3"/>
      <c r="C1421" s="73"/>
      <c r="D1421" s="3"/>
      <c r="E1421" s="3"/>
      <c r="F1421" s="3"/>
      <c r="G1421" s="3"/>
      <c r="H1421" s="3"/>
      <c r="I1421" s="3"/>
    </row>
    <row r="1422" spans="2:9">
      <c r="B1422" s="3"/>
      <c r="C1422" s="73"/>
      <c r="D1422" s="3"/>
      <c r="E1422" s="3"/>
      <c r="F1422" s="3"/>
      <c r="G1422" s="3"/>
      <c r="H1422" s="3"/>
      <c r="I1422" s="3"/>
    </row>
    <row r="1423" spans="2:9">
      <c r="B1423" s="3"/>
      <c r="C1423" s="73"/>
      <c r="D1423" s="3"/>
      <c r="E1423" s="3"/>
      <c r="F1423" s="3"/>
      <c r="G1423" s="3"/>
      <c r="H1423" s="3"/>
      <c r="I1423" s="3"/>
    </row>
    <row r="1424" spans="2:9">
      <c r="B1424" s="3"/>
      <c r="C1424" s="73"/>
      <c r="D1424" s="3"/>
      <c r="E1424" s="3"/>
      <c r="F1424" s="3"/>
      <c r="G1424" s="3"/>
      <c r="H1424" s="3"/>
      <c r="I1424" s="3"/>
    </row>
    <row r="1425" spans="2:9">
      <c r="B1425" s="3"/>
      <c r="C1425" s="73"/>
      <c r="D1425" s="3"/>
      <c r="E1425" s="3"/>
      <c r="F1425" s="3"/>
      <c r="G1425" s="3"/>
      <c r="H1425" s="3"/>
      <c r="I1425" s="3"/>
    </row>
    <row r="1426" spans="2:9">
      <c r="B1426" s="3"/>
      <c r="C1426" s="73"/>
      <c r="D1426" s="3"/>
      <c r="E1426" s="3"/>
      <c r="F1426" s="3"/>
      <c r="G1426" s="3"/>
      <c r="H1426" s="3"/>
      <c r="I1426" s="3"/>
    </row>
    <row r="1427" spans="2:9">
      <c r="B1427" s="3"/>
      <c r="C1427" s="73"/>
      <c r="D1427" s="3"/>
      <c r="E1427" s="3"/>
      <c r="F1427" s="3"/>
      <c r="G1427" s="3"/>
      <c r="H1427" s="3"/>
      <c r="I1427" s="3"/>
    </row>
    <row r="1428" spans="2:9">
      <c r="B1428" s="3"/>
      <c r="C1428" s="73"/>
      <c r="D1428" s="3"/>
      <c r="E1428" s="3"/>
      <c r="F1428" s="3"/>
      <c r="G1428" s="3"/>
      <c r="H1428" s="3"/>
      <c r="I1428" s="3"/>
    </row>
    <row r="1429" spans="2:9">
      <c r="B1429" s="3"/>
      <c r="C1429" s="73"/>
      <c r="D1429" s="3"/>
      <c r="E1429" s="3"/>
      <c r="F1429" s="3"/>
      <c r="G1429" s="3"/>
      <c r="H1429" s="3"/>
      <c r="I1429" s="3"/>
    </row>
    <row r="1430" spans="2:9">
      <c r="B1430" s="3"/>
      <c r="C1430" s="73"/>
      <c r="D1430" s="3"/>
      <c r="E1430" s="3"/>
      <c r="F1430" s="3"/>
      <c r="G1430" s="3"/>
      <c r="H1430" s="3"/>
      <c r="I1430" s="3"/>
    </row>
    <row r="1431" spans="2:9">
      <c r="B1431" s="3"/>
      <c r="C1431" s="73"/>
      <c r="D1431" s="3"/>
      <c r="E1431" s="3"/>
      <c r="F1431" s="3"/>
      <c r="G1431" s="3"/>
      <c r="H1431" s="3"/>
      <c r="I1431" s="3"/>
    </row>
    <row r="1432" spans="2:9">
      <c r="B1432" s="3"/>
      <c r="C1432" s="73"/>
      <c r="D1432" s="3"/>
      <c r="E1432" s="3"/>
      <c r="F1432" s="3"/>
      <c r="G1432" s="3"/>
      <c r="H1432" s="3"/>
      <c r="I1432" s="3"/>
    </row>
    <row r="1433" spans="2:9">
      <c r="B1433" s="3"/>
      <c r="C1433" s="73"/>
      <c r="D1433" s="3"/>
      <c r="E1433" s="3"/>
      <c r="F1433" s="3"/>
      <c r="G1433" s="3"/>
      <c r="H1433" s="3"/>
      <c r="I1433" s="3"/>
    </row>
    <row r="1434" spans="2:9">
      <c r="B1434" s="3"/>
      <c r="C1434" s="73"/>
      <c r="D1434" s="3"/>
      <c r="E1434" s="3"/>
      <c r="F1434" s="3"/>
      <c r="G1434" s="3"/>
      <c r="H1434" s="3"/>
      <c r="I1434" s="3"/>
    </row>
    <row r="1435" spans="2:9">
      <c r="B1435" s="3"/>
      <c r="C1435" s="73"/>
      <c r="D1435" s="3"/>
      <c r="E1435" s="3"/>
      <c r="F1435" s="3"/>
      <c r="G1435" s="3"/>
      <c r="H1435" s="3"/>
      <c r="I1435" s="3"/>
    </row>
    <row r="1436" spans="2:9">
      <c r="B1436" s="3"/>
      <c r="C1436" s="73"/>
      <c r="D1436" s="3"/>
      <c r="E1436" s="3"/>
      <c r="F1436" s="3"/>
      <c r="G1436" s="3"/>
      <c r="H1436" s="3"/>
      <c r="I1436" s="3"/>
    </row>
    <row r="1437" spans="2:9">
      <c r="B1437" s="3"/>
      <c r="C1437" s="73"/>
      <c r="D1437" s="3"/>
      <c r="E1437" s="3"/>
      <c r="F1437" s="3"/>
      <c r="G1437" s="3"/>
      <c r="H1437" s="3"/>
      <c r="I1437" s="3"/>
    </row>
    <row r="1438" spans="2:9">
      <c r="B1438" s="3"/>
      <c r="C1438" s="73"/>
      <c r="D1438" s="3"/>
      <c r="E1438" s="3"/>
      <c r="F1438" s="3"/>
      <c r="G1438" s="3"/>
      <c r="H1438" s="3"/>
      <c r="I1438" s="3"/>
    </row>
    <row r="1439" spans="2:9">
      <c r="B1439" s="3"/>
      <c r="C1439" s="73"/>
      <c r="D1439" s="3"/>
      <c r="E1439" s="3"/>
      <c r="F1439" s="3"/>
      <c r="G1439" s="3"/>
      <c r="H1439" s="3"/>
      <c r="I1439" s="3"/>
    </row>
    <row r="1440" spans="2:9">
      <c r="B1440" s="3"/>
      <c r="C1440" s="73"/>
      <c r="D1440" s="3"/>
      <c r="E1440" s="3"/>
      <c r="F1440" s="3"/>
      <c r="G1440" s="3"/>
      <c r="H1440" s="3"/>
      <c r="I1440" s="3"/>
    </row>
    <row r="1441" spans="2:9">
      <c r="B1441" s="3"/>
      <c r="C1441" s="73"/>
      <c r="D1441" s="3"/>
      <c r="E1441" s="3"/>
      <c r="F1441" s="3"/>
      <c r="G1441" s="3"/>
      <c r="H1441" s="3"/>
      <c r="I1441" s="3"/>
    </row>
    <row r="1442" spans="2:9">
      <c r="B1442" s="3"/>
      <c r="C1442" s="73"/>
      <c r="D1442" s="3"/>
      <c r="E1442" s="3"/>
      <c r="F1442" s="3"/>
      <c r="G1442" s="3"/>
      <c r="H1442" s="3"/>
      <c r="I1442" s="3"/>
    </row>
    <row r="1443" spans="2:9">
      <c r="B1443" s="3"/>
      <c r="C1443" s="73"/>
      <c r="D1443" s="3"/>
      <c r="E1443" s="3"/>
      <c r="F1443" s="3"/>
      <c r="G1443" s="3"/>
      <c r="H1443" s="3"/>
      <c r="I1443" s="3"/>
    </row>
    <row r="1444" spans="2:9">
      <c r="B1444" s="3"/>
      <c r="C1444" s="73"/>
      <c r="D1444" s="3"/>
      <c r="E1444" s="3"/>
      <c r="F1444" s="3"/>
      <c r="G1444" s="3"/>
      <c r="H1444" s="3"/>
      <c r="I1444" s="3"/>
    </row>
    <row r="1445" spans="2:9">
      <c r="B1445" s="3"/>
      <c r="C1445" s="73"/>
      <c r="D1445" s="3"/>
      <c r="E1445" s="3"/>
      <c r="F1445" s="3"/>
      <c r="G1445" s="3"/>
      <c r="H1445" s="3"/>
      <c r="I1445" s="3"/>
    </row>
    <row r="1446" spans="2:9">
      <c r="B1446" s="3"/>
      <c r="C1446" s="73"/>
      <c r="D1446" s="3"/>
      <c r="E1446" s="3"/>
      <c r="F1446" s="3"/>
      <c r="G1446" s="3"/>
      <c r="H1446" s="3"/>
      <c r="I1446" s="3"/>
    </row>
    <row r="1447" spans="2:9">
      <c r="B1447" s="3"/>
      <c r="C1447" s="73"/>
      <c r="D1447" s="3"/>
      <c r="E1447" s="3"/>
      <c r="F1447" s="3"/>
      <c r="G1447" s="3"/>
      <c r="H1447" s="3"/>
      <c r="I1447" s="3"/>
    </row>
    <row r="1448" spans="2:9">
      <c r="B1448" s="3"/>
      <c r="C1448" s="73"/>
      <c r="D1448" s="3"/>
      <c r="E1448" s="3"/>
      <c r="F1448" s="3"/>
      <c r="G1448" s="3"/>
      <c r="H1448" s="3"/>
      <c r="I1448" s="3"/>
    </row>
    <row r="1449" spans="2:9">
      <c r="B1449" s="3"/>
      <c r="C1449" s="73"/>
      <c r="D1449" s="3"/>
      <c r="E1449" s="3"/>
      <c r="F1449" s="3"/>
      <c r="G1449" s="3"/>
      <c r="H1449" s="3"/>
      <c r="I1449" s="3"/>
    </row>
    <row r="1450" spans="2:9">
      <c r="B1450" s="3"/>
      <c r="C1450" s="73"/>
      <c r="D1450" s="3"/>
      <c r="E1450" s="3"/>
      <c r="F1450" s="3"/>
      <c r="G1450" s="3"/>
      <c r="H1450" s="3"/>
      <c r="I1450" s="3"/>
    </row>
  </sheetData>
  <mergeCells count="4">
    <mergeCell ref="B17:C17"/>
    <mergeCell ref="B19:C19"/>
    <mergeCell ref="B21:C21"/>
    <mergeCell ref="B23:C23"/>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pageSetUpPr fitToPage="1"/>
  </sheetPr>
  <dimension ref="A1:K1113"/>
  <sheetViews>
    <sheetView showZeros="0" topLeftCell="A161" zoomScale="80" zoomScaleNormal="80" workbookViewId="0">
      <selection activeCell="I172" sqref="I172"/>
    </sheetView>
  </sheetViews>
  <sheetFormatPr defaultColWidth="8.85546875" defaultRowHeight="14.25"/>
  <cols>
    <col min="1" max="1" width="8.85546875" style="36"/>
    <col min="2" max="2" width="7.7109375" style="30" customWidth="1"/>
    <col min="3" max="3" width="58.5703125" style="30" customWidth="1"/>
    <col min="4" max="6" width="10.7109375" style="71" customWidth="1"/>
    <col min="7" max="7" width="6.7109375" style="30" customWidth="1"/>
    <col min="8" max="9" width="12.7109375" style="77" customWidth="1"/>
    <col min="10" max="11" width="9.140625" style="58" customWidth="1"/>
    <col min="12" max="16384" width="8.85546875" style="3"/>
  </cols>
  <sheetData>
    <row r="1" spans="2:11" ht="15.75">
      <c r="B1" s="1" t="str">
        <f>'Drawings &amp; Data'!A1</f>
        <v>ESTATE NAME</v>
      </c>
      <c r="C1" s="1"/>
      <c r="D1" s="1"/>
      <c r="E1" s="1"/>
      <c r="F1" s="1"/>
      <c r="G1" s="1"/>
      <c r="H1" s="1"/>
      <c r="I1" s="1"/>
      <c r="J1" s="3"/>
      <c r="K1" s="3"/>
    </row>
    <row r="2" spans="2:11" ht="15.75">
      <c r="B2" s="4" t="str">
        <f>'Drawings &amp; Data'!A2</f>
        <v>STAGE X</v>
      </c>
      <c r="C2" s="1"/>
      <c r="D2" s="1"/>
      <c r="E2" s="1"/>
      <c r="F2" s="1"/>
      <c r="G2" s="1"/>
      <c r="H2" s="1"/>
      <c r="I2" s="1"/>
      <c r="J2" s="3"/>
      <c r="K2" s="3"/>
    </row>
    <row r="3" spans="2:11" ht="15.75">
      <c r="B3" s="1"/>
      <c r="C3" s="1"/>
      <c r="D3" s="1"/>
      <c r="E3" s="1"/>
      <c r="F3" s="1"/>
      <c r="G3" s="1"/>
      <c r="H3" s="1"/>
      <c r="I3" s="1"/>
      <c r="J3" s="3"/>
      <c r="K3" s="3"/>
    </row>
    <row r="4" spans="2:11" ht="15.75">
      <c r="B4" s="5" t="s">
        <v>9</v>
      </c>
      <c r="C4" s="1"/>
      <c r="D4" s="1"/>
      <c r="E4" s="1"/>
      <c r="F4" s="1"/>
      <c r="G4" s="1"/>
      <c r="H4" s="1"/>
      <c r="I4" s="1"/>
      <c r="J4" s="3"/>
      <c r="K4" s="3"/>
    </row>
    <row r="5" spans="2:11" ht="15.75">
      <c r="B5" s="6" t="str">
        <f>'Drawings &amp; Data'!A5</f>
        <v>Name and/or entity</v>
      </c>
      <c r="C5" s="1"/>
      <c r="D5" s="1"/>
      <c r="E5" s="1"/>
      <c r="F5" s="1"/>
      <c r="G5" s="1"/>
      <c r="H5" s="1"/>
      <c r="I5" s="1"/>
      <c r="J5" s="3"/>
      <c r="K5" s="3"/>
    </row>
    <row r="6" spans="2:11" ht="15.75">
      <c r="B6" s="6" t="str">
        <f>'Drawings &amp; Data'!A6</f>
        <v>Address 1</v>
      </c>
      <c r="C6" s="1"/>
      <c r="D6" s="1"/>
      <c r="E6" s="1"/>
      <c r="F6" s="1"/>
      <c r="G6" s="1"/>
      <c r="H6" s="1"/>
      <c r="I6" s="1"/>
      <c r="J6" s="3"/>
      <c r="K6" s="3"/>
    </row>
    <row r="7" spans="2:11" ht="15.75">
      <c r="B7" s="6" t="str">
        <f>'Drawings &amp; Data'!A7</f>
        <v>Address 2</v>
      </c>
      <c r="C7" s="1"/>
      <c r="D7" s="1"/>
      <c r="E7" s="1"/>
      <c r="F7" s="1"/>
      <c r="G7" s="1"/>
      <c r="H7" s="1"/>
      <c r="I7" s="1"/>
      <c r="J7" s="3"/>
      <c r="K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23</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1" ht="59.45"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58.9"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45" customHeight="1">
      <c r="B21" s="110" t="s">
        <v>183</v>
      </c>
      <c r="C21" s="110"/>
      <c r="D21" s="38"/>
      <c r="E21" s="38"/>
      <c r="F21" s="38"/>
      <c r="G21" s="39"/>
      <c r="H21" s="40"/>
      <c r="I21" s="40"/>
    </row>
    <row r="22" spans="1:11" s="41" customFormat="1" ht="15">
      <c r="A22" s="43" t="s">
        <v>513</v>
      </c>
      <c r="B22" s="75"/>
      <c r="C22" s="75"/>
      <c r="D22" s="76"/>
      <c r="E22" s="76"/>
      <c r="F22" s="76"/>
      <c r="G22" s="75"/>
      <c r="H22" s="77"/>
      <c r="I22" s="77"/>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49"/>
    </row>
    <row r="25" spans="1:11" s="41" customFormat="1" ht="15">
      <c r="A25" s="50">
        <v>1</v>
      </c>
      <c r="B25" s="51">
        <f ca="1">IF($A25="","",NumList())</f>
        <v>1</v>
      </c>
      <c r="C25" s="63" t="s">
        <v>40</v>
      </c>
      <c r="D25" s="48"/>
      <c r="E25" s="48"/>
      <c r="F25" s="48"/>
      <c r="G25" s="46"/>
      <c r="H25" s="53"/>
      <c r="I25" s="53">
        <f t="shared" ref="I25:I88" si="0">F25*H25</f>
        <v>0</v>
      </c>
    </row>
    <row r="26" spans="1:11" s="41" customFormat="1" ht="30">
      <c r="A26" s="50" t="s">
        <v>516</v>
      </c>
      <c r="B26" s="51" t="str">
        <f>IF($A26="","",NumList())</f>
        <v/>
      </c>
      <c r="C26" s="63" t="s">
        <v>287</v>
      </c>
      <c r="D26" s="48"/>
      <c r="E26" s="48"/>
      <c r="F26" s="48"/>
      <c r="G26" s="46"/>
      <c r="H26" s="53"/>
      <c r="I26" s="53">
        <f t="shared" si="0"/>
        <v>0</v>
      </c>
    </row>
    <row r="27" spans="1:11" s="58" customFormat="1" ht="45">
      <c r="A27" s="50">
        <v>2</v>
      </c>
      <c r="B27" s="51" t="str">
        <f ca="1">IF($A27="","",NumList())</f>
        <v>1.1</v>
      </c>
      <c r="C27" s="62" t="s">
        <v>580</v>
      </c>
      <c r="D27" s="55"/>
      <c r="E27" s="55"/>
      <c r="F27" s="55"/>
      <c r="G27" s="51"/>
      <c r="H27" s="78"/>
      <c r="I27" s="53">
        <f t="shared" si="0"/>
        <v>0</v>
      </c>
    </row>
    <row r="28" spans="1:11" s="41" customFormat="1" ht="15">
      <c r="A28" s="50">
        <v>3</v>
      </c>
      <c r="B28" s="51" t="str">
        <f ca="1">IF($A28="","",NumList())</f>
        <v>1.1.1</v>
      </c>
      <c r="C28" s="61" t="s">
        <v>317</v>
      </c>
      <c r="D28" s="55"/>
      <c r="E28" s="55"/>
      <c r="F28" s="55"/>
      <c r="G28" s="51"/>
      <c r="H28" s="78"/>
      <c r="I28" s="53">
        <f t="shared" si="0"/>
        <v>0</v>
      </c>
      <c r="J28" s="58"/>
      <c r="K28" s="58"/>
    </row>
    <row r="29" spans="1:11" s="41" customFormat="1" ht="15">
      <c r="A29" s="50">
        <v>4</v>
      </c>
      <c r="B29" s="51" t="str">
        <f ca="1">IF($A29="","",NumList())</f>
        <v>1.1.1.1</v>
      </c>
      <c r="C29" s="61" t="s">
        <v>56</v>
      </c>
      <c r="D29" s="55">
        <f>IF(ISTEXT(G30),1,0)</f>
        <v>1</v>
      </c>
      <c r="E29" s="55"/>
      <c r="F29" s="55">
        <f ca="1">IF(ISTEXT(G29),RANDBETWEEN(1,100),0)</f>
        <v>31</v>
      </c>
      <c r="G29" s="51" t="s">
        <v>6</v>
      </c>
      <c r="H29" s="78">
        <f ca="1">IF(ISTEXT(G29),RANDBETWEEN(1,100),0)</f>
        <v>57</v>
      </c>
      <c r="I29" s="53">
        <f t="shared" ca="1" si="0"/>
        <v>1767</v>
      </c>
      <c r="J29" s="58"/>
      <c r="K29" s="58"/>
    </row>
    <row r="30" spans="1:11" s="41" customFormat="1" ht="15">
      <c r="A30" s="50">
        <v>4</v>
      </c>
      <c r="B30" s="51" t="str">
        <f ca="1">IF($A30="","",NumList())</f>
        <v>1.1.1.2</v>
      </c>
      <c r="C30" s="61" t="s">
        <v>57</v>
      </c>
      <c r="D30" s="55">
        <f>IF(ISTEXT(G30),1,0)</f>
        <v>1</v>
      </c>
      <c r="E30" s="55"/>
      <c r="F30" s="55">
        <f t="shared" ref="F30:F93" ca="1" si="1">IF(ISTEXT(G30),RANDBETWEEN(1,100),0)</f>
        <v>65</v>
      </c>
      <c r="G30" s="51" t="s">
        <v>6</v>
      </c>
      <c r="H30" s="78">
        <f t="shared" ref="H30:H93" ca="1" si="2">IF(ISTEXT(G30),RANDBETWEEN(1,100),0)</f>
        <v>98</v>
      </c>
      <c r="I30" s="53">
        <f t="shared" ca="1" si="0"/>
        <v>6370</v>
      </c>
      <c r="J30" s="58"/>
      <c r="K30" s="58"/>
    </row>
    <row r="31" spans="1:11" s="41" customFormat="1" ht="15">
      <c r="A31" s="50">
        <v>4</v>
      </c>
      <c r="B31" s="51" t="str">
        <f ca="1">IF($A31="","",NumList())</f>
        <v>1.1.1.3</v>
      </c>
      <c r="C31" s="61" t="s">
        <v>58</v>
      </c>
      <c r="D31" s="55">
        <f t="shared" ref="D31:D93" si="3">IF(ISTEXT(G31),1,0)</f>
        <v>1</v>
      </c>
      <c r="E31" s="55"/>
      <c r="F31" s="55">
        <f t="shared" ca="1" si="1"/>
        <v>15</v>
      </c>
      <c r="G31" s="51" t="s">
        <v>6</v>
      </c>
      <c r="H31" s="78">
        <f t="shared" ca="1" si="2"/>
        <v>13</v>
      </c>
      <c r="I31" s="53">
        <f t="shared" ca="1" si="0"/>
        <v>195</v>
      </c>
      <c r="J31" s="58"/>
      <c r="K31" s="58"/>
    </row>
    <row r="32" spans="1:11" s="41" customFormat="1" ht="15">
      <c r="A32" s="50">
        <v>3</v>
      </c>
      <c r="B32" s="51" t="str">
        <f ca="1">IF($A32="","",NumList())</f>
        <v>1.1.2</v>
      </c>
      <c r="C32" s="61" t="s">
        <v>22</v>
      </c>
      <c r="D32" s="55">
        <f t="shared" si="3"/>
        <v>0</v>
      </c>
      <c r="E32" s="55"/>
      <c r="F32" s="55">
        <f t="shared" ca="1" si="1"/>
        <v>0</v>
      </c>
      <c r="G32" s="51"/>
      <c r="H32" s="78">
        <f t="shared" ca="1" si="2"/>
        <v>0</v>
      </c>
      <c r="I32" s="53">
        <f t="shared" ca="1" si="0"/>
        <v>0</v>
      </c>
      <c r="J32" s="58"/>
      <c r="K32" s="58"/>
    </row>
    <row r="33" spans="1:11" s="41" customFormat="1" ht="15">
      <c r="A33" s="50">
        <v>4</v>
      </c>
      <c r="B33" s="51" t="str">
        <f ca="1">IF($A33="","",NumList())</f>
        <v>1.1.2.1</v>
      </c>
      <c r="C33" s="61" t="s">
        <v>56</v>
      </c>
      <c r="D33" s="55">
        <f t="shared" si="3"/>
        <v>1</v>
      </c>
      <c r="E33" s="55"/>
      <c r="F33" s="55">
        <f t="shared" ca="1" si="1"/>
        <v>16</v>
      </c>
      <c r="G33" s="51" t="s">
        <v>6</v>
      </c>
      <c r="H33" s="78">
        <f t="shared" ca="1" si="2"/>
        <v>88</v>
      </c>
      <c r="I33" s="53">
        <f t="shared" ca="1" si="0"/>
        <v>1408</v>
      </c>
      <c r="J33" s="58"/>
      <c r="K33" s="58"/>
    </row>
    <row r="34" spans="1:11" s="41" customFormat="1" ht="15">
      <c r="A34" s="50">
        <v>4</v>
      </c>
      <c r="B34" s="51" t="str">
        <f ca="1">IF($A34="","",NumList())</f>
        <v>1.1.2.2</v>
      </c>
      <c r="C34" s="61" t="s">
        <v>57</v>
      </c>
      <c r="D34" s="55">
        <f t="shared" si="3"/>
        <v>1</v>
      </c>
      <c r="E34" s="55"/>
      <c r="F34" s="55">
        <f t="shared" ca="1" si="1"/>
        <v>29</v>
      </c>
      <c r="G34" s="51" t="s">
        <v>6</v>
      </c>
      <c r="H34" s="78">
        <f t="shared" ca="1" si="2"/>
        <v>83</v>
      </c>
      <c r="I34" s="53">
        <f t="shared" ca="1" si="0"/>
        <v>2407</v>
      </c>
      <c r="J34" s="58"/>
      <c r="K34" s="58"/>
    </row>
    <row r="35" spans="1:11" s="41" customFormat="1" ht="15">
      <c r="A35" s="50">
        <v>4</v>
      </c>
      <c r="B35" s="51" t="str">
        <f ca="1">IF($A35="","",NumList())</f>
        <v>1.1.2.3</v>
      </c>
      <c r="C35" s="61" t="s">
        <v>58</v>
      </c>
      <c r="D35" s="55">
        <f t="shared" si="3"/>
        <v>1</v>
      </c>
      <c r="E35" s="55"/>
      <c r="F35" s="55">
        <f t="shared" ca="1" si="1"/>
        <v>12</v>
      </c>
      <c r="G35" s="51" t="s">
        <v>6</v>
      </c>
      <c r="H35" s="78">
        <f t="shared" ca="1" si="2"/>
        <v>90</v>
      </c>
      <c r="I35" s="53">
        <f t="shared" ca="1" si="0"/>
        <v>1080</v>
      </c>
      <c r="J35" s="58"/>
      <c r="K35" s="58"/>
    </row>
    <row r="36" spans="1:11" s="41" customFormat="1" ht="15">
      <c r="A36" s="50">
        <v>3</v>
      </c>
      <c r="B36" s="51" t="str">
        <f ca="1">IF($A36="","",NumList())</f>
        <v>1.1.3</v>
      </c>
      <c r="C36" s="61" t="s">
        <v>34</v>
      </c>
      <c r="D36" s="55">
        <f t="shared" si="3"/>
        <v>0</v>
      </c>
      <c r="E36" s="55"/>
      <c r="F36" s="55">
        <f t="shared" ca="1" si="1"/>
        <v>0</v>
      </c>
      <c r="G36" s="51"/>
      <c r="H36" s="78">
        <f t="shared" ca="1" si="2"/>
        <v>0</v>
      </c>
      <c r="I36" s="53">
        <f t="shared" ca="1" si="0"/>
        <v>0</v>
      </c>
      <c r="J36" s="58"/>
      <c r="K36" s="58"/>
    </row>
    <row r="37" spans="1:11" s="41" customFormat="1" ht="15">
      <c r="A37" s="50">
        <v>4</v>
      </c>
      <c r="B37" s="51" t="str">
        <f ca="1">IF($A37="","",NumList())</f>
        <v>1.1.3.1</v>
      </c>
      <c r="C37" s="61" t="s">
        <v>56</v>
      </c>
      <c r="D37" s="55">
        <f t="shared" si="3"/>
        <v>1</v>
      </c>
      <c r="E37" s="55"/>
      <c r="F37" s="55">
        <f t="shared" ca="1" si="1"/>
        <v>5</v>
      </c>
      <c r="G37" s="51" t="s">
        <v>6</v>
      </c>
      <c r="H37" s="78">
        <f t="shared" ca="1" si="2"/>
        <v>33</v>
      </c>
      <c r="I37" s="53">
        <f t="shared" ca="1" si="0"/>
        <v>165</v>
      </c>
      <c r="J37" s="58"/>
      <c r="K37" s="58"/>
    </row>
    <row r="38" spans="1:11" s="41" customFormat="1" ht="15">
      <c r="A38" s="50">
        <v>4</v>
      </c>
      <c r="B38" s="51" t="str">
        <f ca="1">IF($A38="","",NumList())</f>
        <v>1.1.3.2</v>
      </c>
      <c r="C38" s="61" t="s">
        <v>57</v>
      </c>
      <c r="D38" s="55">
        <f t="shared" si="3"/>
        <v>1</v>
      </c>
      <c r="E38" s="55"/>
      <c r="F38" s="55">
        <f t="shared" ca="1" si="1"/>
        <v>3</v>
      </c>
      <c r="G38" s="51" t="s">
        <v>6</v>
      </c>
      <c r="H38" s="78">
        <f t="shared" ca="1" si="2"/>
        <v>50</v>
      </c>
      <c r="I38" s="53">
        <f t="shared" ca="1" si="0"/>
        <v>150</v>
      </c>
      <c r="J38" s="58"/>
      <c r="K38" s="58"/>
    </row>
    <row r="39" spans="1:11" s="41" customFormat="1" ht="15">
      <c r="A39" s="50">
        <v>4</v>
      </c>
      <c r="B39" s="51" t="str">
        <f ca="1">IF($A39="","",NumList())</f>
        <v>1.1.3.3</v>
      </c>
      <c r="C39" s="61" t="s">
        <v>58</v>
      </c>
      <c r="D39" s="55">
        <f t="shared" si="3"/>
        <v>1</v>
      </c>
      <c r="E39" s="55"/>
      <c r="F39" s="55">
        <f t="shared" ca="1" si="1"/>
        <v>54</v>
      </c>
      <c r="G39" s="51" t="s">
        <v>6</v>
      </c>
      <c r="H39" s="78">
        <f t="shared" ca="1" si="2"/>
        <v>64</v>
      </c>
      <c r="I39" s="53">
        <f t="shared" ca="1" si="0"/>
        <v>3456</v>
      </c>
      <c r="J39" s="58"/>
      <c r="K39" s="58"/>
    </row>
    <row r="40" spans="1:11" s="41" customFormat="1" ht="15">
      <c r="A40" s="50">
        <v>3</v>
      </c>
      <c r="B40" s="51" t="str">
        <f ca="1">IF($A40="","",NumList())</f>
        <v>1.1.4</v>
      </c>
      <c r="C40" s="61" t="s">
        <v>35</v>
      </c>
      <c r="D40" s="55">
        <f t="shared" si="3"/>
        <v>0</v>
      </c>
      <c r="E40" s="55"/>
      <c r="F40" s="55">
        <f t="shared" ca="1" si="1"/>
        <v>0</v>
      </c>
      <c r="G40" s="51"/>
      <c r="H40" s="78">
        <f t="shared" ca="1" si="2"/>
        <v>0</v>
      </c>
      <c r="I40" s="53">
        <f t="shared" ca="1" si="0"/>
        <v>0</v>
      </c>
      <c r="J40" s="58"/>
      <c r="K40" s="58"/>
    </row>
    <row r="41" spans="1:11" s="41" customFormat="1" ht="15">
      <c r="A41" s="50">
        <v>4</v>
      </c>
      <c r="B41" s="51" t="str">
        <f ca="1">IF($A41="","",NumList())</f>
        <v>1.1.4.1</v>
      </c>
      <c r="C41" s="61" t="s">
        <v>56</v>
      </c>
      <c r="D41" s="55">
        <f t="shared" si="3"/>
        <v>1</v>
      </c>
      <c r="E41" s="55"/>
      <c r="F41" s="55">
        <f t="shared" ca="1" si="1"/>
        <v>59</v>
      </c>
      <c r="G41" s="51" t="s">
        <v>6</v>
      </c>
      <c r="H41" s="78">
        <f t="shared" ca="1" si="2"/>
        <v>93</v>
      </c>
      <c r="I41" s="53">
        <f t="shared" ca="1" si="0"/>
        <v>5487</v>
      </c>
      <c r="J41" s="58"/>
      <c r="K41" s="58"/>
    </row>
    <row r="42" spans="1:11" s="41" customFormat="1" ht="15">
      <c r="A42" s="50">
        <v>4</v>
      </c>
      <c r="B42" s="51" t="str">
        <f ca="1">IF($A42="","",NumList())</f>
        <v>1.1.4.2</v>
      </c>
      <c r="C42" s="61" t="s">
        <v>57</v>
      </c>
      <c r="D42" s="55">
        <f t="shared" si="3"/>
        <v>1</v>
      </c>
      <c r="E42" s="55"/>
      <c r="F42" s="55">
        <f t="shared" ca="1" si="1"/>
        <v>48</v>
      </c>
      <c r="G42" s="51" t="s">
        <v>6</v>
      </c>
      <c r="H42" s="78">
        <f t="shared" ca="1" si="2"/>
        <v>13</v>
      </c>
      <c r="I42" s="53">
        <f t="shared" ca="1" si="0"/>
        <v>624</v>
      </c>
      <c r="J42" s="58"/>
      <c r="K42" s="58"/>
    </row>
    <row r="43" spans="1:11" s="41" customFormat="1" ht="15">
      <c r="A43" s="50">
        <v>4</v>
      </c>
      <c r="B43" s="51" t="str">
        <f ca="1">IF($A43="","",NumList())</f>
        <v>1.1.4.3</v>
      </c>
      <c r="C43" s="61" t="s">
        <v>58</v>
      </c>
      <c r="D43" s="55">
        <f t="shared" si="3"/>
        <v>1</v>
      </c>
      <c r="E43" s="55"/>
      <c r="F43" s="55">
        <f t="shared" ca="1" si="1"/>
        <v>46</v>
      </c>
      <c r="G43" s="51" t="s">
        <v>6</v>
      </c>
      <c r="H43" s="78">
        <f t="shared" ca="1" si="2"/>
        <v>66</v>
      </c>
      <c r="I43" s="53">
        <f t="shared" ca="1" si="0"/>
        <v>3036</v>
      </c>
      <c r="J43" s="58"/>
      <c r="K43" s="58"/>
    </row>
    <row r="44" spans="1:11" s="41" customFormat="1" ht="15">
      <c r="A44" s="50" t="s">
        <v>516</v>
      </c>
      <c r="B44" s="51" t="str">
        <f>IF($A44="","",NumList())</f>
        <v/>
      </c>
      <c r="C44" s="54"/>
      <c r="D44" s="55">
        <f t="shared" si="3"/>
        <v>0</v>
      </c>
      <c r="E44" s="55"/>
      <c r="F44" s="55">
        <f t="shared" ca="1" si="1"/>
        <v>0</v>
      </c>
      <c r="G44" s="51"/>
      <c r="H44" s="78">
        <f t="shared" ca="1" si="2"/>
        <v>0</v>
      </c>
      <c r="I44" s="53">
        <f t="shared" ca="1" si="0"/>
        <v>0</v>
      </c>
      <c r="J44" s="58"/>
      <c r="K44" s="58"/>
    </row>
    <row r="45" spans="1:11" s="41" customFormat="1" ht="15">
      <c r="A45" s="50">
        <v>2</v>
      </c>
      <c r="B45" s="51" t="str">
        <f ca="1">IF($A45="","",NumList())</f>
        <v>1.2</v>
      </c>
      <c r="C45" s="61" t="s">
        <v>390</v>
      </c>
      <c r="D45" s="55">
        <f t="shared" si="3"/>
        <v>0</v>
      </c>
      <c r="E45" s="55"/>
      <c r="F45" s="55">
        <f t="shared" ca="1" si="1"/>
        <v>0</v>
      </c>
      <c r="G45" s="51"/>
      <c r="H45" s="78">
        <f t="shared" ca="1" si="2"/>
        <v>0</v>
      </c>
      <c r="I45" s="53">
        <f t="shared" ca="1" si="0"/>
        <v>0</v>
      </c>
      <c r="J45" s="58"/>
      <c r="K45" s="58"/>
    </row>
    <row r="46" spans="1:11" s="41" customFormat="1" ht="15">
      <c r="A46" s="50">
        <v>3</v>
      </c>
      <c r="B46" s="51" t="str">
        <f ca="1">IF($A46="","",NumList())</f>
        <v>1.2.1</v>
      </c>
      <c r="C46" s="61" t="s">
        <v>14</v>
      </c>
      <c r="D46" s="55">
        <f t="shared" si="3"/>
        <v>0</v>
      </c>
      <c r="E46" s="55"/>
      <c r="F46" s="55">
        <f t="shared" ca="1" si="1"/>
        <v>0</v>
      </c>
      <c r="G46" s="51"/>
      <c r="H46" s="78">
        <f t="shared" ca="1" si="2"/>
        <v>0</v>
      </c>
      <c r="I46" s="53">
        <f t="shared" ca="1" si="0"/>
        <v>0</v>
      </c>
      <c r="J46" s="58"/>
      <c r="K46" s="58"/>
    </row>
    <row r="47" spans="1:11" s="41" customFormat="1" ht="15">
      <c r="A47" s="50">
        <v>4</v>
      </c>
      <c r="B47" s="51" t="str">
        <f ca="1">IF($A47="","",NumList())</f>
        <v>1.2.1.1</v>
      </c>
      <c r="C47" s="61" t="s">
        <v>56</v>
      </c>
      <c r="D47" s="55">
        <f t="shared" si="3"/>
        <v>1</v>
      </c>
      <c r="E47" s="55"/>
      <c r="F47" s="55">
        <f t="shared" ca="1" si="1"/>
        <v>31</v>
      </c>
      <c r="G47" s="51" t="s">
        <v>6</v>
      </c>
      <c r="H47" s="78">
        <f t="shared" ca="1" si="2"/>
        <v>23</v>
      </c>
      <c r="I47" s="53">
        <f t="shared" ca="1" si="0"/>
        <v>713</v>
      </c>
      <c r="J47" s="58"/>
      <c r="K47" s="58"/>
    </row>
    <row r="48" spans="1:11" s="41" customFormat="1" ht="15">
      <c r="A48" s="50">
        <v>4</v>
      </c>
      <c r="B48" s="51" t="str">
        <f ca="1">IF($A48="","",NumList())</f>
        <v>1.2.1.2</v>
      </c>
      <c r="C48" s="61" t="s">
        <v>57</v>
      </c>
      <c r="D48" s="55">
        <f t="shared" si="3"/>
        <v>1</v>
      </c>
      <c r="E48" s="55"/>
      <c r="F48" s="55">
        <f t="shared" ca="1" si="1"/>
        <v>15</v>
      </c>
      <c r="G48" s="51" t="s">
        <v>6</v>
      </c>
      <c r="H48" s="78">
        <f t="shared" ca="1" si="2"/>
        <v>36</v>
      </c>
      <c r="I48" s="53">
        <f t="shared" ca="1" si="0"/>
        <v>540</v>
      </c>
      <c r="J48" s="58"/>
      <c r="K48" s="58"/>
    </row>
    <row r="49" spans="1:11" s="41" customFormat="1" ht="15">
      <c r="A49" s="50">
        <v>4</v>
      </c>
      <c r="B49" s="51" t="str">
        <f ca="1">IF($A49="","",NumList())</f>
        <v>1.2.1.3</v>
      </c>
      <c r="C49" s="61" t="s">
        <v>58</v>
      </c>
      <c r="D49" s="55">
        <f t="shared" si="3"/>
        <v>1</v>
      </c>
      <c r="E49" s="55"/>
      <c r="F49" s="55">
        <f t="shared" ca="1" si="1"/>
        <v>85</v>
      </c>
      <c r="G49" s="51" t="s">
        <v>6</v>
      </c>
      <c r="H49" s="78">
        <f t="shared" ca="1" si="2"/>
        <v>63</v>
      </c>
      <c r="I49" s="53">
        <f t="shared" ca="1" si="0"/>
        <v>5355</v>
      </c>
      <c r="J49" s="58"/>
      <c r="K49" s="58"/>
    </row>
    <row r="50" spans="1:11" s="41" customFormat="1" ht="15">
      <c r="A50" s="50">
        <v>3</v>
      </c>
      <c r="B50" s="51" t="str">
        <f ca="1">IF($A50="","",NumList())</f>
        <v>1.2.2</v>
      </c>
      <c r="C50" s="61" t="s">
        <v>22</v>
      </c>
      <c r="D50" s="55">
        <f t="shared" si="3"/>
        <v>0</v>
      </c>
      <c r="E50" s="55"/>
      <c r="F50" s="55">
        <f t="shared" ca="1" si="1"/>
        <v>0</v>
      </c>
      <c r="G50" s="51"/>
      <c r="H50" s="78">
        <f t="shared" ca="1" si="2"/>
        <v>0</v>
      </c>
      <c r="I50" s="53">
        <f t="shared" ca="1" si="0"/>
        <v>0</v>
      </c>
      <c r="J50" s="58"/>
      <c r="K50" s="58"/>
    </row>
    <row r="51" spans="1:11" s="41" customFormat="1" ht="15">
      <c r="A51" s="50">
        <v>4</v>
      </c>
      <c r="B51" s="51" t="str">
        <f ca="1">IF($A51="","",NumList())</f>
        <v>1.2.2.1</v>
      </c>
      <c r="C51" s="61" t="s">
        <v>56</v>
      </c>
      <c r="D51" s="55">
        <f t="shared" si="3"/>
        <v>1</v>
      </c>
      <c r="E51" s="55"/>
      <c r="F51" s="55">
        <f t="shared" ca="1" si="1"/>
        <v>66</v>
      </c>
      <c r="G51" s="51" t="s">
        <v>6</v>
      </c>
      <c r="H51" s="78">
        <f t="shared" ca="1" si="2"/>
        <v>71</v>
      </c>
      <c r="I51" s="53">
        <f t="shared" ca="1" si="0"/>
        <v>4686</v>
      </c>
      <c r="J51" s="58"/>
      <c r="K51" s="58"/>
    </row>
    <row r="52" spans="1:11" s="41" customFormat="1" ht="15">
      <c r="A52" s="50">
        <v>4</v>
      </c>
      <c r="B52" s="51" t="str">
        <f ca="1">IF($A52="","",NumList())</f>
        <v>1.2.2.2</v>
      </c>
      <c r="C52" s="61" t="s">
        <v>57</v>
      </c>
      <c r="D52" s="55">
        <f t="shared" si="3"/>
        <v>1</v>
      </c>
      <c r="E52" s="55"/>
      <c r="F52" s="55">
        <f t="shared" ca="1" si="1"/>
        <v>13</v>
      </c>
      <c r="G52" s="51" t="s">
        <v>6</v>
      </c>
      <c r="H52" s="78">
        <f t="shared" ca="1" si="2"/>
        <v>36</v>
      </c>
      <c r="I52" s="53">
        <f t="shared" ca="1" si="0"/>
        <v>468</v>
      </c>
      <c r="J52" s="58"/>
      <c r="K52" s="58"/>
    </row>
    <row r="53" spans="1:11" s="41" customFormat="1" ht="15">
      <c r="A53" s="50">
        <v>4</v>
      </c>
      <c r="B53" s="51" t="str">
        <f ca="1">IF($A53="","",NumList())</f>
        <v>1.2.2.3</v>
      </c>
      <c r="C53" s="61" t="s">
        <v>58</v>
      </c>
      <c r="D53" s="55">
        <f t="shared" si="3"/>
        <v>1</v>
      </c>
      <c r="E53" s="55"/>
      <c r="F53" s="55">
        <f t="shared" ca="1" si="1"/>
        <v>68</v>
      </c>
      <c r="G53" s="51" t="s">
        <v>6</v>
      </c>
      <c r="H53" s="78">
        <f t="shared" ca="1" si="2"/>
        <v>91</v>
      </c>
      <c r="I53" s="53">
        <f t="shared" ca="1" si="0"/>
        <v>6188</v>
      </c>
      <c r="J53" s="58"/>
      <c r="K53" s="58"/>
    </row>
    <row r="54" spans="1:11" s="41" customFormat="1" ht="15">
      <c r="A54" s="50">
        <v>3</v>
      </c>
      <c r="B54" s="51" t="str">
        <f ca="1">IF($A54="","",NumList())</f>
        <v>1.2.3</v>
      </c>
      <c r="C54" s="61" t="s">
        <v>34</v>
      </c>
      <c r="D54" s="55">
        <f t="shared" si="3"/>
        <v>0</v>
      </c>
      <c r="E54" s="55"/>
      <c r="F54" s="55">
        <f t="shared" ca="1" si="1"/>
        <v>0</v>
      </c>
      <c r="G54" s="51"/>
      <c r="H54" s="78">
        <f t="shared" ca="1" si="2"/>
        <v>0</v>
      </c>
      <c r="I54" s="53">
        <f t="shared" ca="1" si="0"/>
        <v>0</v>
      </c>
      <c r="J54" s="58"/>
      <c r="K54" s="58"/>
    </row>
    <row r="55" spans="1:11" s="41" customFormat="1" ht="15">
      <c r="A55" s="50">
        <v>4</v>
      </c>
      <c r="B55" s="51" t="str">
        <f ca="1">IF($A55="","",NumList())</f>
        <v>1.2.3.1</v>
      </c>
      <c r="C55" s="61" t="s">
        <v>56</v>
      </c>
      <c r="D55" s="55">
        <f t="shared" si="3"/>
        <v>1</v>
      </c>
      <c r="E55" s="55"/>
      <c r="F55" s="55">
        <f t="shared" ca="1" si="1"/>
        <v>27</v>
      </c>
      <c r="G55" s="51" t="s">
        <v>6</v>
      </c>
      <c r="H55" s="78">
        <f t="shared" ca="1" si="2"/>
        <v>71</v>
      </c>
      <c r="I55" s="53">
        <f t="shared" ca="1" si="0"/>
        <v>1917</v>
      </c>
      <c r="J55" s="58"/>
      <c r="K55" s="58"/>
    </row>
    <row r="56" spans="1:11" s="41" customFormat="1" ht="15">
      <c r="A56" s="50">
        <v>4</v>
      </c>
      <c r="B56" s="51" t="str">
        <f ca="1">IF($A56="","",NumList())</f>
        <v>1.2.3.2</v>
      </c>
      <c r="C56" s="61" t="s">
        <v>57</v>
      </c>
      <c r="D56" s="55">
        <f t="shared" si="3"/>
        <v>1</v>
      </c>
      <c r="E56" s="55"/>
      <c r="F56" s="55">
        <f t="shared" ca="1" si="1"/>
        <v>60</v>
      </c>
      <c r="G56" s="51" t="s">
        <v>6</v>
      </c>
      <c r="H56" s="78">
        <f t="shared" ca="1" si="2"/>
        <v>79</v>
      </c>
      <c r="I56" s="53">
        <f t="shared" ca="1" si="0"/>
        <v>4740</v>
      </c>
      <c r="J56" s="58"/>
      <c r="K56" s="58"/>
    </row>
    <row r="57" spans="1:11" s="41" customFormat="1" ht="15">
      <c r="A57" s="50">
        <v>4</v>
      </c>
      <c r="B57" s="51" t="str">
        <f ca="1">IF($A57="","",NumList())</f>
        <v>1.2.3.3</v>
      </c>
      <c r="C57" s="61" t="s">
        <v>58</v>
      </c>
      <c r="D57" s="55">
        <f t="shared" si="3"/>
        <v>1</v>
      </c>
      <c r="E57" s="55"/>
      <c r="F57" s="55">
        <f t="shared" ca="1" si="1"/>
        <v>89</v>
      </c>
      <c r="G57" s="51" t="s">
        <v>6</v>
      </c>
      <c r="H57" s="78">
        <f t="shared" ca="1" si="2"/>
        <v>80</v>
      </c>
      <c r="I57" s="53">
        <f t="shared" ca="1" si="0"/>
        <v>7120</v>
      </c>
      <c r="J57" s="58"/>
      <c r="K57" s="58"/>
    </row>
    <row r="58" spans="1:11" s="41" customFormat="1" ht="15">
      <c r="A58" s="50">
        <v>3</v>
      </c>
      <c r="B58" s="51" t="str">
        <f ca="1">IF($A58="","",NumList())</f>
        <v>1.2.4</v>
      </c>
      <c r="C58" s="61" t="s">
        <v>35</v>
      </c>
      <c r="D58" s="55">
        <f t="shared" si="3"/>
        <v>0</v>
      </c>
      <c r="E58" s="55"/>
      <c r="F58" s="55">
        <f t="shared" ca="1" si="1"/>
        <v>0</v>
      </c>
      <c r="G58" s="51"/>
      <c r="H58" s="78">
        <f t="shared" ca="1" si="2"/>
        <v>0</v>
      </c>
      <c r="I58" s="53">
        <f t="shared" ca="1" si="0"/>
        <v>0</v>
      </c>
      <c r="J58" s="58"/>
      <c r="K58" s="58"/>
    </row>
    <row r="59" spans="1:11" s="41" customFormat="1" ht="15">
      <c r="A59" s="50">
        <v>4</v>
      </c>
      <c r="B59" s="51" t="str">
        <f ca="1">IF($A59="","",NumList())</f>
        <v>1.2.4.1</v>
      </c>
      <c r="C59" s="61" t="s">
        <v>56</v>
      </c>
      <c r="D59" s="55">
        <f t="shared" si="3"/>
        <v>1</v>
      </c>
      <c r="E59" s="55"/>
      <c r="F59" s="55">
        <f t="shared" ca="1" si="1"/>
        <v>64</v>
      </c>
      <c r="G59" s="51" t="s">
        <v>6</v>
      </c>
      <c r="H59" s="78">
        <f t="shared" ca="1" si="2"/>
        <v>89</v>
      </c>
      <c r="I59" s="53">
        <f t="shared" ca="1" si="0"/>
        <v>5696</v>
      </c>
      <c r="J59" s="58"/>
      <c r="K59" s="58"/>
    </row>
    <row r="60" spans="1:11" s="41" customFormat="1" ht="15">
      <c r="A60" s="50">
        <v>4</v>
      </c>
      <c r="B60" s="51" t="str">
        <f ca="1">IF($A60="","",NumList())</f>
        <v>1.2.4.2</v>
      </c>
      <c r="C60" s="61" t="s">
        <v>57</v>
      </c>
      <c r="D60" s="55">
        <f t="shared" si="3"/>
        <v>1</v>
      </c>
      <c r="E60" s="55"/>
      <c r="F60" s="55">
        <f t="shared" ca="1" si="1"/>
        <v>19</v>
      </c>
      <c r="G60" s="51" t="s">
        <v>6</v>
      </c>
      <c r="H60" s="78">
        <f t="shared" ca="1" si="2"/>
        <v>26</v>
      </c>
      <c r="I60" s="53">
        <f t="shared" ca="1" si="0"/>
        <v>494</v>
      </c>
      <c r="J60" s="58"/>
      <c r="K60" s="58"/>
    </row>
    <row r="61" spans="1:11" s="41" customFormat="1" ht="15">
      <c r="A61" s="50">
        <v>4</v>
      </c>
      <c r="B61" s="51" t="str">
        <f ca="1">IF($A61="","",NumList())</f>
        <v>1.2.4.3</v>
      </c>
      <c r="C61" s="61" t="s">
        <v>58</v>
      </c>
      <c r="D61" s="55">
        <f t="shared" si="3"/>
        <v>1</v>
      </c>
      <c r="E61" s="55"/>
      <c r="F61" s="55">
        <f t="shared" ca="1" si="1"/>
        <v>61</v>
      </c>
      <c r="G61" s="51" t="s">
        <v>6</v>
      </c>
      <c r="H61" s="78">
        <f t="shared" ca="1" si="2"/>
        <v>96</v>
      </c>
      <c r="I61" s="53">
        <f t="shared" ca="1" si="0"/>
        <v>5856</v>
      </c>
      <c r="J61" s="58"/>
      <c r="K61" s="58"/>
    </row>
    <row r="62" spans="1:11" s="41" customFormat="1" ht="15">
      <c r="A62" s="50" t="s">
        <v>516</v>
      </c>
      <c r="B62" s="51" t="str">
        <f>IF($A62="","",NumList())</f>
        <v/>
      </c>
      <c r="C62" s="54"/>
      <c r="D62" s="55">
        <f t="shared" si="3"/>
        <v>0</v>
      </c>
      <c r="E62" s="55"/>
      <c r="F62" s="55">
        <f t="shared" ca="1" si="1"/>
        <v>0</v>
      </c>
      <c r="G62" s="51"/>
      <c r="H62" s="78">
        <f t="shared" ca="1" si="2"/>
        <v>0</v>
      </c>
      <c r="I62" s="53">
        <f t="shared" ca="1" si="0"/>
        <v>0</v>
      </c>
      <c r="J62" s="58"/>
      <c r="K62" s="58"/>
    </row>
    <row r="63" spans="1:11" s="41" customFormat="1" ht="15">
      <c r="A63" s="50">
        <v>2</v>
      </c>
      <c r="B63" s="51" t="str">
        <f ca="1">IF($A63="","",NumList())</f>
        <v>1.3</v>
      </c>
      <c r="C63" s="61" t="s">
        <v>391</v>
      </c>
      <c r="D63" s="55">
        <f t="shared" si="3"/>
        <v>0</v>
      </c>
      <c r="E63" s="55"/>
      <c r="F63" s="55">
        <f t="shared" ca="1" si="1"/>
        <v>0</v>
      </c>
      <c r="G63" s="51"/>
      <c r="H63" s="78">
        <f t="shared" ca="1" si="2"/>
        <v>0</v>
      </c>
      <c r="I63" s="53">
        <f t="shared" ca="1" si="0"/>
        <v>0</v>
      </c>
      <c r="J63" s="58"/>
      <c r="K63" s="58"/>
    </row>
    <row r="64" spans="1:11" s="41" customFormat="1" ht="15">
      <c r="A64" s="50">
        <v>3</v>
      </c>
      <c r="B64" s="51" t="str">
        <f ca="1">IF($A64="","",NumList())</f>
        <v>1.3.1</v>
      </c>
      <c r="C64" s="61" t="s">
        <v>14</v>
      </c>
      <c r="D64" s="55">
        <f t="shared" si="3"/>
        <v>0</v>
      </c>
      <c r="E64" s="55"/>
      <c r="F64" s="55">
        <f t="shared" ca="1" si="1"/>
        <v>0</v>
      </c>
      <c r="G64" s="51"/>
      <c r="H64" s="78">
        <f t="shared" ca="1" si="2"/>
        <v>0</v>
      </c>
      <c r="I64" s="53">
        <f t="shared" ca="1" si="0"/>
        <v>0</v>
      </c>
      <c r="J64" s="58"/>
      <c r="K64" s="58"/>
    </row>
    <row r="65" spans="1:11" s="41" customFormat="1" ht="15">
      <c r="A65" s="50">
        <v>4</v>
      </c>
      <c r="B65" s="51" t="str">
        <f ca="1">IF($A65="","",NumList())</f>
        <v>1.3.1.1</v>
      </c>
      <c r="C65" s="61" t="s">
        <v>56</v>
      </c>
      <c r="D65" s="55">
        <f t="shared" si="3"/>
        <v>1</v>
      </c>
      <c r="E65" s="55"/>
      <c r="F65" s="55">
        <f t="shared" ca="1" si="1"/>
        <v>98</v>
      </c>
      <c r="G65" s="51" t="s">
        <v>6</v>
      </c>
      <c r="H65" s="78">
        <f t="shared" ca="1" si="2"/>
        <v>56</v>
      </c>
      <c r="I65" s="53">
        <f t="shared" ca="1" si="0"/>
        <v>5488</v>
      </c>
      <c r="J65" s="58"/>
      <c r="K65" s="58"/>
    </row>
    <row r="66" spans="1:11" s="41" customFormat="1" ht="15">
      <c r="A66" s="50">
        <v>4</v>
      </c>
      <c r="B66" s="51" t="str">
        <f ca="1">IF($A66="","",NumList())</f>
        <v>1.3.1.2</v>
      </c>
      <c r="C66" s="61" t="s">
        <v>57</v>
      </c>
      <c r="D66" s="55">
        <f t="shared" si="3"/>
        <v>1</v>
      </c>
      <c r="E66" s="55"/>
      <c r="F66" s="55">
        <f t="shared" ca="1" si="1"/>
        <v>31</v>
      </c>
      <c r="G66" s="51" t="s">
        <v>6</v>
      </c>
      <c r="H66" s="78">
        <f t="shared" ca="1" si="2"/>
        <v>51</v>
      </c>
      <c r="I66" s="53">
        <f t="shared" ca="1" si="0"/>
        <v>1581</v>
      </c>
      <c r="J66" s="58"/>
      <c r="K66" s="58"/>
    </row>
    <row r="67" spans="1:11" s="41" customFormat="1" ht="15">
      <c r="A67" s="50">
        <v>4</v>
      </c>
      <c r="B67" s="51" t="str">
        <f ca="1">IF($A67="","",NumList())</f>
        <v>1.3.1.3</v>
      </c>
      <c r="C67" s="61" t="s">
        <v>58</v>
      </c>
      <c r="D67" s="55">
        <f t="shared" si="3"/>
        <v>1</v>
      </c>
      <c r="E67" s="55"/>
      <c r="F67" s="55">
        <f t="shared" ca="1" si="1"/>
        <v>50</v>
      </c>
      <c r="G67" s="51" t="s">
        <v>6</v>
      </c>
      <c r="H67" s="78">
        <f t="shared" ca="1" si="2"/>
        <v>65</v>
      </c>
      <c r="I67" s="53">
        <f t="shared" ca="1" si="0"/>
        <v>3250</v>
      </c>
      <c r="J67" s="58"/>
      <c r="K67" s="58"/>
    </row>
    <row r="68" spans="1:11" s="41" customFormat="1" ht="15">
      <c r="A68" s="50">
        <v>3</v>
      </c>
      <c r="B68" s="51" t="str">
        <f ca="1">IF($A68="","",NumList())</f>
        <v>1.3.2</v>
      </c>
      <c r="C68" s="61" t="s">
        <v>22</v>
      </c>
      <c r="D68" s="55">
        <f t="shared" si="3"/>
        <v>0</v>
      </c>
      <c r="E68" s="55"/>
      <c r="F68" s="55">
        <f t="shared" ca="1" si="1"/>
        <v>0</v>
      </c>
      <c r="G68" s="51"/>
      <c r="H68" s="78">
        <f t="shared" ca="1" si="2"/>
        <v>0</v>
      </c>
      <c r="I68" s="53">
        <f t="shared" ca="1" si="0"/>
        <v>0</v>
      </c>
      <c r="J68" s="58"/>
      <c r="K68" s="58"/>
    </row>
    <row r="69" spans="1:11" s="41" customFormat="1" ht="15">
      <c r="A69" s="50">
        <v>4</v>
      </c>
      <c r="B69" s="51" t="str">
        <f ca="1">IF($A69="","",NumList())</f>
        <v>1.3.2.1</v>
      </c>
      <c r="C69" s="61" t="s">
        <v>56</v>
      </c>
      <c r="D69" s="55">
        <f t="shared" si="3"/>
        <v>1</v>
      </c>
      <c r="E69" s="55"/>
      <c r="F69" s="55">
        <f t="shared" ca="1" si="1"/>
        <v>95</v>
      </c>
      <c r="G69" s="51" t="s">
        <v>6</v>
      </c>
      <c r="H69" s="78">
        <f t="shared" ca="1" si="2"/>
        <v>100</v>
      </c>
      <c r="I69" s="53">
        <f t="shared" ca="1" si="0"/>
        <v>9500</v>
      </c>
      <c r="J69" s="58"/>
      <c r="K69" s="58"/>
    </row>
    <row r="70" spans="1:11" s="41" customFormat="1" ht="15">
      <c r="A70" s="50">
        <v>4</v>
      </c>
      <c r="B70" s="51" t="str">
        <f ca="1">IF($A70="","",NumList())</f>
        <v>1.3.2.2</v>
      </c>
      <c r="C70" s="61" t="s">
        <v>57</v>
      </c>
      <c r="D70" s="55">
        <f t="shared" si="3"/>
        <v>1</v>
      </c>
      <c r="E70" s="55"/>
      <c r="F70" s="55">
        <f t="shared" ca="1" si="1"/>
        <v>2</v>
      </c>
      <c r="G70" s="51" t="s">
        <v>6</v>
      </c>
      <c r="H70" s="78">
        <f t="shared" ca="1" si="2"/>
        <v>61</v>
      </c>
      <c r="I70" s="53">
        <f t="shared" ca="1" si="0"/>
        <v>122</v>
      </c>
      <c r="J70" s="58"/>
      <c r="K70" s="58"/>
    </row>
    <row r="71" spans="1:11" s="41" customFormat="1" ht="15">
      <c r="A71" s="50">
        <v>4</v>
      </c>
      <c r="B71" s="51" t="str">
        <f ca="1">IF($A71="","",NumList())</f>
        <v>1.3.2.3</v>
      </c>
      <c r="C71" s="61" t="s">
        <v>58</v>
      </c>
      <c r="D71" s="55">
        <f t="shared" si="3"/>
        <v>1</v>
      </c>
      <c r="E71" s="55"/>
      <c r="F71" s="55">
        <f t="shared" ca="1" si="1"/>
        <v>72</v>
      </c>
      <c r="G71" s="51" t="s">
        <v>6</v>
      </c>
      <c r="H71" s="78">
        <f t="shared" ca="1" si="2"/>
        <v>85</v>
      </c>
      <c r="I71" s="53">
        <f t="shared" ca="1" si="0"/>
        <v>6120</v>
      </c>
      <c r="J71" s="58"/>
      <c r="K71" s="58"/>
    </row>
    <row r="72" spans="1:11" s="41" customFormat="1" ht="15">
      <c r="A72" s="50">
        <v>3</v>
      </c>
      <c r="B72" s="51" t="str">
        <f ca="1">IF($A72="","",NumList())</f>
        <v>1.3.3</v>
      </c>
      <c r="C72" s="61" t="s">
        <v>34</v>
      </c>
      <c r="D72" s="55">
        <f t="shared" si="3"/>
        <v>0</v>
      </c>
      <c r="E72" s="55"/>
      <c r="F72" s="55">
        <f t="shared" ca="1" si="1"/>
        <v>0</v>
      </c>
      <c r="G72" s="51"/>
      <c r="H72" s="78">
        <f t="shared" ca="1" si="2"/>
        <v>0</v>
      </c>
      <c r="I72" s="53">
        <f t="shared" ca="1" si="0"/>
        <v>0</v>
      </c>
      <c r="J72" s="58"/>
      <c r="K72" s="58"/>
    </row>
    <row r="73" spans="1:11" s="41" customFormat="1" ht="15">
      <c r="A73" s="50">
        <v>4</v>
      </c>
      <c r="B73" s="51" t="str">
        <f ca="1">IF($A73="","",NumList())</f>
        <v>1.3.3.1</v>
      </c>
      <c r="C73" s="61" t="s">
        <v>56</v>
      </c>
      <c r="D73" s="55">
        <f t="shared" si="3"/>
        <v>1</v>
      </c>
      <c r="E73" s="55"/>
      <c r="F73" s="55">
        <f t="shared" ca="1" si="1"/>
        <v>31</v>
      </c>
      <c r="G73" s="51" t="s">
        <v>6</v>
      </c>
      <c r="H73" s="78">
        <f t="shared" ca="1" si="2"/>
        <v>36</v>
      </c>
      <c r="I73" s="53">
        <f t="shared" ca="1" si="0"/>
        <v>1116</v>
      </c>
      <c r="J73" s="58"/>
      <c r="K73" s="58"/>
    </row>
    <row r="74" spans="1:11" s="41" customFormat="1" ht="15">
      <c r="A74" s="50">
        <v>4</v>
      </c>
      <c r="B74" s="51" t="str">
        <f ca="1">IF($A74="","",NumList())</f>
        <v>1.3.3.2</v>
      </c>
      <c r="C74" s="61" t="s">
        <v>57</v>
      </c>
      <c r="D74" s="55">
        <f t="shared" si="3"/>
        <v>1</v>
      </c>
      <c r="E74" s="55"/>
      <c r="F74" s="55">
        <f t="shared" ca="1" si="1"/>
        <v>62</v>
      </c>
      <c r="G74" s="51" t="s">
        <v>6</v>
      </c>
      <c r="H74" s="78">
        <f t="shared" ca="1" si="2"/>
        <v>84</v>
      </c>
      <c r="I74" s="53">
        <f t="shared" ca="1" si="0"/>
        <v>5208</v>
      </c>
      <c r="J74" s="58"/>
      <c r="K74" s="58"/>
    </row>
    <row r="75" spans="1:11" s="41" customFormat="1" ht="15">
      <c r="A75" s="50">
        <v>4</v>
      </c>
      <c r="B75" s="51" t="str">
        <f ca="1">IF($A75="","",NumList())</f>
        <v>1.3.3.3</v>
      </c>
      <c r="C75" s="61" t="s">
        <v>58</v>
      </c>
      <c r="D75" s="55">
        <f t="shared" si="3"/>
        <v>1</v>
      </c>
      <c r="E75" s="55"/>
      <c r="F75" s="55">
        <f t="shared" ca="1" si="1"/>
        <v>74</v>
      </c>
      <c r="G75" s="51" t="s">
        <v>6</v>
      </c>
      <c r="H75" s="78">
        <f t="shared" ca="1" si="2"/>
        <v>35</v>
      </c>
      <c r="I75" s="53">
        <f t="shared" ca="1" si="0"/>
        <v>2590</v>
      </c>
      <c r="J75" s="58"/>
      <c r="K75" s="58"/>
    </row>
    <row r="76" spans="1:11" s="41" customFormat="1" ht="15">
      <c r="A76" s="50">
        <v>3</v>
      </c>
      <c r="B76" s="51" t="str">
        <f ca="1">IF($A76="","",NumList())</f>
        <v>1.3.4</v>
      </c>
      <c r="C76" s="61" t="s">
        <v>35</v>
      </c>
      <c r="D76" s="55">
        <f t="shared" si="3"/>
        <v>0</v>
      </c>
      <c r="E76" s="55"/>
      <c r="F76" s="55">
        <f t="shared" ca="1" si="1"/>
        <v>0</v>
      </c>
      <c r="G76" s="51"/>
      <c r="H76" s="78">
        <f t="shared" ca="1" si="2"/>
        <v>0</v>
      </c>
      <c r="I76" s="53">
        <f t="shared" ca="1" si="0"/>
        <v>0</v>
      </c>
      <c r="J76" s="58"/>
      <c r="K76" s="58"/>
    </row>
    <row r="77" spans="1:11" s="41" customFormat="1" ht="15">
      <c r="A77" s="50">
        <v>4</v>
      </c>
      <c r="B77" s="51" t="str">
        <f ca="1">IF($A77="","",NumList())</f>
        <v>1.3.4.1</v>
      </c>
      <c r="C77" s="61" t="s">
        <v>56</v>
      </c>
      <c r="D77" s="55">
        <f t="shared" si="3"/>
        <v>1</v>
      </c>
      <c r="E77" s="55"/>
      <c r="F77" s="55">
        <f t="shared" ca="1" si="1"/>
        <v>30</v>
      </c>
      <c r="G77" s="51" t="s">
        <v>6</v>
      </c>
      <c r="H77" s="78">
        <f t="shared" ca="1" si="2"/>
        <v>56</v>
      </c>
      <c r="I77" s="53">
        <f t="shared" ca="1" si="0"/>
        <v>1680</v>
      </c>
      <c r="J77" s="58"/>
      <c r="K77" s="58"/>
    </row>
    <row r="78" spans="1:11" s="41" customFormat="1" ht="15">
      <c r="A78" s="50">
        <v>4</v>
      </c>
      <c r="B78" s="51" t="str">
        <f ca="1">IF($A78="","",NumList())</f>
        <v>1.3.4.2</v>
      </c>
      <c r="C78" s="61" t="s">
        <v>57</v>
      </c>
      <c r="D78" s="55">
        <f t="shared" si="3"/>
        <v>1</v>
      </c>
      <c r="E78" s="55"/>
      <c r="F78" s="55">
        <f t="shared" ca="1" si="1"/>
        <v>34</v>
      </c>
      <c r="G78" s="51" t="s">
        <v>6</v>
      </c>
      <c r="H78" s="78">
        <f t="shared" ca="1" si="2"/>
        <v>78</v>
      </c>
      <c r="I78" s="53">
        <f t="shared" ca="1" si="0"/>
        <v>2652</v>
      </c>
      <c r="J78" s="58"/>
      <c r="K78" s="58"/>
    </row>
    <row r="79" spans="1:11" s="41" customFormat="1" ht="15">
      <c r="A79" s="50">
        <v>4</v>
      </c>
      <c r="B79" s="51" t="str">
        <f ca="1">IF($A79="","",NumList())</f>
        <v>1.3.4.3</v>
      </c>
      <c r="C79" s="61" t="s">
        <v>58</v>
      </c>
      <c r="D79" s="55">
        <f t="shared" si="3"/>
        <v>1</v>
      </c>
      <c r="E79" s="55"/>
      <c r="F79" s="55">
        <f t="shared" ca="1" si="1"/>
        <v>32</v>
      </c>
      <c r="G79" s="51" t="s">
        <v>6</v>
      </c>
      <c r="H79" s="78">
        <f t="shared" ca="1" si="2"/>
        <v>4</v>
      </c>
      <c r="I79" s="53">
        <f t="shared" ca="1" si="0"/>
        <v>128</v>
      </c>
      <c r="J79" s="58"/>
      <c r="K79" s="58"/>
    </row>
    <row r="80" spans="1:11" s="41" customFormat="1" ht="15">
      <c r="A80" s="50" t="s">
        <v>516</v>
      </c>
      <c r="B80" s="51" t="str">
        <f>IF($A80="","",NumList())</f>
        <v/>
      </c>
      <c r="C80" s="61"/>
      <c r="D80" s="55">
        <f t="shared" si="3"/>
        <v>0</v>
      </c>
      <c r="E80" s="55"/>
      <c r="F80" s="55">
        <f t="shared" ca="1" si="1"/>
        <v>0</v>
      </c>
      <c r="G80" s="51"/>
      <c r="H80" s="78">
        <f t="shared" ca="1" si="2"/>
        <v>0</v>
      </c>
      <c r="I80" s="53">
        <f t="shared" ca="1" si="0"/>
        <v>0</v>
      </c>
      <c r="J80" s="58"/>
      <c r="K80" s="58"/>
    </row>
    <row r="81" spans="1:11" s="41" customFormat="1" ht="28.5">
      <c r="A81" s="50">
        <v>2</v>
      </c>
      <c r="B81" s="51" t="str">
        <f ca="1">IF($A81="","",NumList())</f>
        <v>1.4</v>
      </c>
      <c r="C81" s="61" t="s">
        <v>392</v>
      </c>
      <c r="D81" s="55">
        <f t="shared" si="3"/>
        <v>0</v>
      </c>
      <c r="E81" s="55"/>
      <c r="F81" s="55">
        <f t="shared" ca="1" si="1"/>
        <v>0</v>
      </c>
      <c r="G81" s="51"/>
      <c r="H81" s="78">
        <f t="shared" ca="1" si="2"/>
        <v>0</v>
      </c>
      <c r="I81" s="53">
        <f t="shared" ca="1" si="0"/>
        <v>0</v>
      </c>
      <c r="J81" s="58"/>
      <c r="K81" s="58"/>
    </row>
    <row r="82" spans="1:11" s="41" customFormat="1" ht="15">
      <c r="A82" s="50">
        <v>3</v>
      </c>
      <c r="B82" s="51" t="str">
        <f ca="1">IF($A82="","",NumList())</f>
        <v>1.4.1</v>
      </c>
      <c r="C82" s="61" t="s">
        <v>14</v>
      </c>
      <c r="D82" s="55">
        <f t="shared" si="3"/>
        <v>1</v>
      </c>
      <c r="E82" s="55"/>
      <c r="F82" s="55">
        <f t="shared" ca="1" si="1"/>
        <v>32</v>
      </c>
      <c r="G82" s="51" t="s">
        <v>6</v>
      </c>
      <c r="H82" s="78">
        <f t="shared" ca="1" si="2"/>
        <v>82</v>
      </c>
      <c r="I82" s="53">
        <f t="shared" ca="1" si="0"/>
        <v>2624</v>
      </c>
      <c r="J82" s="58"/>
      <c r="K82" s="58"/>
    </row>
    <row r="83" spans="1:11" s="41" customFormat="1" ht="15">
      <c r="A83" s="50">
        <v>3</v>
      </c>
      <c r="B83" s="51" t="str">
        <f ca="1">IF($A83="","",NumList())</f>
        <v>1.4.2</v>
      </c>
      <c r="C83" s="61" t="s">
        <v>22</v>
      </c>
      <c r="D83" s="55">
        <f t="shared" si="3"/>
        <v>1</v>
      </c>
      <c r="E83" s="55"/>
      <c r="F83" s="55">
        <f t="shared" ca="1" si="1"/>
        <v>62</v>
      </c>
      <c r="G83" s="51" t="s">
        <v>6</v>
      </c>
      <c r="H83" s="78">
        <f t="shared" ca="1" si="2"/>
        <v>97</v>
      </c>
      <c r="I83" s="53">
        <f t="shared" ca="1" si="0"/>
        <v>6014</v>
      </c>
      <c r="J83" s="58"/>
      <c r="K83" s="58"/>
    </row>
    <row r="84" spans="1:11" s="41" customFormat="1" ht="15">
      <c r="A84" s="50">
        <v>3</v>
      </c>
      <c r="B84" s="51" t="str">
        <f ca="1">IF($A84="","",NumList())</f>
        <v>1.4.3</v>
      </c>
      <c r="C84" s="61" t="s">
        <v>34</v>
      </c>
      <c r="D84" s="55">
        <f t="shared" si="3"/>
        <v>1</v>
      </c>
      <c r="E84" s="55"/>
      <c r="F84" s="55">
        <f t="shared" ca="1" si="1"/>
        <v>69</v>
      </c>
      <c r="G84" s="51" t="s">
        <v>6</v>
      </c>
      <c r="H84" s="78">
        <f t="shared" ca="1" si="2"/>
        <v>55</v>
      </c>
      <c r="I84" s="53">
        <f t="shared" ca="1" si="0"/>
        <v>3795</v>
      </c>
      <c r="J84" s="58"/>
      <c r="K84" s="58"/>
    </row>
    <row r="85" spans="1:11" s="41" customFormat="1" ht="15">
      <c r="A85" s="50">
        <v>3</v>
      </c>
      <c r="B85" s="51" t="str">
        <f ca="1">IF($A85="","",NumList())</f>
        <v>1.4.4</v>
      </c>
      <c r="C85" s="61" t="s">
        <v>35</v>
      </c>
      <c r="D85" s="55">
        <f t="shared" si="3"/>
        <v>1</v>
      </c>
      <c r="E85" s="55"/>
      <c r="F85" s="55">
        <f t="shared" ca="1" si="1"/>
        <v>91</v>
      </c>
      <c r="G85" s="51" t="s">
        <v>6</v>
      </c>
      <c r="H85" s="78">
        <f t="shared" ca="1" si="2"/>
        <v>22</v>
      </c>
      <c r="I85" s="53">
        <f t="shared" ca="1" si="0"/>
        <v>2002</v>
      </c>
      <c r="J85" s="58"/>
      <c r="K85" s="58"/>
    </row>
    <row r="86" spans="1:11" s="41" customFormat="1" ht="15">
      <c r="A86" s="50" t="s">
        <v>516</v>
      </c>
      <c r="B86" s="51" t="str">
        <f>IF($A86="","",NumList())</f>
        <v/>
      </c>
      <c r="C86" s="61"/>
      <c r="D86" s="55">
        <f t="shared" si="3"/>
        <v>0</v>
      </c>
      <c r="E86" s="55"/>
      <c r="F86" s="55">
        <f t="shared" ca="1" si="1"/>
        <v>0</v>
      </c>
      <c r="G86" s="51"/>
      <c r="H86" s="78">
        <f t="shared" ca="1" si="2"/>
        <v>0</v>
      </c>
      <c r="I86" s="53">
        <f t="shared" ca="1" si="0"/>
        <v>0</v>
      </c>
      <c r="J86" s="58"/>
      <c r="K86" s="58"/>
    </row>
    <row r="87" spans="1:11" s="41" customFormat="1" ht="28.5">
      <c r="A87" s="50">
        <v>2</v>
      </c>
      <c r="B87" s="51" t="str">
        <f ca="1">IF($A87="","",NumList())</f>
        <v>1.5</v>
      </c>
      <c r="C87" s="61" t="s">
        <v>393</v>
      </c>
      <c r="D87" s="55">
        <f t="shared" si="3"/>
        <v>0</v>
      </c>
      <c r="E87" s="55"/>
      <c r="F87" s="55">
        <f t="shared" ca="1" si="1"/>
        <v>0</v>
      </c>
      <c r="G87" s="51"/>
      <c r="H87" s="78">
        <f t="shared" ca="1" si="2"/>
        <v>0</v>
      </c>
      <c r="I87" s="53">
        <f t="shared" ca="1" si="0"/>
        <v>0</v>
      </c>
      <c r="J87" s="58"/>
      <c r="K87" s="58"/>
    </row>
    <row r="88" spans="1:11" s="41" customFormat="1" ht="15">
      <c r="A88" s="50">
        <v>3</v>
      </c>
      <c r="B88" s="51" t="str">
        <f ca="1">IF($A88="","",NumList())</f>
        <v>1.5.1</v>
      </c>
      <c r="C88" s="61" t="s">
        <v>14</v>
      </c>
      <c r="D88" s="55">
        <f t="shared" si="3"/>
        <v>1</v>
      </c>
      <c r="E88" s="55"/>
      <c r="F88" s="55">
        <f t="shared" ca="1" si="1"/>
        <v>21</v>
      </c>
      <c r="G88" s="51" t="s">
        <v>6</v>
      </c>
      <c r="H88" s="78">
        <f t="shared" ca="1" si="2"/>
        <v>35</v>
      </c>
      <c r="I88" s="53">
        <f t="shared" ca="1" si="0"/>
        <v>735</v>
      </c>
      <c r="J88" s="58"/>
      <c r="K88" s="58"/>
    </row>
    <row r="89" spans="1:11" s="41" customFormat="1" ht="15">
      <c r="A89" s="50">
        <v>3</v>
      </c>
      <c r="B89" s="51" t="str">
        <f ca="1">IF($A89="","",NumList())</f>
        <v>1.5.2</v>
      </c>
      <c r="C89" s="61" t="s">
        <v>22</v>
      </c>
      <c r="D89" s="55">
        <f t="shared" si="3"/>
        <v>1</v>
      </c>
      <c r="E89" s="55"/>
      <c r="F89" s="55">
        <f t="shared" ca="1" si="1"/>
        <v>14</v>
      </c>
      <c r="G89" s="51" t="s">
        <v>6</v>
      </c>
      <c r="H89" s="78">
        <f t="shared" ca="1" si="2"/>
        <v>36</v>
      </c>
      <c r="I89" s="53">
        <f t="shared" ref="I89:I152" ca="1" si="4">F89*H89</f>
        <v>504</v>
      </c>
      <c r="J89" s="58"/>
      <c r="K89" s="58"/>
    </row>
    <row r="90" spans="1:11" s="41" customFormat="1" ht="15">
      <c r="A90" s="50">
        <v>3</v>
      </c>
      <c r="B90" s="51" t="str">
        <f ca="1">IF($A90="","",NumList())</f>
        <v>1.5.3</v>
      </c>
      <c r="C90" s="61" t="s">
        <v>34</v>
      </c>
      <c r="D90" s="55">
        <f t="shared" si="3"/>
        <v>1</v>
      </c>
      <c r="E90" s="55"/>
      <c r="F90" s="55">
        <f t="shared" ca="1" si="1"/>
        <v>82</v>
      </c>
      <c r="G90" s="51" t="s">
        <v>6</v>
      </c>
      <c r="H90" s="78">
        <f t="shared" ca="1" si="2"/>
        <v>24</v>
      </c>
      <c r="I90" s="53">
        <f t="shared" ca="1" si="4"/>
        <v>1968</v>
      </c>
      <c r="J90" s="58"/>
      <c r="K90" s="58"/>
    </row>
    <row r="91" spans="1:11" s="41" customFormat="1" ht="15">
      <c r="A91" s="50">
        <v>3</v>
      </c>
      <c r="B91" s="51" t="str">
        <f ca="1">IF($A91="","",NumList())</f>
        <v>1.5.4</v>
      </c>
      <c r="C91" s="61" t="s">
        <v>35</v>
      </c>
      <c r="D91" s="55">
        <f t="shared" si="3"/>
        <v>1</v>
      </c>
      <c r="E91" s="55"/>
      <c r="F91" s="55">
        <f t="shared" ca="1" si="1"/>
        <v>56</v>
      </c>
      <c r="G91" s="51" t="s">
        <v>6</v>
      </c>
      <c r="H91" s="78">
        <f t="shared" ca="1" si="2"/>
        <v>54</v>
      </c>
      <c r="I91" s="53">
        <f t="shared" ca="1" si="4"/>
        <v>3024</v>
      </c>
      <c r="J91" s="58"/>
      <c r="K91" s="58"/>
    </row>
    <row r="92" spans="1:11" s="41" customFormat="1" ht="15">
      <c r="A92" s="50" t="s">
        <v>516</v>
      </c>
      <c r="B92" s="51" t="str">
        <f>IF($A92="","",NumList())</f>
        <v/>
      </c>
      <c r="C92" s="61"/>
      <c r="D92" s="55">
        <f t="shared" si="3"/>
        <v>0</v>
      </c>
      <c r="E92" s="55"/>
      <c r="F92" s="55">
        <f t="shared" ca="1" si="1"/>
        <v>0</v>
      </c>
      <c r="G92" s="51"/>
      <c r="H92" s="78">
        <f t="shared" ca="1" si="2"/>
        <v>0</v>
      </c>
      <c r="I92" s="53">
        <f t="shared" ca="1" si="4"/>
        <v>0</v>
      </c>
      <c r="J92" s="58"/>
      <c r="K92" s="58"/>
    </row>
    <row r="93" spans="1:11" s="41" customFormat="1" ht="28.5">
      <c r="A93" s="50">
        <v>2</v>
      </c>
      <c r="B93" s="51" t="str">
        <f ca="1">IF($A93="","",NumList())</f>
        <v>1.6</v>
      </c>
      <c r="C93" s="61" t="s">
        <v>394</v>
      </c>
      <c r="D93" s="55">
        <f t="shared" si="3"/>
        <v>0</v>
      </c>
      <c r="E93" s="55"/>
      <c r="F93" s="55">
        <f t="shared" ca="1" si="1"/>
        <v>0</v>
      </c>
      <c r="G93" s="51"/>
      <c r="H93" s="78">
        <f t="shared" ca="1" si="2"/>
        <v>0</v>
      </c>
      <c r="I93" s="53">
        <f t="shared" ca="1" si="4"/>
        <v>0</v>
      </c>
      <c r="J93" s="58"/>
      <c r="K93" s="58"/>
    </row>
    <row r="94" spans="1:11" s="41" customFormat="1" ht="15">
      <c r="A94" s="50">
        <v>3</v>
      </c>
      <c r="B94" s="51" t="str">
        <f ca="1">IF($A94="","",NumList())</f>
        <v>1.6.1</v>
      </c>
      <c r="C94" s="61" t="s">
        <v>14</v>
      </c>
      <c r="D94" s="55">
        <f t="shared" ref="D94:D157" si="5">IF(ISTEXT(G94),1,0)</f>
        <v>1</v>
      </c>
      <c r="E94" s="55"/>
      <c r="F94" s="55">
        <f t="shared" ref="F94:F157" ca="1" si="6">IF(ISTEXT(G94),RANDBETWEEN(1,100),0)</f>
        <v>54</v>
      </c>
      <c r="G94" s="51" t="s">
        <v>6</v>
      </c>
      <c r="H94" s="78">
        <f t="shared" ref="H94:H157" ca="1" si="7">IF(ISTEXT(G94),RANDBETWEEN(1,100),0)</f>
        <v>61</v>
      </c>
      <c r="I94" s="53">
        <f t="shared" ca="1" si="4"/>
        <v>3294</v>
      </c>
      <c r="J94" s="58"/>
      <c r="K94" s="58"/>
    </row>
    <row r="95" spans="1:11" s="41" customFormat="1" ht="15">
      <c r="A95" s="50">
        <v>3</v>
      </c>
      <c r="B95" s="51" t="str">
        <f ca="1">IF($A95="","",NumList())</f>
        <v>1.6.2</v>
      </c>
      <c r="C95" s="61" t="s">
        <v>22</v>
      </c>
      <c r="D95" s="55">
        <f t="shared" si="5"/>
        <v>1</v>
      </c>
      <c r="E95" s="55"/>
      <c r="F95" s="55">
        <f t="shared" ca="1" si="6"/>
        <v>89</v>
      </c>
      <c r="G95" s="51" t="s">
        <v>6</v>
      </c>
      <c r="H95" s="78">
        <f t="shared" ca="1" si="7"/>
        <v>30</v>
      </c>
      <c r="I95" s="53">
        <f t="shared" ca="1" si="4"/>
        <v>2670</v>
      </c>
      <c r="J95" s="58"/>
      <c r="K95" s="58"/>
    </row>
    <row r="96" spans="1:11" s="41" customFormat="1" ht="15">
      <c r="A96" s="50">
        <v>3</v>
      </c>
      <c r="B96" s="51" t="str">
        <f ca="1">IF($A96="","",NumList())</f>
        <v>1.6.3</v>
      </c>
      <c r="C96" s="61" t="s">
        <v>34</v>
      </c>
      <c r="D96" s="55">
        <f t="shared" si="5"/>
        <v>1</v>
      </c>
      <c r="E96" s="55"/>
      <c r="F96" s="55">
        <f t="shared" ca="1" si="6"/>
        <v>76</v>
      </c>
      <c r="G96" s="51" t="s">
        <v>6</v>
      </c>
      <c r="H96" s="78">
        <f t="shared" ca="1" si="7"/>
        <v>45</v>
      </c>
      <c r="I96" s="53">
        <f t="shared" ca="1" si="4"/>
        <v>3420</v>
      </c>
      <c r="J96" s="58"/>
      <c r="K96" s="58"/>
    </row>
    <row r="97" spans="1:11" s="41" customFormat="1" ht="15">
      <c r="A97" s="50">
        <v>3</v>
      </c>
      <c r="B97" s="51" t="str">
        <f ca="1">IF($A97="","",NumList())</f>
        <v>1.6.4</v>
      </c>
      <c r="C97" s="61" t="s">
        <v>35</v>
      </c>
      <c r="D97" s="55">
        <f t="shared" si="5"/>
        <v>1</v>
      </c>
      <c r="E97" s="55"/>
      <c r="F97" s="55">
        <f t="shared" ca="1" si="6"/>
        <v>33</v>
      </c>
      <c r="G97" s="51" t="s">
        <v>6</v>
      </c>
      <c r="H97" s="78">
        <f t="shared" ca="1" si="7"/>
        <v>81</v>
      </c>
      <c r="I97" s="53">
        <f t="shared" ca="1" si="4"/>
        <v>2673</v>
      </c>
      <c r="J97" s="58"/>
      <c r="K97" s="58"/>
    </row>
    <row r="98" spans="1:11" s="41" customFormat="1" ht="15">
      <c r="A98" s="50" t="s">
        <v>516</v>
      </c>
      <c r="B98" s="51" t="str">
        <f>IF($A98="","",NumList())</f>
        <v/>
      </c>
      <c r="C98" s="61"/>
      <c r="D98" s="55">
        <f t="shared" si="5"/>
        <v>0</v>
      </c>
      <c r="E98" s="55"/>
      <c r="F98" s="55">
        <f t="shared" ca="1" si="6"/>
        <v>0</v>
      </c>
      <c r="G98" s="51"/>
      <c r="H98" s="78">
        <f t="shared" ca="1" si="7"/>
        <v>0</v>
      </c>
      <c r="I98" s="53">
        <f t="shared" ca="1" si="4"/>
        <v>0</v>
      </c>
      <c r="J98" s="58"/>
      <c r="K98" s="58"/>
    </row>
    <row r="99" spans="1:11" s="41" customFormat="1" ht="15">
      <c r="A99" s="50">
        <v>2</v>
      </c>
      <c r="B99" s="51" t="str">
        <f ca="1">IF($A99="","",NumList())</f>
        <v>1.7</v>
      </c>
      <c r="C99" s="61" t="s">
        <v>395</v>
      </c>
      <c r="D99" s="55">
        <f t="shared" si="5"/>
        <v>0</v>
      </c>
      <c r="E99" s="55"/>
      <c r="F99" s="55">
        <f t="shared" ca="1" si="6"/>
        <v>0</v>
      </c>
      <c r="G99" s="51"/>
      <c r="H99" s="78">
        <f t="shared" ca="1" si="7"/>
        <v>0</v>
      </c>
      <c r="I99" s="53">
        <f t="shared" ca="1" si="4"/>
        <v>0</v>
      </c>
      <c r="J99" s="58"/>
      <c r="K99" s="58"/>
    </row>
    <row r="100" spans="1:11" s="41" customFormat="1" ht="15">
      <c r="A100" s="50">
        <v>3</v>
      </c>
      <c r="B100" s="51" t="str">
        <f ca="1">IF($A100="","",NumList())</f>
        <v>1.7.1</v>
      </c>
      <c r="C100" s="61" t="s">
        <v>14</v>
      </c>
      <c r="D100" s="55">
        <f t="shared" si="5"/>
        <v>1</v>
      </c>
      <c r="E100" s="55"/>
      <c r="F100" s="55">
        <f t="shared" ca="1" si="6"/>
        <v>74</v>
      </c>
      <c r="G100" s="51" t="s">
        <v>6</v>
      </c>
      <c r="H100" s="78">
        <f t="shared" ca="1" si="7"/>
        <v>16</v>
      </c>
      <c r="I100" s="53">
        <f t="shared" ca="1" si="4"/>
        <v>1184</v>
      </c>
      <c r="J100" s="58"/>
      <c r="K100" s="58"/>
    </row>
    <row r="101" spans="1:11" s="41" customFormat="1" ht="15">
      <c r="A101" s="50">
        <v>3</v>
      </c>
      <c r="B101" s="51" t="str">
        <f ca="1">IF($A101="","",NumList())</f>
        <v>1.7.2</v>
      </c>
      <c r="C101" s="61" t="s">
        <v>22</v>
      </c>
      <c r="D101" s="55">
        <f t="shared" si="5"/>
        <v>1</v>
      </c>
      <c r="E101" s="55"/>
      <c r="F101" s="55">
        <f t="shared" ca="1" si="6"/>
        <v>14</v>
      </c>
      <c r="G101" s="51" t="s">
        <v>6</v>
      </c>
      <c r="H101" s="78">
        <f t="shared" ca="1" si="7"/>
        <v>68</v>
      </c>
      <c r="I101" s="53">
        <f t="shared" ca="1" si="4"/>
        <v>952</v>
      </c>
      <c r="J101" s="58"/>
      <c r="K101" s="58"/>
    </row>
    <row r="102" spans="1:11" s="41" customFormat="1" ht="15">
      <c r="A102" s="50">
        <v>3</v>
      </c>
      <c r="B102" s="51" t="str">
        <f ca="1">IF($A102="","",NumList())</f>
        <v>1.7.3</v>
      </c>
      <c r="C102" s="61" t="s">
        <v>34</v>
      </c>
      <c r="D102" s="55">
        <f t="shared" si="5"/>
        <v>1</v>
      </c>
      <c r="E102" s="55"/>
      <c r="F102" s="55">
        <f t="shared" ca="1" si="6"/>
        <v>17</v>
      </c>
      <c r="G102" s="51" t="s">
        <v>6</v>
      </c>
      <c r="H102" s="78">
        <f t="shared" ca="1" si="7"/>
        <v>89</v>
      </c>
      <c r="I102" s="53">
        <f t="shared" ca="1" si="4"/>
        <v>1513</v>
      </c>
      <c r="J102" s="58"/>
      <c r="K102" s="58"/>
    </row>
    <row r="103" spans="1:11" s="41" customFormat="1" ht="15">
      <c r="A103" s="50">
        <v>3</v>
      </c>
      <c r="B103" s="51" t="str">
        <f ca="1">IF($A103="","",NumList())</f>
        <v>1.7.4</v>
      </c>
      <c r="C103" s="61" t="s">
        <v>35</v>
      </c>
      <c r="D103" s="55">
        <f t="shared" si="5"/>
        <v>1</v>
      </c>
      <c r="E103" s="55"/>
      <c r="F103" s="55">
        <f t="shared" ca="1" si="6"/>
        <v>92</v>
      </c>
      <c r="G103" s="51" t="s">
        <v>6</v>
      </c>
      <c r="H103" s="78">
        <f t="shared" ca="1" si="7"/>
        <v>82</v>
      </c>
      <c r="I103" s="53">
        <f t="shared" ca="1" si="4"/>
        <v>7544</v>
      </c>
      <c r="J103" s="58"/>
      <c r="K103" s="58"/>
    </row>
    <row r="104" spans="1:11" s="41" customFormat="1" ht="15">
      <c r="A104" s="50" t="s">
        <v>516</v>
      </c>
      <c r="B104" s="51" t="str">
        <f>IF($A104="","",NumList())</f>
        <v/>
      </c>
      <c r="C104" s="61"/>
      <c r="D104" s="55">
        <f t="shared" si="5"/>
        <v>0</v>
      </c>
      <c r="E104" s="55"/>
      <c r="F104" s="55">
        <f t="shared" ca="1" si="6"/>
        <v>0</v>
      </c>
      <c r="G104" s="51"/>
      <c r="H104" s="78">
        <f t="shared" ca="1" si="7"/>
        <v>0</v>
      </c>
      <c r="I104" s="53">
        <f t="shared" ca="1" si="4"/>
        <v>0</v>
      </c>
      <c r="J104" s="58"/>
      <c r="K104" s="58"/>
    </row>
    <row r="105" spans="1:11" s="41" customFormat="1" ht="15">
      <c r="A105" s="50">
        <v>2</v>
      </c>
      <c r="B105" s="51" t="str">
        <f ca="1">IF($A105="","",NumList())</f>
        <v>1.8</v>
      </c>
      <c r="C105" s="61" t="s">
        <v>396</v>
      </c>
      <c r="D105" s="55">
        <f t="shared" si="5"/>
        <v>0</v>
      </c>
      <c r="E105" s="55"/>
      <c r="F105" s="55">
        <f t="shared" ca="1" si="6"/>
        <v>0</v>
      </c>
      <c r="G105" s="51"/>
      <c r="H105" s="78">
        <f t="shared" ca="1" si="7"/>
        <v>0</v>
      </c>
      <c r="I105" s="53">
        <f t="shared" ca="1" si="4"/>
        <v>0</v>
      </c>
      <c r="J105" s="58"/>
      <c r="K105" s="58"/>
    </row>
    <row r="106" spans="1:11" s="41" customFormat="1" ht="15">
      <c r="A106" s="50">
        <v>3</v>
      </c>
      <c r="B106" s="51" t="str">
        <f ca="1">IF($A106="","",NumList())</f>
        <v>1.8.1</v>
      </c>
      <c r="C106" s="61" t="s">
        <v>22</v>
      </c>
      <c r="D106" s="55">
        <f t="shared" si="5"/>
        <v>1</v>
      </c>
      <c r="E106" s="55"/>
      <c r="F106" s="55">
        <f t="shared" ca="1" si="6"/>
        <v>53</v>
      </c>
      <c r="G106" s="51" t="s">
        <v>8</v>
      </c>
      <c r="H106" s="78">
        <f t="shared" ca="1" si="7"/>
        <v>42</v>
      </c>
      <c r="I106" s="53">
        <f t="shared" ca="1" si="4"/>
        <v>2226</v>
      </c>
      <c r="J106" s="58"/>
      <c r="K106" s="58"/>
    </row>
    <row r="107" spans="1:11" s="41" customFormat="1" ht="15">
      <c r="A107" s="50">
        <v>3</v>
      </c>
      <c r="B107" s="51" t="str">
        <f ca="1">IF($A107="","",NumList())</f>
        <v>1.8.2</v>
      </c>
      <c r="C107" s="61" t="s">
        <v>34</v>
      </c>
      <c r="D107" s="55">
        <f t="shared" si="5"/>
        <v>1</v>
      </c>
      <c r="E107" s="55"/>
      <c r="F107" s="55">
        <f t="shared" ca="1" si="6"/>
        <v>33</v>
      </c>
      <c r="G107" s="51" t="s">
        <v>8</v>
      </c>
      <c r="H107" s="78">
        <f t="shared" ca="1" si="7"/>
        <v>8</v>
      </c>
      <c r="I107" s="53">
        <f t="shared" ca="1" si="4"/>
        <v>264</v>
      </c>
      <c r="J107" s="58"/>
      <c r="K107" s="58"/>
    </row>
    <row r="108" spans="1:11" s="41" customFormat="1" ht="15">
      <c r="A108" s="50" t="s">
        <v>516</v>
      </c>
      <c r="B108" s="51" t="str">
        <f>IF($A108="","",NumList())</f>
        <v/>
      </c>
      <c r="C108" s="61"/>
      <c r="D108" s="55">
        <f t="shared" si="5"/>
        <v>0</v>
      </c>
      <c r="E108" s="55"/>
      <c r="F108" s="55">
        <f t="shared" ca="1" si="6"/>
        <v>0</v>
      </c>
      <c r="G108" s="51"/>
      <c r="H108" s="78">
        <f t="shared" ca="1" si="7"/>
        <v>0</v>
      </c>
      <c r="I108" s="53">
        <f t="shared" ca="1" si="4"/>
        <v>0</v>
      </c>
      <c r="J108" s="58"/>
      <c r="K108" s="58"/>
    </row>
    <row r="109" spans="1:11" s="41" customFormat="1" ht="15">
      <c r="A109" s="50">
        <v>2</v>
      </c>
      <c r="B109" s="51" t="str">
        <f ca="1">IF($A109="","",NumList())</f>
        <v>1.9</v>
      </c>
      <c r="C109" s="61" t="s">
        <v>397</v>
      </c>
      <c r="D109" s="55">
        <f t="shared" si="5"/>
        <v>0</v>
      </c>
      <c r="E109" s="55"/>
      <c r="F109" s="55">
        <f t="shared" ca="1" si="6"/>
        <v>0</v>
      </c>
      <c r="G109" s="51"/>
      <c r="H109" s="78">
        <f t="shared" ca="1" si="7"/>
        <v>0</v>
      </c>
      <c r="I109" s="53">
        <f t="shared" ca="1" si="4"/>
        <v>0</v>
      </c>
      <c r="J109" s="58"/>
      <c r="K109" s="58"/>
    </row>
    <row r="110" spans="1:11" s="58" customFormat="1" ht="29.25">
      <c r="A110" s="50">
        <v>3</v>
      </c>
      <c r="B110" s="51" t="str">
        <f ca="1">IF($A110="","",NumList())</f>
        <v>1.9.1</v>
      </c>
      <c r="C110" s="62" t="s">
        <v>581</v>
      </c>
      <c r="D110" s="55">
        <f t="shared" si="5"/>
        <v>1</v>
      </c>
      <c r="E110" s="55"/>
      <c r="F110" s="55">
        <f t="shared" ca="1" si="6"/>
        <v>95</v>
      </c>
      <c r="G110" s="51" t="s">
        <v>6</v>
      </c>
      <c r="H110" s="78">
        <f t="shared" ca="1" si="7"/>
        <v>7</v>
      </c>
      <c r="I110" s="53">
        <f t="shared" ca="1" si="4"/>
        <v>665</v>
      </c>
    </row>
    <row r="111" spans="1:11" s="58" customFormat="1" ht="29.25">
      <c r="A111" s="50">
        <v>3</v>
      </c>
      <c r="B111" s="51" t="str">
        <f ca="1">IF($A111="","",NumList())</f>
        <v>1.9.2</v>
      </c>
      <c r="C111" s="62" t="s">
        <v>582</v>
      </c>
      <c r="D111" s="55">
        <f t="shared" si="5"/>
        <v>1</v>
      </c>
      <c r="E111" s="55"/>
      <c r="F111" s="55">
        <f t="shared" ca="1" si="6"/>
        <v>91</v>
      </c>
      <c r="G111" s="51" t="s">
        <v>6</v>
      </c>
      <c r="H111" s="78">
        <f t="shared" ca="1" si="7"/>
        <v>60</v>
      </c>
      <c r="I111" s="53">
        <f t="shared" ca="1" si="4"/>
        <v>5460</v>
      </c>
    </row>
    <row r="112" spans="1:11" s="58" customFormat="1" ht="43.5">
      <c r="A112" s="50">
        <v>3</v>
      </c>
      <c r="B112" s="51" t="str">
        <f ca="1">IF($A112="","",NumList())</f>
        <v>1.9.3</v>
      </c>
      <c r="C112" s="62" t="s">
        <v>583</v>
      </c>
      <c r="D112" s="55">
        <f t="shared" si="5"/>
        <v>1</v>
      </c>
      <c r="E112" s="55"/>
      <c r="F112" s="55">
        <f t="shared" ca="1" si="6"/>
        <v>51</v>
      </c>
      <c r="G112" s="51" t="s">
        <v>6</v>
      </c>
      <c r="H112" s="78">
        <f t="shared" ca="1" si="7"/>
        <v>21</v>
      </c>
      <c r="I112" s="53">
        <f t="shared" ca="1" si="4"/>
        <v>1071</v>
      </c>
    </row>
    <row r="113" spans="1:11" s="58" customFormat="1" ht="15">
      <c r="A113" s="50" t="s">
        <v>516</v>
      </c>
      <c r="B113" s="51" t="str">
        <f>IF($A113="","",NumList())</f>
        <v/>
      </c>
      <c r="C113" s="62"/>
      <c r="D113" s="55">
        <f t="shared" si="5"/>
        <v>0</v>
      </c>
      <c r="E113" s="55"/>
      <c r="F113" s="55">
        <f t="shared" ca="1" si="6"/>
        <v>0</v>
      </c>
      <c r="G113" s="51"/>
      <c r="H113" s="78">
        <f t="shared" ca="1" si="7"/>
        <v>0</v>
      </c>
      <c r="I113" s="53">
        <f t="shared" ca="1" si="4"/>
        <v>0</v>
      </c>
    </row>
    <row r="114" spans="1:11" s="58" customFormat="1" ht="28.5">
      <c r="A114" s="50">
        <v>2</v>
      </c>
      <c r="B114" s="51" t="str">
        <f ca="1">IF($A114="","",NumList())</f>
        <v>1.10</v>
      </c>
      <c r="C114" s="62" t="s">
        <v>398</v>
      </c>
      <c r="D114" s="55">
        <f t="shared" si="5"/>
        <v>0</v>
      </c>
      <c r="E114" s="55"/>
      <c r="F114" s="55">
        <f t="shared" ca="1" si="6"/>
        <v>0</v>
      </c>
      <c r="G114" s="51"/>
      <c r="H114" s="78">
        <f t="shared" ca="1" si="7"/>
        <v>0</v>
      </c>
      <c r="I114" s="53">
        <f t="shared" ca="1" si="4"/>
        <v>0</v>
      </c>
    </row>
    <row r="115" spans="1:11" s="58" customFormat="1" ht="15">
      <c r="A115" s="50">
        <v>3</v>
      </c>
      <c r="B115" s="51" t="str">
        <f ca="1">IF($A115="","",NumList())</f>
        <v>1.10.1</v>
      </c>
      <c r="C115" s="62" t="s">
        <v>584</v>
      </c>
      <c r="D115" s="55">
        <f t="shared" si="5"/>
        <v>1</v>
      </c>
      <c r="E115" s="55"/>
      <c r="F115" s="55">
        <f t="shared" ca="1" si="6"/>
        <v>92</v>
      </c>
      <c r="G115" s="51" t="s">
        <v>8</v>
      </c>
      <c r="H115" s="78">
        <f t="shared" ca="1" si="7"/>
        <v>93</v>
      </c>
      <c r="I115" s="53">
        <f t="shared" ca="1" si="4"/>
        <v>8556</v>
      </c>
    </row>
    <row r="116" spans="1:11" s="58" customFormat="1" ht="15">
      <c r="A116" s="50">
        <v>3</v>
      </c>
      <c r="B116" s="51" t="str">
        <f ca="1">IF($A116="","",NumList())</f>
        <v>1.10.2</v>
      </c>
      <c r="C116" s="62" t="s">
        <v>585</v>
      </c>
      <c r="D116" s="55">
        <f t="shared" si="5"/>
        <v>1</v>
      </c>
      <c r="E116" s="55"/>
      <c r="F116" s="55">
        <f t="shared" ca="1" si="6"/>
        <v>55</v>
      </c>
      <c r="G116" s="51" t="s">
        <v>8</v>
      </c>
      <c r="H116" s="78">
        <f t="shared" ca="1" si="7"/>
        <v>25</v>
      </c>
      <c r="I116" s="53">
        <f t="shared" ca="1" si="4"/>
        <v>1375</v>
      </c>
    </row>
    <row r="117" spans="1:11" s="41" customFormat="1" ht="15">
      <c r="A117" s="50" t="s">
        <v>516</v>
      </c>
      <c r="B117" s="51" t="str">
        <f>IF($A117="","",NumList())</f>
        <v/>
      </c>
      <c r="C117" s="61"/>
      <c r="D117" s="55">
        <f t="shared" si="5"/>
        <v>0</v>
      </c>
      <c r="E117" s="55"/>
      <c r="F117" s="55">
        <f t="shared" ca="1" si="6"/>
        <v>0</v>
      </c>
      <c r="G117" s="51"/>
      <c r="H117" s="78">
        <f t="shared" ca="1" si="7"/>
        <v>0</v>
      </c>
      <c r="I117" s="53">
        <f t="shared" ca="1" si="4"/>
        <v>0</v>
      </c>
      <c r="J117" s="58"/>
      <c r="K117" s="58"/>
    </row>
    <row r="118" spans="1:11" s="41" customFormat="1" ht="46.5" customHeight="1">
      <c r="A118" s="50">
        <v>1</v>
      </c>
      <c r="B118" s="51">
        <f ca="1">IF($A118="","",NumList())</f>
        <v>2</v>
      </c>
      <c r="C118" s="63" t="s">
        <v>586</v>
      </c>
      <c r="D118" s="55">
        <f t="shared" si="5"/>
        <v>0</v>
      </c>
      <c r="E118" s="48"/>
      <c r="F118" s="55">
        <f t="shared" ca="1" si="6"/>
        <v>0</v>
      </c>
      <c r="G118" s="46"/>
      <c r="H118" s="78">
        <f t="shared" ca="1" si="7"/>
        <v>0</v>
      </c>
      <c r="I118" s="53">
        <f t="shared" ca="1" si="4"/>
        <v>0</v>
      </c>
    </row>
    <row r="119" spans="1:11" s="41" customFormat="1" ht="38.25" customHeight="1">
      <c r="A119" s="50">
        <v>2</v>
      </c>
      <c r="B119" s="51" t="str">
        <f ca="1">IF($A119="","",NumList())</f>
        <v>2.1</v>
      </c>
      <c r="C119" s="79" t="s">
        <v>399</v>
      </c>
      <c r="D119" s="55">
        <f t="shared" si="5"/>
        <v>0</v>
      </c>
      <c r="E119" s="55"/>
      <c r="F119" s="55">
        <f t="shared" ca="1" si="6"/>
        <v>0</v>
      </c>
      <c r="G119" s="51"/>
      <c r="H119" s="78">
        <f t="shared" ca="1" si="7"/>
        <v>0</v>
      </c>
      <c r="I119" s="53">
        <f t="shared" ca="1" si="4"/>
        <v>0</v>
      </c>
      <c r="J119" s="58"/>
      <c r="K119" s="58"/>
    </row>
    <row r="120" spans="1:11" s="41" customFormat="1" ht="15">
      <c r="A120" s="50">
        <v>3</v>
      </c>
      <c r="B120" s="51" t="str">
        <f ca="1">IF($A120="","",NumList())</f>
        <v>2.1.1</v>
      </c>
      <c r="C120" s="61" t="s">
        <v>56</v>
      </c>
      <c r="D120" s="55">
        <f t="shared" si="5"/>
        <v>1</v>
      </c>
      <c r="E120" s="55"/>
      <c r="F120" s="55">
        <f t="shared" ca="1" si="6"/>
        <v>41</v>
      </c>
      <c r="G120" s="51" t="s">
        <v>8</v>
      </c>
      <c r="H120" s="78">
        <f t="shared" ca="1" si="7"/>
        <v>91</v>
      </c>
      <c r="I120" s="53">
        <f t="shared" ca="1" si="4"/>
        <v>3731</v>
      </c>
      <c r="J120" s="58"/>
      <c r="K120" s="58"/>
    </row>
    <row r="121" spans="1:11" s="41" customFormat="1" ht="15">
      <c r="A121" s="50">
        <v>3</v>
      </c>
      <c r="B121" s="51" t="str">
        <f ca="1">IF($A121="","",NumList())</f>
        <v>2.1.2</v>
      </c>
      <c r="C121" s="61" t="s">
        <v>57</v>
      </c>
      <c r="D121" s="55">
        <f t="shared" si="5"/>
        <v>1</v>
      </c>
      <c r="E121" s="55"/>
      <c r="F121" s="55">
        <f t="shared" ca="1" si="6"/>
        <v>18</v>
      </c>
      <c r="G121" s="51" t="s">
        <v>8</v>
      </c>
      <c r="H121" s="78">
        <f t="shared" ca="1" si="7"/>
        <v>84</v>
      </c>
      <c r="I121" s="53">
        <f t="shared" ca="1" si="4"/>
        <v>1512</v>
      </c>
      <c r="J121" s="58"/>
      <c r="K121" s="58"/>
    </row>
    <row r="122" spans="1:11" s="41" customFormat="1" ht="15">
      <c r="A122" s="50">
        <v>3</v>
      </c>
      <c r="B122" s="51" t="str">
        <f ca="1">IF($A122="","",NumList())</f>
        <v>2.1.3</v>
      </c>
      <c r="C122" s="61" t="s">
        <v>58</v>
      </c>
      <c r="D122" s="55">
        <f t="shared" si="5"/>
        <v>1</v>
      </c>
      <c r="E122" s="55"/>
      <c r="F122" s="55">
        <f t="shared" ca="1" si="6"/>
        <v>66</v>
      </c>
      <c r="G122" s="51" t="s">
        <v>8</v>
      </c>
      <c r="H122" s="78">
        <f t="shared" ca="1" si="7"/>
        <v>67</v>
      </c>
      <c r="I122" s="53">
        <f t="shared" ca="1" si="4"/>
        <v>4422</v>
      </c>
      <c r="J122" s="58"/>
      <c r="K122" s="58"/>
    </row>
    <row r="123" spans="1:11" s="41" customFormat="1" ht="38.25" customHeight="1">
      <c r="A123" s="50">
        <v>2</v>
      </c>
      <c r="B123" s="51" t="str">
        <f ca="1">IF($A123="","",NumList())</f>
        <v>2.2</v>
      </c>
      <c r="C123" s="79" t="s">
        <v>400</v>
      </c>
      <c r="D123" s="55">
        <f t="shared" si="5"/>
        <v>0</v>
      </c>
      <c r="E123" s="55"/>
      <c r="F123" s="55">
        <f t="shared" ca="1" si="6"/>
        <v>0</v>
      </c>
      <c r="G123" s="51"/>
      <c r="H123" s="78">
        <f t="shared" ca="1" si="7"/>
        <v>0</v>
      </c>
      <c r="I123" s="53">
        <f t="shared" ca="1" si="4"/>
        <v>0</v>
      </c>
      <c r="J123" s="58"/>
      <c r="K123" s="58"/>
    </row>
    <row r="124" spans="1:11" s="41" customFormat="1" ht="15">
      <c r="A124" s="50">
        <v>3</v>
      </c>
      <c r="B124" s="51" t="str">
        <f ca="1">IF($A124="","",NumList())</f>
        <v>2.2.1</v>
      </c>
      <c r="C124" s="61" t="s">
        <v>56</v>
      </c>
      <c r="D124" s="55">
        <f t="shared" si="5"/>
        <v>1</v>
      </c>
      <c r="E124" s="55"/>
      <c r="F124" s="55">
        <f t="shared" ca="1" si="6"/>
        <v>58</v>
      </c>
      <c r="G124" s="51" t="s">
        <v>8</v>
      </c>
      <c r="H124" s="78">
        <f t="shared" ca="1" si="7"/>
        <v>60</v>
      </c>
      <c r="I124" s="53">
        <f t="shared" ca="1" si="4"/>
        <v>3480</v>
      </c>
      <c r="J124" s="58"/>
      <c r="K124" s="58"/>
    </row>
    <row r="125" spans="1:11" s="41" customFormat="1" ht="15">
      <c r="A125" s="50">
        <v>3</v>
      </c>
      <c r="B125" s="51" t="str">
        <f ca="1">IF($A125="","",NumList())</f>
        <v>2.2.2</v>
      </c>
      <c r="C125" s="61" t="s">
        <v>57</v>
      </c>
      <c r="D125" s="55">
        <f t="shared" si="5"/>
        <v>1</v>
      </c>
      <c r="E125" s="55"/>
      <c r="F125" s="55">
        <f t="shared" ca="1" si="6"/>
        <v>70</v>
      </c>
      <c r="G125" s="51" t="s">
        <v>8</v>
      </c>
      <c r="H125" s="78">
        <f t="shared" ca="1" si="7"/>
        <v>13</v>
      </c>
      <c r="I125" s="53">
        <f t="shared" ca="1" si="4"/>
        <v>910</v>
      </c>
      <c r="J125" s="58"/>
      <c r="K125" s="58"/>
    </row>
    <row r="126" spans="1:11" s="41" customFormat="1" ht="15">
      <c r="A126" s="50">
        <v>3</v>
      </c>
      <c r="B126" s="51" t="str">
        <f ca="1">IF($A126="","",NumList())</f>
        <v>2.2.3</v>
      </c>
      <c r="C126" s="61" t="s">
        <v>58</v>
      </c>
      <c r="D126" s="55">
        <f t="shared" si="5"/>
        <v>1</v>
      </c>
      <c r="E126" s="55"/>
      <c r="F126" s="55">
        <f t="shared" ca="1" si="6"/>
        <v>28</v>
      </c>
      <c r="G126" s="51" t="s">
        <v>8</v>
      </c>
      <c r="H126" s="78">
        <f t="shared" ca="1" si="7"/>
        <v>31</v>
      </c>
      <c r="I126" s="53">
        <f t="shared" ca="1" si="4"/>
        <v>868</v>
      </c>
      <c r="J126" s="58"/>
      <c r="K126" s="58"/>
    </row>
    <row r="127" spans="1:11" s="41" customFormat="1" ht="38.25" customHeight="1">
      <c r="A127" s="50">
        <v>2</v>
      </c>
      <c r="B127" s="51" t="str">
        <f ca="1">IF($A127="","",NumList())</f>
        <v>2.3</v>
      </c>
      <c r="C127" s="79" t="s">
        <v>401</v>
      </c>
      <c r="D127" s="55">
        <f t="shared" si="5"/>
        <v>0</v>
      </c>
      <c r="E127" s="55"/>
      <c r="F127" s="55">
        <f t="shared" ca="1" si="6"/>
        <v>0</v>
      </c>
      <c r="G127" s="51"/>
      <c r="H127" s="78">
        <f t="shared" ca="1" si="7"/>
        <v>0</v>
      </c>
      <c r="I127" s="53">
        <f t="shared" ca="1" si="4"/>
        <v>0</v>
      </c>
      <c r="J127" s="58"/>
      <c r="K127" s="58"/>
    </row>
    <row r="128" spans="1:11" s="41" customFormat="1" ht="15">
      <c r="A128" s="50">
        <v>3</v>
      </c>
      <c r="B128" s="51" t="str">
        <f ca="1">IF($A128="","",NumList())</f>
        <v>2.3.1</v>
      </c>
      <c r="C128" s="61" t="s">
        <v>56</v>
      </c>
      <c r="D128" s="55">
        <f t="shared" si="5"/>
        <v>1</v>
      </c>
      <c r="E128" s="55"/>
      <c r="F128" s="55">
        <f t="shared" ca="1" si="6"/>
        <v>6</v>
      </c>
      <c r="G128" s="51" t="s">
        <v>8</v>
      </c>
      <c r="H128" s="78">
        <f t="shared" ca="1" si="7"/>
        <v>16</v>
      </c>
      <c r="I128" s="53">
        <f t="shared" ca="1" si="4"/>
        <v>96</v>
      </c>
      <c r="J128" s="58"/>
      <c r="K128" s="58"/>
    </row>
    <row r="129" spans="1:11" s="41" customFormat="1" ht="15">
      <c r="A129" s="50">
        <v>3</v>
      </c>
      <c r="B129" s="51" t="str">
        <f ca="1">IF($A129="","",NumList())</f>
        <v>2.3.2</v>
      </c>
      <c r="C129" s="61" t="s">
        <v>57</v>
      </c>
      <c r="D129" s="55">
        <f t="shared" si="5"/>
        <v>1</v>
      </c>
      <c r="E129" s="55"/>
      <c r="F129" s="55">
        <f t="shared" ca="1" si="6"/>
        <v>28</v>
      </c>
      <c r="G129" s="51" t="s">
        <v>8</v>
      </c>
      <c r="H129" s="78">
        <f t="shared" ca="1" si="7"/>
        <v>13</v>
      </c>
      <c r="I129" s="53">
        <f t="shared" ca="1" si="4"/>
        <v>364</v>
      </c>
      <c r="J129" s="58"/>
      <c r="K129" s="58"/>
    </row>
    <row r="130" spans="1:11" s="41" customFormat="1" ht="15">
      <c r="A130" s="50">
        <v>3</v>
      </c>
      <c r="B130" s="51" t="str">
        <f ca="1">IF($A130="","",NumList())</f>
        <v>2.3.3</v>
      </c>
      <c r="C130" s="61" t="s">
        <v>58</v>
      </c>
      <c r="D130" s="55">
        <f t="shared" si="5"/>
        <v>1</v>
      </c>
      <c r="E130" s="55"/>
      <c r="F130" s="55">
        <f t="shared" ca="1" si="6"/>
        <v>43</v>
      </c>
      <c r="G130" s="51" t="s">
        <v>8</v>
      </c>
      <c r="H130" s="78">
        <f t="shared" ca="1" si="7"/>
        <v>82</v>
      </c>
      <c r="I130" s="53">
        <f t="shared" ca="1" si="4"/>
        <v>3526</v>
      </c>
      <c r="J130" s="58"/>
      <c r="K130" s="58"/>
    </row>
    <row r="131" spans="1:11" s="41" customFormat="1" ht="38.25" customHeight="1">
      <c r="A131" s="50">
        <v>2</v>
      </c>
      <c r="B131" s="51" t="str">
        <f ca="1">IF($A131="","",NumList())</f>
        <v>2.4</v>
      </c>
      <c r="C131" s="79" t="s">
        <v>402</v>
      </c>
      <c r="D131" s="55">
        <f t="shared" si="5"/>
        <v>0</v>
      </c>
      <c r="E131" s="55"/>
      <c r="F131" s="55">
        <f t="shared" ca="1" si="6"/>
        <v>0</v>
      </c>
      <c r="G131" s="51"/>
      <c r="H131" s="78">
        <f t="shared" ca="1" si="7"/>
        <v>0</v>
      </c>
      <c r="I131" s="53">
        <f t="shared" ca="1" si="4"/>
        <v>0</v>
      </c>
      <c r="J131" s="58"/>
      <c r="K131" s="58"/>
    </row>
    <row r="132" spans="1:11" s="41" customFormat="1" ht="15">
      <c r="A132" s="50">
        <v>3</v>
      </c>
      <c r="B132" s="51" t="str">
        <f ca="1">IF($A132="","",NumList())</f>
        <v>2.4.1</v>
      </c>
      <c r="C132" s="61" t="s">
        <v>56</v>
      </c>
      <c r="D132" s="55">
        <f t="shared" si="5"/>
        <v>1</v>
      </c>
      <c r="E132" s="55"/>
      <c r="F132" s="55">
        <f t="shared" ca="1" si="6"/>
        <v>65</v>
      </c>
      <c r="G132" s="51" t="s">
        <v>8</v>
      </c>
      <c r="H132" s="78">
        <f t="shared" ca="1" si="7"/>
        <v>64</v>
      </c>
      <c r="I132" s="53">
        <f t="shared" ca="1" si="4"/>
        <v>4160</v>
      </c>
      <c r="J132" s="58"/>
      <c r="K132" s="58"/>
    </row>
    <row r="133" spans="1:11" s="41" customFormat="1" ht="15">
      <c r="A133" s="50">
        <v>3</v>
      </c>
      <c r="B133" s="51" t="str">
        <f ca="1">IF($A133="","",NumList())</f>
        <v>2.4.2</v>
      </c>
      <c r="C133" s="61" t="s">
        <v>57</v>
      </c>
      <c r="D133" s="55">
        <f t="shared" si="5"/>
        <v>1</v>
      </c>
      <c r="E133" s="55"/>
      <c r="F133" s="55">
        <f t="shared" ca="1" si="6"/>
        <v>23</v>
      </c>
      <c r="G133" s="51" t="s">
        <v>8</v>
      </c>
      <c r="H133" s="78">
        <f t="shared" ca="1" si="7"/>
        <v>72</v>
      </c>
      <c r="I133" s="53">
        <f t="shared" ca="1" si="4"/>
        <v>1656</v>
      </c>
      <c r="J133" s="58"/>
      <c r="K133" s="58"/>
    </row>
    <row r="134" spans="1:11" s="41" customFormat="1" ht="15">
      <c r="A134" s="50">
        <v>3</v>
      </c>
      <c r="B134" s="51" t="str">
        <f ca="1">IF($A134="","",NumList())</f>
        <v>2.4.3</v>
      </c>
      <c r="C134" s="61" t="s">
        <v>58</v>
      </c>
      <c r="D134" s="55">
        <f t="shared" si="5"/>
        <v>1</v>
      </c>
      <c r="E134" s="55"/>
      <c r="F134" s="55">
        <f t="shared" ca="1" si="6"/>
        <v>99</v>
      </c>
      <c r="G134" s="51" t="s">
        <v>8</v>
      </c>
      <c r="H134" s="78">
        <f t="shared" ca="1" si="7"/>
        <v>70</v>
      </c>
      <c r="I134" s="53">
        <f t="shared" ca="1" si="4"/>
        <v>6930</v>
      </c>
      <c r="J134" s="58"/>
      <c r="K134" s="58"/>
    </row>
    <row r="135" spans="1:11" s="41" customFormat="1" ht="15">
      <c r="A135" s="50" t="s">
        <v>516</v>
      </c>
      <c r="B135" s="51" t="str">
        <f>IF($A135="","",NumList())</f>
        <v/>
      </c>
      <c r="C135" s="61"/>
      <c r="D135" s="55">
        <f t="shared" si="5"/>
        <v>0</v>
      </c>
      <c r="E135" s="55"/>
      <c r="F135" s="55">
        <f t="shared" ca="1" si="6"/>
        <v>0</v>
      </c>
      <c r="G135" s="51"/>
      <c r="H135" s="78">
        <f t="shared" ca="1" si="7"/>
        <v>0</v>
      </c>
      <c r="I135" s="53">
        <f t="shared" ca="1" si="4"/>
        <v>0</v>
      </c>
      <c r="J135" s="58"/>
      <c r="K135" s="58"/>
    </row>
    <row r="136" spans="1:11" s="41" customFormat="1" ht="28.5">
      <c r="A136" s="50">
        <v>2</v>
      </c>
      <c r="B136" s="51" t="str">
        <f ca="1">IF($A136="","",NumList())</f>
        <v>2.5</v>
      </c>
      <c r="C136" s="62" t="s">
        <v>403</v>
      </c>
      <c r="D136" s="55">
        <f t="shared" si="5"/>
        <v>1</v>
      </c>
      <c r="E136" s="55"/>
      <c r="F136" s="55">
        <f t="shared" ca="1" si="6"/>
        <v>83</v>
      </c>
      <c r="G136" s="51" t="s">
        <v>8</v>
      </c>
      <c r="H136" s="78">
        <f t="shared" ca="1" si="7"/>
        <v>39</v>
      </c>
      <c r="I136" s="53">
        <f t="shared" ca="1" si="4"/>
        <v>3237</v>
      </c>
      <c r="J136" s="58"/>
      <c r="K136" s="58"/>
    </row>
    <row r="137" spans="1:11" s="41" customFormat="1" ht="15">
      <c r="A137" s="50" t="s">
        <v>516</v>
      </c>
      <c r="B137" s="51" t="str">
        <f>IF($A137="","",NumList())</f>
        <v/>
      </c>
      <c r="C137" s="62"/>
      <c r="D137" s="55">
        <f t="shared" si="5"/>
        <v>0</v>
      </c>
      <c r="E137" s="55"/>
      <c r="F137" s="55">
        <f t="shared" ca="1" si="6"/>
        <v>0</v>
      </c>
      <c r="G137" s="51"/>
      <c r="H137" s="78">
        <f t="shared" ca="1" si="7"/>
        <v>0</v>
      </c>
      <c r="I137" s="53">
        <f t="shared" ca="1" si="4"/>
        <v>0</v>
      </c>
      <c r="J137" s="58"/>
      <c r="K137" s="58"/>
    </row>
    <row r="138" spans="1:11" s="41" customFormat="1" ht="28.5">
      <c r="A138" s="50">
        <v>2</v>
      </c>
      <c r="B138" s="51" t="str">
        <f ca="1">IF($A138="","",NumList())</f>
        <v>2.6</v>
      </c>
      <c r="C138" s="62" t="s">
        <v>475</v>
      </c>
      <c r="D138" s="55">
        <f t="shared" si="5"/>
        <v>0</v>
      </c>
      <c r="E138" s="55"/>
      <c r="F138" s="55">
        <f t="shared" ca="1" si="6"/>
        <v>0</v>
      </c>
      <c r="G138" s="51"/>
      <c r="H138" s="78">
        <f t="shared" ca="1" si="7"/>
        <v>0</v>
      </c>
      <c r="I138" s="53">
        <f t="shared" ca="1" si="4"/>
        <v>0</v>
      </c>
      <c r="J138" s="58"/>
      <c r="K138" s="58"/>
    </row>
    <row r="139" spans="1:11" s="41" customFormat="1" ht="15">
      <c r="A139" s="50">
        <v>3</v>
      </c>
      <c r="B139" s="51" t="str">
        <f ca="1">IF($A139="","",NumList())</f>
        <v>2.6.1</v>
      </c>
      <c r="C139" s="61" t="s">
        <v>56</v>
      </c>
      <c r="D139" s="55">
        <f t="shared" si="5"/>
        <v>1</v>
      </c>
      <c r="E139" s="55"/>
      <c r="F139" s="55">
        <f t="shared" ca="1" si="6"/>
        <v>73</v>
      </c>
      <c r="G139" s="51" t="s">
        <v>8</v>
      </c>
      <c r="H139" s="78">
        <f t="shared" ca="1" si="7"/>
        <v>49</v>
      </c>
      <c r="I139" s="53">
        <f t="shared" ca="1" si="4"/>
        <v>3577</v>
      </c>
      <c r="J139" s="58"/>
      <c r="K139" s="58"/>
    </row>
    <row r="140" spans="1:11" s="41" customFormat="1" ht="15">
      <c r="A140" s="50">
        <v>3</v>
      </c>
      <c r="B140" s="51" t="str">
        <f ca="1">IF($A140="","",NumList())</f>
        <v>2.6.2</v>
      </c>
      <c r="C140" s="61" t="s">
        <v>57</v>
      </c>
      <c r="D140" s="55">
        <f t="shared" si="5"/>
        <v>1</v>
      </c>
      <c r="E140" s="55"/>
      <c r="F140" s="55">
        <f t="shared" ca="1" si="6"/>
        <v>1</v>
      </c>
      <c r="G140" s="51" t="s">
        <v>8</v>
      </c>
      <c r="H140" s="78">
        <f t="shared" ca="1" si="7"/>
        <v>12</v>
      </c>
      <c r="I140" s="53">
        <f t="shared" ca="1" si="4"/>
        <v>12</v>
      </c>
      <c r="J140" s="58"/>
      <c r="K140" s="58"/>
    </row>
    <row r="141" spans="1:11" s="41" customFormat="1" ht="15">
      <c r="A141" s="50">
        <v>3</v>
      </c>
      <c r="B141" s="51" t="str">
        <f ca="1">IF($A141="","",NumList())</f>
        <v>2.6.3</v>
      </c>
      <c r="C141" s="61" t="s">
        <v>58</v>
      </c>
      <c r="D141" s="55">
        <f t="shared" si="5"/>
        <v>1</v>
      </c>
      <c r="E141" s="55"/>
      <c r="F141" s="55">
        <f t="shared" ca="1" si="6"/>
        <v>33</v>
      </c>
      <c r="G141" s="51" t="s">
        <v>8</v>
      </c>
      <c r="H141" s="78">
        <f t="shared" ca="1" si="7"/>
        <v>75</v>
      </c>
      <c r="I141" s="53">
        <f t="shared" ca="1" si="4"/>
        <v>2475</v>
      </c>
      <c r="J141" s="58"/>
      <c r="K141" s="58"/>
    </row>
    <row r="142" spans="1:11" s="41" customFormat="1" ht="15">
      <c r="A142" s="50" t="s">
        <v>516</v>
      </c>
      <c r="B142" s="51" t="str">
        <f>IF($A142="","",NumList())</f>
        <v/>
      </c>
      <c r="C142" s="62"/>
      <c r="D142" s="55">
        <f t="shared" si="5"/>
        <v>0</v>
      </c>
      <c r="E142" s="55"/>
      <c r="F142" s="55">
        <f t="shared" ca="1" si="6"/>
        <v>0</v>
      </c>
      <c r="G142" s="51"/>
      <c r="H142" s="78">
        <f t="shared" ca="1" si="7"/>
        <v>0</v>
      </c>
      <c r="I142" s="53">
        <f t="shared" ca="1" si="4"/>
        <v>0</v>
      </c>
      <c r="J142" s="58"/>
      <c r="K142" s="58"/>
    </row>
    <row r="143" spans="1:11" s="41" customFormat="1" ht="15">
      <c r="A143" s="50">
        <v>2</v>
      </c>
      <c r="B143" s="51" t="str">
        <f ca="1">IF($A143="","",NumList())</f>
        <v>2.7</v>
      </c>
      <c r="C143" s="62" t="s">
        <v>425</v>
      </c>
      <c r="D143" s="55">
        <f t="shared" si="5"/>
        <v>1</v>
      </c>
      <c r="E143" s="55"/>
      <c r="F143" s="55">
        <f t="shared" ca="1" si="6"/>
        <v>41</v>
      </c>
      <c r="G143" s="51" t="s">
        <v>8</v>
      </c>
      <c r="H143" s="78">
        <f t="shared" ca="1" si="7"/>
        <v>4</v>
      </c>
      <c r="I143" s="53">
        <f t="shared" ca="1" si="4"/>
        <v>164</v>
      </c>
      <c r="J143" s="58"/>
      <c r="K143" s="58"/>
    </row>
    <row r="144" spans="1:11" s="41" customFormat="1" ht="15">
      <c r="A144" s="50" t="s">
        <v>516</v>
      </c>
      <c r="B144" s="51" t="str">
        <f>IF($A144="","",NumList())</f>
        <v/>
      </c>
      <c r="C144" s="80"/>
      <c r="D144" s="55">
        <f t="shared" si="5"/>
        <v>0</v>
      </c>
      <c r="E144" s="55"/>
      <c r="F144" s="55">
        <f t="shared" ca="1" si="6"/>
        <v>0</v>
      </c>
      <c r="G144" s="51"/>
      <c r="H144" s="78">
        <f t="shared" ca="1" si="7"/>
        <v>0</v>
      </c>
      <c r="I144" s="53">
        <f t="shared" ca="1" si="4"/>
        <v>0</v>
      </c>
      <c r="J144" s="58"/>
      <c r="K144" s="58"/>
    </row>
    <row r="145" spans="1:11" s="41" customFormat="1" ht="43.5">
      <c r="A145" s="50">
        <v>1</v>
      </c>
      <c r="B145" s="51">
        <f ca="1">IF($A145="","",NumList())</f>
        <v>3</v>
      </c>
      <c r="C145" s="63" t="s">
        <v>587</v>
      </c>
      <c r="D145" s="55">
        <f t="shared" si="5"/>
        <v>0</v>
      </c>
      <c r="E145" s="48"/>
      <c r="F145" s="55">
        <f t="shared" ca="1" si="6"/>
        <v>0</v>
      </c>
      <c r="G145" s="46"/>
      <c r="H145" s="78">
        <f t="shared" ca="1" si="7"/>
        <v>0</v>
      </c>
      <c r="I145" s="53">
        <f t="shared" ca="1" si="4"/>
        <v>0</v>
      </c>
      <c r="J145" s="58"/>
      <c r="K145" s="58"/>
    </row>
    <row r="146" spans="1:11" s="41" customFormat="1" ht="15">
      <c r="A146" s="50">
        <v>2</v>
      </c>
      <c r="B146" s="51" t="str">
        <f ca="1">IF($A146="","",NumList())</f>
        <v>3.1</v>
      </c>
      <c r="C146" s="81" t="s">
        <v>404</v>
      </c>
      <c r="D146" s="55">
        <f t="shared" si="5"/>
        <v>0</v>
      </c>
      <c r="E146" s="55"/>
      <c r="F146" s="55">
        <f t="shared" ca="1" si="6"/>
        <v>0</v>
      </c>
      <c r="G146" s="51"/>
      <c r="H146" s="78">
        <f t="shared" ca="1" si="7"/>
        <v>0</v>
      </c>
      <c r="I146" s="53">
        <f t="shared" ca="1" si="4"/>
        <v>0</v>
      </c>
      <c r="J146" s="58"/>
      <c r="K146" s="58"/>
    </row>
    <row r="147" spans="1:11" s="41" customFormat="1" ht="15">
      <c r="A147" s="50">
        <v>3</v>
      </c>
      <c r="B147" s="51" t="str">
        <f ca="1">IF($A147="","",NumList())</f>
        <v>3.1.1</v>
      </c>
      <c r="C147" s="61" t="s">
        <v>56</v>
      </c>
      <c r="D147" s="55">
        <f t="shared" si="5"/>
        <v>1</v>
      </c>
      <c r="E147" s="55"/>
      <c r="F147" s="55">
        <f t="shared" ca="1" si="6"/>
        <v>59</v>
      </c>
      <c r="G147" s="51" t="s">
        <v>8</v>
      </c>
      <c r="H147" s="78">
        <f t="shared" ca="1" si="7"/>
        <v>70</v>
      </c>
      <c r="I147" s="53">
        <f t="shared" ca="1" si="4"/>
        <v>4130</v>
      </c>
      <c r="J147" s="58"/>
      <c r="K147" s="58"/>
    </row>
    <row r="148" spans="1:11" s="41" customFormat="1" ht="15">
      <c r="A148" s="50">
        <v>3</v>
      </c>
      <c r="B148" s="51" t="str">
        <f ca="1">IF($A148="","",NumList())</f>
        <v>3.1.2</v>
      </c>
      <c r="C148" s="61" t="s">
        <v>57</v>
      </c>
      <c r="D148" s="55">
        <f t="shared" si="5"/>
        <v>1</v>
      </c>
      <c r="E148" s="55"/>
      <c r="F148" s="55">
        <f t="shared" ca="1" si="6"/>
        <v>83</v>
      </c>
      <c r="G148" s="51" t="s">
        <v>8</v>
      </c>
      <c r="H148" s="78">
        <f t="shared" ca="1" si="7"/>
        <v>9</v>
      </c>
      <c r="I148" s="53">
        <f t="shared" ca="1" si="4"/>
        <v>747</v>
      </c>
      <c r="J148" s="58"/>
      <c r="K148" s="58"/>
    </row>
    <row r="149" spans="1:11" s="41" customFormat="1" ht="15">
      <c r="A149" s="50">
        <v>3</v>
      </c>
      <c r="B149" s="51" t="str">
        <f ca="1">IF($A149="","",NumList())</f>
        <v>3.1.3</v>
      </c>
      <c r="C149" s="61" t="s">
        <v>58</v>
      </c>
      <c r="D149" s="55">
        <f t="shared" si="5"/>
        <v>1</v>
      </c>
      <c r="E149" s="55"/>
      <c r="F149" s="55">
        <f t="shared" ca="1" si="6"/>
        <v>36</v>
      </c>
      <c r="G149" s="51" t="s">
        <v>8</v>
      </c>
      <c r="H149" s="78">
        <f t="shared" ca="1" si="7"/>
        <v>93</v>
      </c>
      <c r="I149" s="53">
        <f t="shared" ca="1" si="4"/>
        <v>3348</v>
      </c>
      <c r="J149" s="58"/>
      <c r="K149" s="58"/>
    </row>
    <row r="150" spans="1:11" s="41" customFormat="1" ht="15">
      <c r="A150" s="50">
        <v>3</v>
      </c>
      <c r="B150" s="51" t="str">
        <f ca="1">IF($A150="","",NumList())</f>
        <v>3.1.4</v>
      </c>
      <c r="C150" s="61" t="s">
        <v>310</v>
      </c>
      <c r="D150" s="55">
        <f t="shared" si="5"/>
        <v>1</v>
      </c>
      <c r="E150" s="55"/>
      <c r="F150" s="55">
        <f t="shared" ca="1" si="6"/>
        <v>44</v>
      </c>
      <c r="G150" s="51" t="s">
        <v>8</v>
      </c>
      <c r="H150" s="78">
        <f t="shared" ca="1" si="7"/>
        <v>51</v>
      </c>
      <c r="I150" s="53">
        <f t="shared" ca="1" si="4"/>
        <v>2244</v>
      </c>
      <c r="J150" s="58"/>
      <c r="K150" s="58"/>
    </row>
    <row r="151" spans="1:11" s="41" customFormat="1" ht="15">
      <c r="A151" s="50">
        <v>3</v>
      </c>
      <c r="B151" s="51" t="str">
        <f ca="1">IF($A151="","",NumList())</f>
        <v>3.1.5</v>
      </c>
      <c r="C151" s="61" t="s">
        <v>311</v>
      </c>
      <c r="D151" s="55">
        <f t="shared" si="5"/>
        <v>1</v>
      </c>
      <c r="E151" s="55"/>
      <c r="F151" s="55">
        <f t="shared" ca="1" si="6"/>
        <v>94</v>
      </c>
      <c r="G151" s="51" t="s">
        <v>8</v>
      </c>
      <c r="H151" s="78">
        <f t="shared" ca="1" si="7"/>
        <v>76</v>
      </c>
      <c r="I151" s="53">
        <f t="shared" ca="1" si="4"/>
        <v>7144</v>
      </c>
      <c r="J151" s="58"/>
      <c r="K151" s="58"/>
    </row>
    <row r="152" spans="1:11" s="41" customFormat="1" ht="15">
      <c r="A152" s="50">
        <v>3</v>
      </c>
      <c r="B152" s="51" t="str">
        <f ca="1">IF($A152="","",NumList())</f>
        <v>3.1.6</v>
      </c>
      <c r="C152" s="61" t="s">
        <v>476</v>
      </c>
      <c r="D152" s="55">
        <f t="shared" si="5"/>
        <v>1</v>
      </c>
      <c r="E152" s="55"/>
      <c r="F152" s="55">
        <f t="shared" ca="1" si="6"/>
        <v>18</v>
      </c>
      <c r="G152" s="51" t="s">
        <v>8</v>
      </c>
      <c r="H152" s="78">
        <f t="shared" ca="1" si="7"/>
        <v>11</v>
      </c>
      <c r="I152" s="53">
        <f t="shared" ca="1" si="4"/>
        <v>198</v>
      </c>
      <c r="J152" s="58"/>
      <c r="K152" s="58"/>
    </row>
    <row r="153" spans="1:11" s="41" customFormat="1" ht="15">
      <c r="A153" s="50" t="s">
        <v>516</v>
      </c>
      <c r="B153" s="51" t="str">
        <f>IF($A153="","",NumList())</f>
        <v/>
      </c>
      <c r="C153" s="61"/>
      <c r="D153" s="55">
        <f t="shared" si="5"/>
        <v>0</v>
      </c>
      <c r="E153" s="55"/>
      <c r="F153" s="55">
        <f t="shared" ca="1" si="6"/>
        <v>0</v>
      </c>
      <c r="G153" s="51"/>
      <c r="H153" s="78">
        <f t="shared" ca="1" si="7"/>
        <v>0</v>
      </c>
      <c r="I153" s="53">
        <f t="shared" ref="I153:I216" ca="1" si="8">F153*H153</f>
        <v>0</v>
      </c>
      <c r="J153" s="58"/>
      <c r="K153" s="58"/>
    </row>
    <row r="154" spans="1:11" s="41" customFormat="1" ht="28.5">
      <c r="A154" s="50">
        <v>2</v>
      </c>
      <c r="B154" s="51" t="str">
        <f ca="1">IF($A154="","",NumList())</f>
        <v>3.2</v>
      </c>
      <c r="C154" s="61" t="s">
        <v>405</v>
      </c>
      <c r="D154" s="55">
        <f t="shared" si="5"/>
        <v>1</v>
      </c>
      <c r="E154" s="55"/>
      <c r="F154" s="55">
        <f t="shared" ca="1" si="6"/>
        <v>45</v>
      </c>
      <c r="G154" s="51" t="s">
        <v>8</v>
      </c>
      <c r="H154" s="78">
        <f t="shared" ca="1" si="7"/>
        <v>75</v>
      </c>
      <c r="I154" s="53">
        <f t="shared" ca="1" si="8"/>
        <v>3375</v>
      </c>
      <c r="J154" s="58"/>
      <c r="K154" s="58"/>
    </row>
    <row r="155" spans="1:11" s="41" customFormat="1" ht="15">
      <c r="A155" s="50" t="s">
        <v>516</v>
      </c>
      <c r="B155" s="51" t="str">
        <f>IF($A155="","",NumList())</f>
        <v/>
      </c>
      <c r="C155" s="61"/>
      <c r="D155" s="55">
        <f t="shared" si="5"/>
        <v>0</v>
      </c>
      <c r="E155" s="55"/>
      <c r="F155" s="55">
        <f t="shared" ca="1" si="6"/>
        <v>0</v>
      </c>
      <c r="G155" s="51"/>
      <c r="H155" s="78">
        <f t="shared" ca="1" si="7"/>
        <v>0</v>
      </c>
      <c r="I155" s="53">
        <f t="shared" ca="1" si="8"/>
        <v>0</v>
      </c>
      <c r="J155" s="58"/>
      <c r="K155" s="58"/>
    </row>
    <row r="156" spans="1:11" s="41" customFormat="1" ht="43.5">
      <c r="A156" s="50">
        <v>1</v>
      </c>
      <c r="B156" s="51">
        <f ca="1">IF($A156="","",NumList())</f>
        <v>4</v>
      </c>
      <c r="C156" s="63" t="s">
        <v>588</v>
      </c>
      <c r="D156" s="55">
        <f t="shared" si="5"/>
        <v>0</v>
      </c>
      <c r="E156" s="55"/>
      <c r="F156" s="55">
        <f t="shared" ca="1" si="6"/>
        <v>0</v>
      </c>
      <c r="G156" s="51"/>
      <c r="H156" s="78">
        <f t="shared" ca="1" si="7"/>
        <v>0</v>
      </c>
      <c r="I156" s="53">
        <f t="shared" ca="1" si="8"/>
        <v>0</v>
      </c>
      <c r="J156" s="58"/>
      <c r="K156" s="58"/>
    </row>
    <row r="157" spans="1:11" s="41" customFormat="1" ht="15">
      <c r="A157" s="50">
        <v>2</v>
      </c>
      <c r="B157" s="51" t="str">
        <f ca="1">IF($A157="","",NumList())</f>
        <v>4.1</v>
      </c>
      <c r="C157" s="81" t="s">
        <v>406</v>
      </c>
      <c r="D157" s="55">
        <f t="shared" si="5"/>
        <v>0</v>
      </c>
      <c r="E157" s="55"/>
      <c r="F157" s="55">
        <f t="shared" ca="1" si="6"/>
        <v>0</v>
      </c>
      <c r="G157" s="51"/>
      <c r="H157" s="78">
        <f t="shared" ca="1" si="7"/>
        <v>0</v>
      </c>
      <c r="I157" s="53">
        <f t="shared" ca="1" si="8"/>
        <v>0</v>
      </c>
      <c r="J157" s="58"/>
      <c r="K157" s="58"/>
    </row>
    <row r="158" spans="1:11" s="41" customFormat="1" ht="15">
      <c r="A158" s="50">
        <v>3</v>
      </c>
      <c r="B158" s="51" t="str">
        <f ca="1">IF($A158="","",NumList())</f>
        <v>4.1.1</v>
      </c>
      <c r="C158" s="61" t="s">
        <v>56</v>
      </c>
      <c r="D158" s="55">
        <f t="shared" ref="D158:D221" si="9">IF(ISTEXT(G158),1,0)</f>
        <v>1</v>
      </c>
      <c r="E158" s="55"/>
      <c r="F158" s="55">
        <f t="shared" ref="F158:F221" ca="1" si="10">IF(ISTEXT(G158),RANDBETWEEN(1,100),0)</f>
        <v>18</v>
      </c>
      <c r="G158" s="51" t="s">
        <v>8</v>
      </c>
      <c r="H158" s="78">
        <f t="shared" ref="H158:H221" ca="1" si="11">IF(ISTEXT(G158),RANDBETWEEN(1,100),0)</f>
        <v>26</v>
      </c>
      <c r="I158" s="53">
        <f t="shared" ca="1" si="8"/>
        <v>468</v>
      </c>
      <c r="J158" s="58"/>
      <c r="K158" s="58"/>
    </row>
    <row r="159" spans="1:11" s="41" customFormat="1" ht="15">
      <c r="A159" s="50">
        <v>3</v>
      </c>
      <c r="B159" s="51" t="str">
        <f ca="1">IF($A159="","",NumList())</f>
        <v>4.1.2</v>
      </c>
      <c r="C159" s="61" t="s">
        <v>57</v>
      </c>
      <c r="D159" s="55">
        <f t="shared" si="9"/>
        <v>1</v>
      </c>
      <c r="E159" s="55"/>
      <c r="F159" s="55">
        <f t="shared" ca="1" si="10"/>
        <v>86</v>
      </c>
      <c r="G159" s="51" t="s">
        <v>8</v>
      </c>
      <c r="H159" s="78">
        <f t="shared" ca="1" si="11"/>
        <v>23</v>
      </c>
      <c r="I159" s="53">
        <f t="shared" ca="1" si="8"/>
        <v>1978</v>
      </c>
      <c r="J159" s="58"/>
      <c r="K159" s="58"/>
    </row>
    <row r="160" spans="1:11" s="41" customFormat="1" ht="15">
      <c r="A160" s="50">
        <v>3</v>
      </c>
      <c r="B160" s="51" t="str">
        <f ca="1">IF($A160="","",NumList())</f>
        <v>4.1.3</v>
      </c>
      <c r="C160" s="61" t="s">
        <v>407</v>
      </c>
      <c r="D160" s="55">
        <f t="shared" si="9"/>
        <v>0</v>
      </c>
      <c r="E160" s="55"/>
      <c r="F160" s="55">
        <f t="shared" ca="1" si="10"/>
        <v>0</v>
      </c>
      <c r="G160" s="51"/>
      <c r="H160" s="78">
        <f t="shared" ca="1" si="11"/>
        <v>0</v>
      </c>
      <c r="I160" s="53">
        <f t="shared" ca="1" si="8"/>
        <v>0</v>
      </c>
      <c r="J160" s="58"/>
      <c r="K160" s="58"/>
    </row>
    <row r="161" spans="1:11" s="41" customFormat="1" ht="15">
      <c r="A161" s="50" t="s">
        <v>516</v>
      </c>
      <c r="B161" s="51" t="str">
        <f>IF($A161="","",NumList())</f>
        <v/>
      </c>
      <c r="C161" s="61"/>
      <c r="D161" s="55">
        <f t="shared" si="9"/>
        <v>0</v>
      </c>
      <c r="E161" s="55"/>
      <c r="F161" s="55">
        <f t="shared" ca="1" si="10"/>
        <v>0</v>
      </c>
      <c r="G161" s="51"/>
      <c r="H161" s="78">
        <f t="shared" ca="1" si="11"/>
        <v>0</v>
      </c>
      <c r="I161" s="53">
        <f t="shared" ca="1" si="8"/>
        <v>0</v>
      </c>
      <c r="J161" s="58"/>
      <c r="K161" s="58"/>
    </row>
    <row r="162" spans="1:11" s="41" customFormat="1" ht="28.5">
      <c r="A162" s="50">
        <v>2</v>
      </c>
      <c r="B162" s="51" t="str">
        <f ca="1">IF($A162="","",NumList())</f>
        <v>4.2</v>
      </c>
      <c r="C162" s="61" t="s">
        <v>408</v>
      </c>
      <c r="D162" s="55">
        <f t="shared" si="9"/>
        <v>1</v>
      </c>
      <c r="E162" s="55"/>
      <c r="F162" s="55">
        <f t="shared" ca="1" si="10"/>
        <v>41</v>
      </c>
      <c r="G162" s="51" t="s">
        <v>8</v>
      </c>
      <c r="H162" s="78">
        <f t="shared" ca="1" si="11"/>
        <v>22</v>
      </c>
      <c r="I162" s="53">
        <f t="shared" ca="1" si="8"/>
        <v>902</v>
      </c>
      <c r="J162" s="58"/>
      <c r="K162" s="58"/>
    </row>
    <row r="163" spans="1:11" s="41" customFormat="1" ht="15">
      <c r="A163" s="50" t="s">
        <v>516</v>
      </c>
      <c r="B163" s="51" t="str">
        <f>IF($A163="","",NumList())</f>
        <v/>
      </c>
      <c r="C163" s="61"/>
      <c r="D163" s="55">
        <f t="shared" si="9"/>
        <v>0</v>
      </c>
      <c r="E163" s="55"/>
      <c r="F163" s="55">
        <f t="shared" ca="1" si="10"/>
        <v>0</v>
      </c>
      <c r="G163" s="51"/>
      <c r="H163" s="78">
        <f t="shared" ca="1" si="11"/>
        <v>0</v>
      </c>
      <c r="I163" s="53">
        <f t="shared" ca="1" si="8"/>
        <v>0</v>
      </c>
      <c r="J163" s="58"/>
      <c r="K163" s="58"/>
    </row>
    <row r="164" spans="1:11" s="41" customFormat="1" ht="43.5">
      <c r="A164" s="50">
        <v>1</v>
      </c>
      <c r="B164" s="51">
        <f ca="1">IF($A164="","",NumList())</f>
        <v>5</v>
      </c>
      <c r="C164" s="63" t="s">
        <v>589</v>
      </c>
      <c r="D164" s="55">
        <f t="shared" si="9"/>
        <v>0</v>
      </c>
      <c r="E164" s="55"/>
      <c r="F164" s="55">
        <f t="shared" ca="1" si="10"/>
        <v>0</v>
      </c>
      <c r="G164" s="51"/>
      <c r="H164" s="78">
        <f t="shared" ca="1" si="11"/>
        <v>0</v>
      </c>
      <c r="I164" s="53">
        <f t="shared" ca="1" si="8"/>
        <v>0</v>
      </c>
      <c r="J164" s="58"/>
      <c r="K164" s="58"/>
    </row>
    <row r="165" spans="1:11" s="41" customFormat="1" ht="28.5">
      <c r="A165" s="50">
        <v>2</v>
      </c>
      <c r="B165" s="51" t="str">
        <f ca="1">IF($A165="","",NumList())</f>
        <v>5.1</v>
      </c>
      <c r="C165" s="61" t="s">
        <v>409</v>
      </c>
      <c r="D165" s="55">
        <f t="shared" si="9"/>
        <v>0</v>
      </c>
      <c r="E165" s="55"/>
      <c r="F165" s="55">
        <f t="shared" ca="1" si="10"/>
        <v>0</v>
      </c>
      <c r="G165" s="51"/>
      <c r="H165" s="78">
        <f t="shared" ca="1" si="11"/>
        <v>0</v>
      </c>
      <c r="I165" s="53">
        <f t="shared" ca="1" si="8"/>
        <v>0</v>
      </c>
      <c r="J165" s="58"/>
      <c r="K165" s="58"/>
    </row>
    <row r="166" spans="1:11" s="41" customFormat="1" ht="15">
      <c r="A166" s="50">
        <v>3</v>
      </c>
      <c r="B166" s="51" t="str">
        <f ca="1">IF($A166="","",NumList())</f>
        <v>5.1.1</v>
      </c>
      <c r="C166" s="61" t="s">
        <v>56</v>
      </c>
      <c r="D166" s="55">
        <f t="shared" si="9"/>
        <v>1</v>
      </c>
      <c r="E166" s="55"/>
      <c r="F166" s="55">
        <f t="shared" ca="1" si="10"/>
        <v>4</v>
      </c>
      <c r="G166" s="51" t="s">
        <v>8</v>
      </c>
      <c r="H166" s="78">
        <f t="shared" ca="1" si="11"/>
        <v>65</v>
      </c>
      <c r="I166" s="53">
        <f t="shared" ca="1" si="8"/>
        <v>260</v>
      </c>
      <c r="J166" s="58"/>
      <c r="K166" s="58"/>
    </row>
    <row r="167" spans="1:11" s="41" customFormat="1" ht="15">
      <c r="A167" s="50">
        <v>3</v>
      </c>
      <c r="B167" s="51" t="str">
        <f ca="1">IF($A167="","",NumList())</f>
        <v>5.1.2</v>
      </c>
      <c r="C167" s="61" t="s">
        <v>57</v>
      </c>
      <c r="D167" s="55">
        <f t="shared" si="9"/>
        <v>1</v>
      </c>
      <c r="E167" s="55"/>
      <c r="F167" s="55">
        <f t="shared" ca="1" si="10"/>
        <v>8</v>
      </c>
      <c r="G167" s="51" t="s">
        <v>8</v>
      </c>
      <c r="H167" s="78">
        <f t="shared" ca="1" si="11"/>
        <v>10</v>
      </c>
      <c r="I167" s="53">
        <f t="shared" ca="1" si="8"/>
        <v>80</v>
      </c>
      <c r="J167" s="58"/>
      <c r="K167" s="58"/>
    </row>
    <row r="168" spans="1:11" s="41" customFormat="1" ht="15">
      <c r="A168" s="50">
        <v>3</v>
      </c>
      <c r="B168" s="51" t="str">
        <f ca="1">IF($A168="","",NumList())</f>
        <v>5.1.3</v>
      </c>
      <c r="C168" s="61" t="s">
        <v>58</v>
      </c>
      <c r="D168" s="55">
        <f t="shared" si="9"/>
        <v>1</v>
      </c>
      <c r="E168" s="55"/>
      <c r="F168" s="55">
        <f t="shared" ca="1" si="10"/>
        <v>54</v>
      </c>
      <c r="G168" s="51" t="s">
        <v>8</v>
      </c>
      <c r="H168" s="78">
        <f t="shared" ca="1" si="11"/>
        <v>4</v>
      </c>
      <c r="I168" s="53">
        <f t="shared" ca="1" si="8"/>
        <v>216</v>
      </c>
      <c r="J168" s="58"/>
      <c r="K168" s="58"/>
    </row>
    <row r="169" spans="1:11" s="41" customFormat="1" ht="15">
      <c r="A169" s="50" t="s">
        <v>516</v>
      </c>
      <c r="B169" s="51" t="str">
        <f>IF($A169="","",NumList())</f>
        <v/>
      </c>
      <c r="C169" s="61"/>
      <c r="D169" s="55">
        <f t="shared" si="9"/>
        <v>0</v>
      </c>
      <c r="E169" s="55"/>
      <c r="F169" s="55">
        <f t="shared" ca="1" si="10"/>
        <v>0</v>
      </c>
      <c r="G169" s="51"/>
      <c r="H169" s="78">
        <f t="shared" ca="1" si="11"/>
        <v>0</v>
      </c>
      <c r="I169" s="53">
        <f t="shared" ca="1" si="8"/>
        <v>0</v>
      </c>
      <c r="J169" s="58"/>
      <c r="K169" s="58"/>
    </row>
    <row r="170" spans="1:11" s="41" customFormat="1" ht="28.5">
      <c r="A170" s="50">
        <v>2</v>
      </c>
      <c r="B170" s="51" t="str">
        <f ca="1">IF($A170="","",NumList())</f>
        <v>5.2</v>
      </c>
      <c r="C170" s="61" t="s">
        <v>477</v>
      </c>
      <c r="D170" s="55">
        <f t="shared" si="9"/>
        <v>1</v>
      </c>
      <c r="E170" s="55"/>
      <c r="F170" s="55">
        <f t="shared" ca="1" si="10"/>
        <v>13</v>
      </c>
      <c r="G170" s="51" t="s">
        <v>8</v>
      </c>
      <c r="H170" s="78">
        <f t="shared" ca="1" si="11"/>
        <v>37</v>
      </c>
      <c r="I170" s="53">
        <f t="shared" ca="1" si="8"/>
        <v>481</v>
      </c>
      <c r="J170" s="58"/>
      <c r="K170" s="58"/>
    </row>
    <row r="171" spans="1:11" s="41" customFormat="1" ht="15">
      <c r="A171" s="50" t="s">
        <v>516</v>
      </c>
      <c r="B171" s="51" t="str">
        <f>IF($A171="","",NumList())</f>
        <v/>
      </c>
      <c r="C171" s="61"/>
      <c r="D171" s="55">
        <f t="shared" si="9"/>
        <v>0</v>
      </c>
      <c r="E171" s="55"/>
      <c r="F171" s="55">
        <f t="shared" ca="1" si="10"/>
        <v>0</v>
      </c>
      <c r="G171" s="51"/>
      <c r="H171" s="78">
        <f t="shared" ca="1" si="11"/>
        <v>0</v>
      </c>
      <c r="I171" s="53">
        <f t="shared" ca="1" si="8"/>
        <v>0</v>
      </c>
      <c r="J171" s="58"/>
      <c r="K171" s="58"/>
    </row>
    <row r="172" spans="1:11" s="41" customFormat="1" ht="43.5">
      <c r="A172" s="50">
        <v>1</v>
      </c>
      <c r="B172" s="51">
        <f ca="1">IF($A172="","",NumList())</f>
        <v>6</v>
      </c>
      <c r="C172" s="63" t="s">
        <v>590</v>
      </c>
      <c r="D172" s="55"/>
      <c r="E172" s="46"/>
      <c r="F172" s="55"/>
      <c r="G172" s="78"/>
      <c r="H172" s="78"/>
      <c r="I172" s="53">
        <f t="shared" si="8"/>
        <v>0</v>
      </c>
    </row>
    <row r="173" spans="1:11" s="41" customFormat="1" ht="15">
      <c r="A173" s="50">
        <v>2</v>
      </c>
      <c r="B173" s="51" t="str">
        <f ca="1">IF($A173="","",NumList())</f>
        <v>6.1</v>
      </c>
      <c r="C173" s="61" t="s">
        <v>22</v>
      </c>
      <c r="D173" s="55">
        <f t="shared" si="9"/>
        <v>1</v>
      </c>
      <c r="E173" s="55"/>
      <c r="F173" s="55">
        <f t="shared" ca="1" si="10"/>
        <v>38</v>
      </c>
      <c r="G173" s="51" t="s">
        <v>8</v>
      </c>
      <c r="H173" s="78">
        <f t="shared" ca="1" si="11"/>
        <v>53</v>
      </c>
      <c r="I173" s="53">
        <f t="shared" ca="1" si="8"/>
        <v>2014</v>
      </c>
      <c r="J173" s="58"/>
      <c r="K173" s="58"/>
    </row>
    <row r="174" spans="1:11" s="41" customFormat="1" ht="15">
      <c r="A174" s="50">
        <v>2</v>
      </c>
      <c r="B174" s="51" t="str">
        <f ca="1">IF($A174="","",NumList())</f>
        <v>6.2</v>
      </c>
      <c r="C174" s="61" t="s">
        <v>34</v>
      </c>
      <c r="D174" s="55">
        <f t="shared" si="9"/>
        <v>1</v>
      </c>
      <c r="E174" s="55"/>
      <c r="F174" s="55">
        <f t="shared" ca="1" si="10"/>
        <v>100</v>
      </c>
      <c r="G174" s="51" t="s">
        <v>8</v>
      </c>
      <c r="H174" s="78">
        <f t="shared" ca="1" si="11"/>
        <v>8</v>
      </c>
      <c r="I174" s="53">
        <f t="shared" ca="1" si="8"/>
        <v>800</v>
      </c>
      <c r="J174" s="58"/>
      <c r="K174" s="58"/>
    </row>
    <row r="175" spans="1:11" s="41" customFormat="1" ht="15">
      <c r="A175" s="50" t="s">
        <v>516</v>
      </c>
      <c r="B175" s="51" t="str">
        <f>IF($A175="","",NumList())</f>
        <v/>
      </c>
      <c r="C175" s="61"/>
      <c r="D175" s="55">
        <f t="shared" si="9"/>
        <v>0</v>
      </c>
      <c r="E175" s="55"/>
      <c r="F175" s="55">
        <f t="shared" ca="1" si="10"/>
        <v>0</v>
      </c>
      <c r="G175" s="51"/>
      <c r="H175" s="78">
        <f t="shared" ca="1" si="11"/>
        <v>0</v>
      </c>
      <c r="I175" s="53">
        <f t="shared" ca="1" si="8"/>
        <v>0</v>
      </c>
      <c r="J175" s="58"/>
      <c r="K175" s="58"/>
    </row>
    <row r="176" spans="1:11" s="41" customFormat="1" ht="15">
      <c r="A176" s="50">
        <v>1</v>
      </c>
      <c r="B176" s="51">
        <f ca="1">IF($A176="","",NumList())</f>
        <v>7</v>
      </c>
      <c r="C176" s="52" t="s">
        <v>38</v>
      </c>
      <c r="D176" s="55">
        <f t="shared" si="9"/>
        <v>0</v>
      </c>
      <c r="E176" s="48"/>
      <c r="F176" s="55">
        <f t="shared" ca="1" si="10"/>
        <v>0</v>
      </c>
      <c r="G176" s="46"/>
      <c r="H176" s="78">
        <f t="shared" ca="1" si="11"/>
        <v>0</v>
      </c>
      <c r="I176" s="53">
        <f t="shared" ca="1" si="8"/>
        <v>0</v>
      </c>
      <c r="J176" s="58"/>
      <c r="K176" s="58"/>
    </row>
    <row r="177" spans="1:11" s="41" customFormat="1" ht="42.75">
      <c r="A177" s="50">
        <v>2</v>
      </c>
      <c r="B177" s="51" t="str">
        <f ca="1">IF($A177="","",NumList())</f>
        <v>7.1</v>
      </c>
      <c r="C177" s="62" t="s">
        <v>591</v>
      </c>
      <c r="D177" s="55">
        <f t="shared" si="9"/>
        <v>0</v>
      </c>
      <c r="E177" s="55"/>
      <c r="F177" s="55">
        <f t="shared" ca="1" si="10"/>
        <v>0</v>
      </c>
      <c r="G177" s="51"/>
      <c r="H177" s="78">
        <f t="shared" ca="1" si="11"/>
        <v>0</v>
      </c>
      <c r="I177" s="53">
        <f t="shared" ca="1" si="8"/>
        <v>0</v>
      </c>
      <c r="J177" s="58"/>
      <c r="K177" s="58"/>
    </row>
    <row r="178" spans="1:11" s="41" customFormat="1" ht="15">
      <c r="A178" s="50">
        <v>3</v>
      </c>
      <c r="B178" s="51" t="str">
        <f ca="1">IF($A178="","",NumList())</f>
        <v>7.1.1</v>
      </c>
      <c r="C178" s="62" t="s">
        <v>312</v>
      </c>
      <c r="D178" s="55">
        <f t="shared" si="9"/>
        <v>1</v>
      </c>
      <c r="E178" s="55"/>
      <c r="F178" s="55">
        <f t="shared" ca="1" si="10"/>
        <v>51</v>
      </c>
      <c r="G178" s="51" t="s">
        <v>8</v>
      </c>
      <c r="H178" s="78">
        <f t="shared" ca="1" si="11"/>
        <v>19</v>
      </c>
      <c r="I178" s="53">
        <f t="shared" ca="1" si="8"/>
        <v>969</v>
      </c>
      <c r="J178" s="58"/>
      <c r="K178" s="58"/>
    </row>
    <row r="179" spans="1:11" s="41" customFormat="1" ht="15">
      <c r="A179" s="50">
        <v>3</v>
      </c>
      <c r="B179" s="51" t="str">
        <f ca="1">IF($A179="","",NumList())</f>
        <v>7.1.2</v>
      </c>
      <c r="C179" s="62" t="s">
        <v>313</v>
      </c>
      <c r="D179" s="55">
        <f t="shared" si="9"/>
        <v>1</v>
      </c>
      <c r="E179" s="55"/>
      <c r="F179" s="55">
        <f t="shared" ca="1" si="10"/>
        <v>40</v>
      </c>
      <c r="G179" s="51" t="s">
        <v>8</v>
      </c>
      <c r="H179" s="78">
        <f t="shared" ca="1" si="11"/>
        <v>14</v>
      </c>
      <c r="I179" s="53">
        <f t="shared" ca="1" si="8"/>
        <v>560</v>
      </c>
      <c r="J179" s="58"/>
      <c r="K179" s="58"/>
    </row>
    <row r="180" spans="1:11" s="41" customFormat="1" ht="15">
      <c r="A180" s="50">
        <v>3</v>
      </c>
      <c r="B180" s="51" t="str">
        <f ca="1">IF($A180="","",NumList())</f>
        <v>7.1.3</v>
      </c>
      <c r="C180" s="62" t="s">
        <v>314</v>
      </c>
      <c r="D180" s="55">
        <f t="shared" si="9"/>
        <v>1</v>
      </c>
      <c r="E180" s="55"/>
      <c r="F180" s="55">
        <f t="shared" ca="1" si="10"/>
        <v>73</v>
      </c>
      <c r="G180" s="51" t="s">
        <v>8</v>
      </c>
      <c r="H180" s="78">
        <f t="shared" ca="1" si="11"/>
        <v>31</v>
      </c>
      <c r="I180" s="53">
        <f t="shared" ca="1" si="8"/>
        <v>2263</v>
      </c>
      <c r="J180" s="58"/>
      <c r="K180" s="58"/>
    </row>
    <row r="181" spans="1:11" s="41" customFormat="1" ht="15">
      <c r="A181" s="50">
        <v>3</v>
      </c>
      <c r="B181" s="51" t="str">
        <f ca="1">IF($A181="","",NumList())</f>
        <v>7.1.4</v>
      </c>
      <c r="C181" s="62" t="s">
        <v>315</v>
      </c>
      <c r="D181" s="55">
        <f t="shared" si="9"/>
        <v>1</v>
      </c>
      <c r="E181" s="55"/>
      <c r="F181" s="55">
        <f t="shared" ca="1" si="10"/>
        <v>87</v>
      </c>
      <c r="G181" s="51" t="s">
        <v>8</v>
      </c>
      <c r="H181" s="78">
        <f t="shared" ca="1" si="11"/>
        <v>71</v>
      </c>
      <c r="I181" s="53">
        <f t="shared" ca="1" si="8"/>
        <v>6177</v>
      </c>
      <c r="J181" s="58"/>
      <c r="K181" s="58"/>
    </row>
    <row r="182" spans="1:11" s="41" customFormat="1" ht="15">
      <c r="A182" s="50">
        <v>3</v>
      </c>
      <c r="B182" s="51" t="str">
        <f ca="1">IF($A182="","",NumList())</f>
        <v>7.1.5</v>
      </c>
      <c r="C182" s="62" t="s">
        <v>316</v>
      </c>
      <c r="D182" s="55">
        <f t="shared" si="9"/>
        <v>1</v>
      </c>
      <c r="E182" s="55"/>
      <c r="F182" s="55">
        <f t="shared" ca="1" si="10"/>
        <v>62</v>
      </c>
      <c r="G182" s="51" t="s">
        <v>8</v>
      </c>
      <c r="H182" s="78">
        <f t="shared" ca="1" si="11"/>
        <v>56</v>
      </c>
      <c r="I182" s="53">
        <f t="shared" ca="1" si="8"/>
        <v>3472</v>
      </c>
      <c r="J182" s="58"/>
      <c r="K182" s="58"/>
    </row>
    <row r="183" spans="1:11" s="41" customFormat="1" ht="15">
      <c r="A183" s="50">
        <v>3</v>
      </c>
      <c r="B183" s="51" t="str">
        <f ca="1">IF($A183="","",NumList())</f>
        <v>7.1.6</v>
      </c>
      <c r="C183" s="62" t="s">
        <v>321</v>
      </c>
      <c r="D183" s="55">
        <f t="shared" si="9"/>
        <v>1</v>
      </c>
      <c r="E183" s="55"/>
      <c r="F183" s="55">
        <f t="shared" ca="1" si="10"/>
        <v>62</v>
      </c>
      <c r="G183" s="51" t="s">
        <v>8</v>
      </c>
      <c r="H183" s="78">
        <f t="shared" ca="1" si="11"/>
        <v>68</v>
      </c>
      <c r="I183" s="53">
        <f t="shared" ca="1" si="8"/>
        <v>4216</v>
      </c>
      <c r="J183" s="58"/>
      <c r="K183" s="58"/>
    </row>
    <row r="184" spans="1:11" s="41" customFormat="1" ht="15">
      <c r="A184" s="50">
        <v>3</v>
      </c>
      <c r="B184" s="51" t="str">
        <f ca="1">IF($A184="","",NumList())</f>
        <v>7.1.7</v>
      </c>
      <c r="C184" s="62" t="s">
        <v>322</v>
      </c>
      <c r="D184" s="55">
        <f t="shared" si="9"/>
        <v>1</v>
      </c>
      <c r="E184" s="55"/>
      <c r="F184" s="55">
        <f t="shared" ca="1" si="10"/>
        <v>45</v>
      </c>
      <c r="G184" s="51" t="s">
        <v>8</v>
      </c>
      <c r="H184" s="78">
        <f t="shared" ca="1" si="11"/>
        <v>52</v>
      </c>
      <c r="I184" s="53">
        <f t="shared" ca="1" si="8"/>
        <v>2340</v>
      </c>
      <c r="J184" s="58"/>
      <c r="K184" s="58"/>
    </row>
    <row r="185" spans="1:11" s="41" customFormat="1" ht="15">
      <c r="A185" s="50">
        <v>3</v>
      </c>
      <c r="B185" s="51" t="str">
        <f ca="1">IF($A185="","",NumList())</f>
        <v>7.1.8</v>
      </c>
      <c r="C185" s="62" t="s">
        <v>323</v>
      </c>
      <c r="D185" s="55">
        <f t="shared" si="9"/>
        <v>1</v>
      </c>
      <c r="E185" s="55"/>
      <c r="F185" s="55">
        <f t="shared" ca="1" si="10"/>
        <v>78</v>
      </c>
      <c r="G185" s="51" t="s">
        <v>8</v>
      </c>
      <c r="H185" s="78">
        <f t="shared" ca="1" si="11"/>
        <v>23</v>
      </c>
      <c r="I185" s="53">
        <f t="shared" ca="1" si="8"/>
        <v>1794</v>
      </c>
      <c r="J185" s="58"/>
      <c r="K185" s="58"/>
    </row>
    <row r="186" spans="1:11" s="41" customFormat="1" ht="15">
      <c r="A186" s="50">
        <v>3</v>
      </c>
      <c r="B186" s="51" t="str">
        <f ca="1">IF($A186="","",NumList())</f>
        <v>7.1.9</v>
      </c>
      <c r="C186" s="62" t="s">
        <v>324</v>
      </c>
      <c r="D186" s="55">
        <f t="shared" si="9"/>
        <v>1</v>
      </c>
      <c r="E186" s="55"/>
      <c r="F186" s="55">
        <f t="shared" ca="1" si="10"/>
        <v>28</v>
      </c>
      <c r="G186" s="51" t="s">
        <v>8</v>
      </c>
      <c r="H186" s="78">
        <f t="shared" ca="1" si="11"/>
        <v>27</v>
      </c>
      <c r="I186" s="53">
        <f t="shared" ca="1" si="8"/>
        <v>756</v>
      </c>
      <c r="J186" s="58"/>
      <c r="K186" s="58"/>
    </row>
    <row r="187" spans="1:11" s="41" customFormat="1" ht="15">
      <c r="A187" s="50">
        <v>3</v>
      </c>
      <c r="B187" s="51" t="str">
        <f ca="1">IF($A187="","",NumList())</f>
        <v>7.1.10</v>
      </c>
      <c r="C187" s="62" t="s">
        <v>326</v>
      </c>
      <c r="D187" s="55">
        <f t="shared" si="9"/>
        <v>1</v>
      </c>
      <c r="E187" s="55"/>
      <c r="F187" s="55">
        <f t="shared" ca="1" si="10"/>
        <v>93</v>
      </c>
      <c r="G187" s="51" t="s">
        <v>8</v>
      </c>
      <c r="H187" s="78">
        <f t="shared" ca="1" si="11"/>
        <v>81</v>
      </c>
      <c r="I187" s="53">
        <f t="shared" ca="1" si="8"/>
        <v>7533</v>
      </c>
      <c r="J187" s="58"/>
      <c r="K187" s="58"/>
    </row>
    <row r="188" spans="1:11" s="41" customFormat="1" ht="44.25" customHeight="1">
      <c r="A188" s="50">
        <v>2</v>
      </c>
      <c r="B188" s="51" t="str">
        <f ca="1">IF($A188="","",NumList())</f>
        <v>7.2</v>
      </c>
      <c r="C188" s="62" t="s">
        <v>592</v>
      </c>
      <c r="D188" s="55">
        <f t="shared" si="9"/>
        <v>0</v>
      </c>
      <c r="E188" s="55"/>
      <c r="F188" s="55">
        <f t="shared" ca="1" si="10"/>
        <v>0</v>
      </c>
      <c r="G188" s="51"/>
      <c r="H188" s="78">
        <f t="shared" ca="1" si="11"/>
        <v>0</v>
      </c>
      <c r="I188" s="53">
        <f t="shared" ca="1" si="8"/>
        <v>0</v>
      </c>
    </row>
    <row r="189" spans="1:11" s="41" customFormat="1" ht="15">
      <c r="A189" s="50">
        <v>3</v>
      </c>
      <c r="B189" s="51" t="str">
        <f ca="1">IF($A189="","",NumList())</f>
        <v>7.2.1</v>
      </c>
      <c r="C189" s="62" t="s">
        <v>312</v>
      </c>
      <c r="D189" s="55">
        <f t="shared" si="9"/>
        <v>1</v>
      </c>
      <c r="E189" s="55"/>
      <c r="F189" s="55">
        <f t="shared" ca="1" si="10"/>
        <v>34</v>
      </c>
      <c r="G189" s="51" t="s">
        <v>8</v>
      </c>
      <c r="H189" s="78">
        <f t="shared" ca="1" si="11"/>
        <v>30</v>
      </c>
      <c r="I189" s="53">
        <f t="shared" ca="1" si="8"/>
        <v>1020</v>
      </c>
      <c r="J189" s="58"/>
      <c r="K189" s="58"/>
    </row>
    <row r="190" spans="1:11" s="41" customFormat="1" ht="15">
      <c r="A190" s="50">
        <v>3</v>
      </c>
      <c r="B190" s="51" t="str">
        <f ca="1">IF($A190="","",NumList())</f>
        <v>7.2.2</v>
      </c>
      <c r="C190" s="62" t="s">
        <v>313</v>
      </c>
      <c r="D190" s="55">
        <f t="shared" si="9"/>
        <v>1</v>
      </c>
      <c r="E190" s="55"/>
      <c r="F190" s="55">
        <f t="shared" ca="1" si="10"/>
        <v>41</v>
      </c>
      <c r="G190" s="51" t="s">
        <v>8</v>
      </c>
      <c r="H190" s="78">
        <f t="shared" ca="1" si="11"/>
        <v>82</v>
      </c>
      <c r="I190" s="53">
        <f t="shared" ca="1" si="8"/>
        <v>3362</v>
      </c>
      <c r="J190" s="58"/>
      <c r="K190" s="58"/>
    </row>
    <row r="191" spans="1:11" s="41" customFormat="1" ht="15">
      <c r="A191" s="50">
        <v>3</v>
      </c>
      <c r="B191" s="51" t="str">
        <f ca="1">IF($A191="","",NumList())</f>
        <v>7.2.3</v>
      </c>
      <c r="C191" s="62" t="s">
        <v>314</v>
      </c>
      <c r="D191" s="55">
        <f t="shared" si="9"/>
        <v>1</v>
      </c>
      <c r="E191" s="55"/>
      <c r="F191" s="55">
        <f t="shared" ca="1" si="10"/>
        <v>36</v>
      </c>
      <c r="G191" s="51" t="s">
        <v>8</v>
      </c>
      <c r="H191" s="78">
        <f t="shared" ca="1" si="11"/>
        <v>92</v>
      </c>
      <c r="I191" s="53">
        <f t="shared" ca="1" si="8"/>
        <v>3312</v>
      </c>
      <c r="J191" s="58"/>
      <c r="K191" s="58"/>
    </row>
    <row r="192" spans="1:11" s="41" customFormat="1" ht="15">
      <c r="A192" s="50">
        <v>3</v>
      </c>
      <c r="B192" s="51" t="str">
        <f ca="1">IF($A192="","",NumList())</f>
        <v>7.2.4</v>
      </c>
      <c r="C192" s="62" t="s">
        <v>315</v>
      </c>
      <c r="D192" s="55">
        <f t="shared" si="9"/>
        <v>1</v>
      </c>
      <c r="E192" s="55"/>
      <c r="F192" s="55">
        <f t="shared" ca="1" si="10"/>
        <v>82</v>
      </c>
      <c r="G192" s="51" t="s">
        <v>8</v>
      </c>
      <c r="H192" s="78">
        <f t="shared" ca="1" si="11"/>
        <v>16</v>
      </c>
      <c r="I192" s="53">
        <f t="shared" ca="1" si="8"/>
        <v>1312</v>
      </c>
      <c r="J192" s="58"/>
      <c r="K192" s="58"/>
    </row>
    <row r="193" spans="1:11" s="41" customFormat="1" ht="15">
      <c r="A193" s="50">
        <v>3</v>
      </c>
      <c r="B193" s="51" t="str">
        <f ca="1">IF($A193="","",NumList())</f>
        <v>7.2.5</v>
      </c>
      <c r="C193" s="62" t="s">
        <v>316</v>
      </c>
      <c r="D193" s="55">
        <f t="shared" si="9"/>
        <v>1</v>
      </c>
      <c r="E193" s="55"/>
      <c r="F193" s="55">
        <f t="shared" ca="1" si="10"/>
        <v>80</v>
      </c>
      <c r="G193" s="51" t="s">
        <v>8</v>
      </c>
      <c r="H193" s="78">
        <f t="shared" ca="1" si="11"/>
        <v>94</v>
      </c>
      <c r="I193" s="53">
        <f t="shared" ca="1" si="8"/>
        <v>7520</v>
      </c>
      <c r="J193" s="58"/>
      <c r="K193" s="58"/>
    </row>
    <row r="194" spans="1:11" s="41" customFormat="1" ht="15">
      <c r="A194" s="50">
        <v>3</v>
      </c>
      <c r="B194" s="51" t="str">
        <f ca="1">IF($A194="","",NumList())</f>
        <v>7.2.6</v>
      </c>
      <c r="C194" s="62" t="s">
        <v>321</v>
      </c>
      <c r="D194" s="55">
        <f t="shared" si="9"/>
        <v>1</v>
      </c>
      <c r="E194" s="55"/>
      <c r="F194" s="55">
        <f t="shared" ca="1" si="10"/>
        <v>60</v>
      </c>
      <c r="G194" s="51" t="s">
        <v>8</v>
      </c>
      <c r="H194" s="78">
        <f t="shared" ca="1" si="11"/>
        <v>63</v>
      </c>
      <c r="I194" s="53">
        <f t="shared" ca="1" si="8"/>
        <v>3780</v>
      </c>
      <c r="J194" s="58"/>
      <c r="K194" s="58"/>
    </row>
    <row r="195" spans="1:11" s="41" customFormat="1" ht="15">
      <c r="A195" s="50">
        <v>3</v>
      </c>
      <c r="B195" s="51" t="str">
        <f ca="1">IF($A195="","",NumList())</f>
        <v>7.2.7</v>
      </c>
      <c r="C195" s="62" t="s">
        <v>322</v>
      </c>
      <c r="D195" s="55">
        <f t="shared" si="9"/>
        <v>1</v>
      </c>
      <c r="E195" s="55"/>
      <c r="F195" s="55">
        <f t="shared" ca="1" si="10"/>
        <v>19</v>
      </c>
      <c r="G195" s="51" t="s">
        <v>8</v>
      </c>
      <c r="H195" s="78">
        <f t="shared" ca="1" si="11"/>
        <v>95</v>
      </c>
      <c r="I195" s="53">
        <f t="shared" ca="1" si="8"/>
        <v>1805</v>
      </c>
      <c r="J195" s="58"/>
      <c r="K195" s="58"/>
    </row>
    <row r="196" spans="1:11" s="41" customFormat="1" ht="15">
      <c r="A196" s="50">
        <v>3</v>
      </c>
      <c r="B196" s="51" t="str">
        <f ca="1">IF($A196="","",NumList())</f>
        <v>7.2.8</v>
      </c>
      <c r="C196" s="62" t="s">
        <v>323</v>
      </c>
      <c r="D196" s="55">
        <f t="shared" si="9"/>
        <v>1</v>
      </c>
      <c r="E196" s="55"/>
      <c r="F196" s="55">
        <f t="shared" ca="1" si="10"/>
        <v>35</v>
      </c>
      <c r="G196" s="51" t="s">
        <v>8</v>
      </c>
      <c r="H196" s="78">
        <f t="shared" ca="1" si="11"/>
        <v>15</v>
      </c>
      <c r="I196" s="53">
        <f t="shared" ca="1" si="8"/>
        <v>525</v>
      </c>
      <c r="J196" s="58"/>
      <c r="K196" s="58"/>
    </row>
    <row r="197" spans="1:11" s="41" customFormat="1" ht="15">
      <c r="A197" s="50">
        <v>3</v>
      </c>
      <c r="B197" s="51" t="str">
        <f ca="1">IF($A197="","",NumList())</f>
        <v>7.2.9</v>
      </c>
      <c r="C197" s="62" t="s">
        <v>324</v>
      </c>
      <c r="D197" s="55">
        <f t="shared" si="9"/>
        <v>1</v>
      </c>
      <c r="E197" s="55"/>
      <c r="F197" s="55">
        <f t="shared" ca="1" si="10"/>
        <v>79</v>
      </c>
      <c r="G197" s="51" t="s">
        <v>8</v>
      </c>
      <c r="H197" s="78">
        <f t="shared" ca="1" si="11"/>
        <v>90</v>
      </c>
      <c r="I197" s="53">
        <f t="shared" ca="1" si="8"/>
        <v>7110</v>
      </c>
      <c r="J197" s="58"/>
      <c r="K197" s="58"/>
    </row>
    <row r="198" spans="1:11" s="41" customFormat="1" ht="15">
      <c r="A198" s="50">
        <v>3</v>
      </c>
      <c r="B198" s="51" t="str">
        <f ca="1">IF($A198="","",NumList())</f>
        <v>7.2.10</v>
      </c>
      <c r="C198" s="62" t="s">
        <v>326</v>
      </c>
      <c r="D198" s="55">
        <f t="shared" si="9"/>
        <v>1</v>
      </c>
      <c r="E198" s="55"/>
      <c r="F198" s="55">
        <f t="shared" ca="1" si="10"/>
        <v>34</v>
      </c>
      <c r="G198" s="51" t="s">
        <v>8</v>
      </c>
      <c r="H198" s="78">
        <f t="shared" ca="1" si="11"/>
        <v>36</v>
      </c>
      <c r="I198" s="53">
        <f t="shared" ca="1" si="8"/>
        <v>1224</v>
      </c>
      <c r="J198" s="58"/>
      <c r="K198" s="58"/>
    </row>
    <row r="199" spans="1:11" s="41" customFormat="1" ht="15">
      <c r="A199" s="50" t="s">
        <v>516</v>
      </c>
      <c r="B199" s="51" t="str">
        <f>IF($A199="","",NumList())</f>
        <v/>
      </c>
      <c r="C199" s="62"/>
      <c r="D199" s="55">
        <f t="shared" si="9"/>
        <v>0</v>
      </c>
      <c r="E199" s="55"/>
      <c r="F199" s="55">
        <f t="shared" ca="1" si="10"/>
        <v>0</v>
      </c>
      <c r="G199" s="51"/>
      <c r="H199" s="78">
        <f t="shared" ca="1" si="11"/>
        <v>0</v>
      </c>
      <c r="I199" s="53">
        <f t="shared" ca="1" si="8"/>
        <v>0</v>
      </c>
      <c r="J199" s="58"/>
      <c r="K199" s="58"/>
    </row>
    <row r="200" spans="1:11" s="41" customFormat="1" ht="28.5">
      <c r="A200" s="50">
        <v>2</v>
      </c>
      <c r="B200" s="51" t="str">
        <f ca="1">IF($A200="","",NumList())</f>
        <v>7.3</v>
      </c>
      <c r="C200" s="62" t="s">
        <v>410</v>
      </c>
      <c r="D200" s="55">
        <f t="shared" si="9"/>
        <v>1</v>
      </c>
      <c r="E200" s="55"/>
      <c r="F200" s="55">
        <f t="shared" ca="1" si="10"/>
        <v>33</v>
      </c>
      <c r="G200" s="51" t="s">
        <v>8</v>
      </c>
      <c r="H200" s="78">
        <f t="shared" ca="1" si="11"/>
        <v>51</v>
      </c>
      <c r="I200" s="53">
        <f t="shared" ca="1" si="8"/>
        <v>1683</v>
      </c>
      <c r="J200" s="58"/>
      <c r="K200" s="58"/>
    </row>
    <row r="201" spans="1:11" s="41" customFormat="1" ht="28.5">
      <c r="A201" s="50">
        <v>2</v>
      </c>
      <c r="B201" s="51" t="str">
        <f ca="1">IF($A201="","",NumList())</f>
        <v>7.4</v>
      </c>
      <c r="C201" s="62" t="s">
        <v>411</v>
      </c>
      <c r="D201" s="55">
        <f t="shared" si="9"/>
        <v>1</v>
      </c>
      <c r="E201" s="55"/>
      <c r="F201" s="55">
        <f t="shared" ca="1" si="10"/>
        <v>36</v>
      </c>
      <c r="G201" s="51" t="s">
        <v>8</v>
      </c>
      <c r="H201" s="78">
        <f t="shared" ca="1" si="11"/>
        <v>4</v>
      </c>
      <c r="I201" s="53">
        <f t="shared" ca="1" si="8"/>
        <v>144</v>
      </c>
      <c r="J201" s="58"/>
      <c r="K201" s="58"/>
    </row>
    <row r="202" spans="1:11" s="41" customFormat="1" ht="28.5">
      <c r="A202" s="50">
        <v>2</v>
      </c>
      <c r="B202" s="51" t="str">
        <f ca="1">IF($A202="","",NumList())</f>
        <v>7.5</v>
      </c>
      <c r="C202" s="62" t="s">
        <v>412</v>
      </c>
      <c r="D202" s="55">
        <f t="shared" si="9"/>
        <v>1</v>
      </c>
      <c r="E202" s="55"/>
      <c r="F202" s="55">
        <f t="shared" ca="1" si="10"/>
        <v>33</v>
      </c>
      <c r="G202" s="51" t="s">
        <v>8</v>
      </c>
      <c r="H202" s="78">
        <f t="shared" ca="1" si="11"/>
        <v>57</v>
      </c>
      <c r="I202" s="53">
        <f t="shared" ca="1" si="8"/>
        <v>1881</v>
      </c>
      <c r="J202" s="58"/>
      <c r="K202" s="58"/>
    </row>
    <row r="203" spans="1:11" s="41" customFormat="1" ht="15">
      <c r="A203" s="50" t="s">
        <v>516</v>
      </c>
      <c r="B203" s="51" t="str">
        <f>IF($A203="","",NumList())</f>
        <v/>
      </c>
      <c r="C203" s="61"/>
      <c r="D203" s="55">
        <f t="shared" si="9"/>
        <v>0</v>
      </c>
      <c r="E203" s="55"/>
      <c r="F203" s="55">
        <f t="shared" ca="1" si="10"/>
        <v>0</v>
      </c>
      <c r="G203" s="51"/>
      <c r="H203" s="78">
        <f t="shared" ca="1" si="11"/>
        <v>0</v>
      </c>
      <c r="I203" s="53">
        <f t="shared" ca="1" si="8"/>
        <v>0</v>
      </c>
      <c r="J203" s="58"/>
      <c r="K203" s="58"/>
    </row>
    <row r="204" spans="1:11" s="41" customFormat="1" ht="15" customHeight="1">
      <c r="A204" s="50">
        <v>1</v>
      </c>
      <c r="B204" s="51">
        <f ca="1">IF($A204="","",NumList())</f>
        <v>8</v>
      </c>
      <c r="C204" s="63" t="s">
        <v>230</v>
      </c>
      <c r="D204" s="55">
        <f t="shared" si="9"/>
        <v>0</v>
      </c>
      <c r="E204" s="48"/>
      <c r="F204" s="55">
        <f t="shared" ca="1" si="10"/>
        <v>0</v>
      </c>
      <c r="G204" s="46"/>
      <c r="H204" s="78">
        <f t="shared" ca="1" si="11"/>
        <v>0</v>
      </c>
      <c r="I204" s="53">
        <f t="shared" ca="1" si="8"/>
        <v>0</v>
      </c>
    </row>
    <row r="205" spans="1:11" s="58" customFormat="1" ht="15" customHeight="1">
      <c r="A205" s="50">
        <v>2</v>
      </c>
      <c r="B205" s="51" t="str">
        <f ca="1">IF($A205="","",NumList())</f>
        <v>8.1</v>
      </c>
      <c r="C205" s="62" t="s">
        <v>413</v>
      </c>
      <c r="D205" s="55">
        <f t="shared" si="9"/>
        <v>0</v>
      </c>
      <c r="E205" s="55"/>
      <c r="F205" s="55">
        <f t="shared" ca="1" si="10"/>
        <v>0</v>
      </c>
      <c r="G205" s="51"/>
      <c r="H205" s="78">
        <f t="shared" ca="1" si="11"/>
        <v>0</v>
      </c>
      <c r="I205" s="53">
        <f t="shared" ca="1" si="8"/>
        <v>0</v>
      </c>
    </row>
    <row r="206" spans="1:11" s="58" customFormat="1" ht="15" customHeight="1">
      <c r="A206" s="50">
        <v>3</v>
      </c>
      <c r="B206" s="51" t="str">
        <f ca="1">IF($A206="","",NumList())</f>
        <v>8.1.1</v>
      </c>
      <c r="C206" s="61" t="s">
        <v>380</v>
      </c>
      <c r="D206" s="55">
        <f t="shared" si="9"/>
        <v>1</v>
      </c>
      <c r="E206" s="55"/>
      <c r="F206" s="55">
        <f t="shared" ca="1" si="10"/>
        <v>43</v>
      </c>
      <c r="G206" s="51" t="s">
        <v>8</v>
      </c>
      <c r="H206" s="78">
        <f t="shared" ca="1" si="11"/>
        <v>15</v>
      </c>
      <c r="I206" s="53">
        <f t="shared" ca="1" si="8"/>
        <v>645</v>
      </c>
    </row>
    <row r="207" spans="1:11" s="58" customFormat="1" ht="15" customHeight="1">
      <c r="A207" s="50">
        <v>3</v>
      </c>
      <c r="B207" s="51" t="str">
        <f ca="1">IF($A207="","",NumList())</f>
        <v>8.1.2</v>
      </c>
      <c r="C207" s="61" t="s">
        <v>381</v>
      </c>
      <c r="D207" s="55">
        <f t="shared" si="9"/>
        <v>1</v>
      </c>
      <c r="E207" s="55"/>
      <c r="F207" s="55">
        <f t="shared" ca="1" si="10"/>
        <v>31</v>
      </c>
      <c r="G207" s="51" t="s">
        <v>8</v>
      </c>
      <c r="H207" s="78">
        <f t="shared" ca="1" si="11"/>
        <v>85</v>
      </c>
      <c r="I207" s="53">
        <f t="shared" ca="1" si="8"/>
        <v>2635</v>
      </c>
    </row>
    <row r="208" spans="1:11" s="58" customFormat="1" ht="28.5">
      <c r="A208" s="50">
        <v>3</v>
      </c>
      <c r="B208" s="51" t="str">
        <f ca="1">IF($A208="","",NumList())</f>
        <v>8.1.3</v>
      </c>
      <c r="C208" s="62" t="s">
        <v>325</v>
      </c>
      <c r="D208" s="55">
        <f t="shared" si="9"/>
        <v>1</v>
      </c>
      <c r="E208" s="55"/>
      <c r="F208" s="55">
        <f t="shared" ca="1" si="10"/>
        <v>11</v>
      </c>
      <c r="G208" s="51" t="s">
        <v>8</v>
      </c>
      <c r="H208" s="78">
        <f t="shared" ca="1" si="11"/>
        <v>20</v>
      </c>
      <c r="I208" s="53">
        <f t="shared" ca="1" si="8"/>
        <v>220</v>
      </c>
    </row>
    <row r="209" spans="1:11" s="41" customFormat="1" ht="15" customHeight="1">
      <c r="A209" s="50" t="s">
        <v>516</v>
      </c>
      <c r="B209" s="51" t="str">
        <f>IF($A209="","",NumList())</f>
        <v/>
      </c>
      <c r="C209" s="61"/>
      <c r="D209" s="55">
        <f t="shared" si="9"/>
        <v>0</v>
      </c>
      <c r="E209" s="55"/>
      <c r="F209" s="55">
        <f t="shared" ca="1" si="10"/>
        <v>0</v>
      </c>
      <c r="G209" s="51"/>
      <c r="H209" s="78">
        <f t="shared" ca="1" si="11"/>
        <v>0</v>
      </c>
      <c r="I209" s="53">
        <f t="shared" ca="1" si="8"/>
        <v>0</v>
      </c>
      <c r="J209" s="58"/>
      <c r="K209" s="58"/>
    </row>
    <row r="210" spans="1:11" s="41" customFormat="1" ht="15">
      <c r="A210" s="50">
        <v>2</v>
      </c>
      <c r="B210" s="51" t="str">
        <f ca="1">IF($A210="","",NumList())</f>
        <v>8.2</v>
      </c>
      <c r="C210" s="62" t="s">
        <v>39</v>
      </c>
      <c r="D210" s="55">
        <f t="shared" si="9"/>
        <v>0</v>
      </c>
      <c r="E210" s="55"/>
      <c r="F210" s="55">
        <f t="shared" ca="1" si="10"/>
        <v>0</v>
      </c>
      <c r="G210" s="51"/>
      <c r="H210" s="78">
        <f t="shared" ca="1" si="11"/>
        <v>0</v>
      </c>
      <c r="I210" s="53">
        <f t="shared" ca="1" si="8"/>
        <v>0</v>
      </c>
      <c r="J210" s="58"/>
      <c r="K210" s="58"/>
    </row>
    <row r="211" spans="1:11" s="41" customFormat="1" ht="15">
      <c r="A211" s="50">
        <v>3</v>
      </c>
      <c r="B211" s="51" t="str">
        <f ca="1">IF($A211="","",NumList())</f>
        <v>8.2.1</v>
      </c>
      <c r="C211" s="61" t="s">
        <v>14</v>
      </c>
      <c r="D211" s="55">
        <f t="shared" si="9"/>
        <v>1</v>
      </c>
      <c r="E211" s="55"/>
      <c r="F211" s="55">
        <f t="shared" ca="1" si="10"/>
        <v>7</v>
      </c>
      <c r="G211" s="51" t="s">
        <v>8</v>
      </c>
      <c r="H211" s="78">
        <f t="shared" ca="1" si="11"/>
        <v>39</v>
      </c>
      <c r="I211" s="53">
        <f t="shared" ca="1" si="8"/>
        <v>273</v>
      </c>
      <c r="J211" s="58"/>
      <c r="K211" s="58"/>
    </row>
    <row r="212" spans="1:11" s="41" customFormat="1" ht="15">
      <c r="A212" s="50">
        <v>3</v>
      </c>
      <c r="B212" s="51" t="str">
        <f ca="1">IF($A212="","",NumList())</f>
        <v>8.2.2</v>
      </c>
      <c r="C212" s="61" t="s">
        <v>22</v>
      </c>
      <c r="D212" s="55">
        <f t="shared" si="9"/>
        <v>1</v>
      </c>
      <c r="E212" s="55"/>
      <c r="F212" s="55">
        <f t="shared" ca="1" si="10"/>
        <v>87</v>
      </c>
      <c r="G212" s="51" t="s">
        <v>8</v>
      </c>
      <c r="H212" s="78">
        <f t="shared" ca="1" si="11"/>
        <v>22</v>
      </c>
      <c r="I212" s="53">
        <f t="shared" ca="1" si="8"/>
        <v>1914</v>
      </c>
      <c r="J212" s="58"/>
      <c r="K212" s="58"/>
    </row>
    <row r="213" spans="1:11" s="41" customFormat="1" ht="15">
      <c r="A213" s="50">
        <v>3</v>
      </c>
      <c r="B213" s="51" t="str">
        <f ca="1">IF($A213="","",NumList())</f>
        <v>8.2.3</v>
      </c>
      <c r="C213" s="61" t="s">
        <v>34</v>
      </c>
      <c r="D213" s="55">
        <f t="shared" si="9"/>
        <v>1</v>
      </c>
      <c r="E213" s="55"/>
      <c r="F213" s="55">
        <f t="shared" ca="1" si="10"/>
        <v>11</v>
      </c>
      <c r="G213" s="51" t="s">
        <v>8</v>
      </c>
      <c r="H213" s="78">
        <f t="shared" ca="1" si="11"/>
        <v>40</v>
      </c>
      <c r="I213" s="53">
        <f t="shared" ca="1" si="8"/>
        <v>440</v>
      </c>
      <c r="J213" s="58"/>
      <c r="K213" s="58"/>
    </row>
    <row r="214" spans="1:11" s="41" customFormat="1" ht="15">
      <c r="A214" s="50">
        <v>3</v>
      </c>
      <c r="B214" s="51" t="str">
        <f ca="1">IF($A214="","",NumList())</f>
        <v>8.2.4</v>
      </c>
      <c r="C214" s="62" t="s">
        <v>35</v>
      </c>
      <c r="D214" s="55">
        <f t="shared" si="9"/>
        <v>1</v>
      </c>
      <c r="E214" s="55"/>
      <c r="F214" s="55">
        <f t="shared" ca="1" si="10"/>
        <v>56</v>
      </c>
      <c r="G214" s="51" t="s">
        <v>8</v>
      </c>
      <c r="H214" s="78">
        <f t="shared" ca="1" si="11"/>
        <v>8</v>
      </c>
      <c r="I214" s="53">
        <f t="shared" ca="1" si="8"/>
        <v>448</v>
      </c>
    </row>
    <row r="215" spans="1:11" s="58" customFormat="1" ht="15">
      <c r="A215" s="50" t="s">
        <v>516</v>
      </c>
      <c r="B215" s="51" t="str">
        <f>IF($A215="","",NumList())</f>
        <v/>
      </c>
      <c r="C215" s="61"/>
      <c r="D215" s="55">
        <f t="shared" si="9"/>
        <v>0</v>
      </c>
      <c r="E215" s="55"/>
      <c r="F215" s="55">
        <f t="shared" ca="1" si="10"/>
        <v>0</v>
      </c>
      <c r="G215" s="51"/>
      <c r="H215" s="78">
        <f t="shared" ca="1" si="11"/>
        <v>0</v>
      </c>
      <c r="I215" s="53">
        <f t="shared" ca="1" si="8"/>
        <v>0</v>
      </c>
    </row>
    <row r="216" spans="1:11" s="58" customFormat="1" ht="15">
      <c r="A216" s="50">
        <v>2</v>
      </c>
      <c r="B216" s="51" t="str">
        <f ca="1">IF($A216="","",NumList())</f>
        <v>8.3</v>
      </c>
      <c r="C216" s="62" t="s">
        <v>49</v>
      </c>
      <c r="D216" s="55">
        <f t="shared" si="9"/>
        <v>0</v>
      </c>
      <c r="E216" s="55"/>
      <c r="F216" s="55">
        <f t="shared" ca="1" si="10"/>
        <v>0</v>
      </c>
      <c r="G216" s="51"/>
      <c r="H216" s="78">
        <f t="shared" ca="1" si="11"/>
        <v>0</v>
      </c>
      <c r="I216" s="53">
        <f t="shared" ca="1" si="8"/>
        <v>0</v>
      </c>
    </row>
    <row r="217" spans="1:11" s="58" customFormat="1" ht="15">
      <c r="A217" s="50">
        <v>3</v>
      </c>
      <c r="B217" s="51" t="str">
        <f ca="1">IF($A217="","",NumList())</f>
        <v>8.3.1</v>
      </c>
      <c r="C217" s="62" t="s">
        <v>60</v>
      </c>
      <c r="D217" s="55">
        <f t="shared" si="9"/>
        <v>0</v>
      </c>
      <c r="E217" s="55"/>
      <c r="F217" s="55">
        <f t="shared" ca="1" si="10"/>
        <v>0</v>
      </c>
      <c r="G217" s="51"/>
      <c r="H217" s="78">
        <f t="shared" ca="1" si="11"/>
        <v>0</v>
      </c>
      <c r="I217" s="53">
        <f t="shared" ref="I217:I230" ca="1" si="12">F217*H217</f>
        <v>0</v>
      </c>
    </row>
    <row r="218" spans="1:11" s="58" customFormat="1" ht="15">
      <c r="A218" s="50">
        <v>4</v>
      </c>
      <c r="B218" s="51" t="str">
        <f ca="1">IF($A218="","",NumList())</f>
        <v>8.3.1.1</v>
      </c>
      <c r="C218" s="62" t="s">
        <v>61</v>
      </c>
      <c r="D218" s="55">
        <f t="shared" si="9"/>
        <v>1</v>
      </c>
      <c r="E218" s="55"/>
      <c r="F218" s="55">
        <f t="shared" ca="1" si="10"/>
        <v>91</v>
      </c>
      <c r="G218" s="51" t="s">
        <v>8</v>
      </c>
      <c r="H218" s="78">
        <f t="shared" ca="1" si="11"/>
        <v>28</v>
      </c>
      <c r="I218" s="53">
        <f t="shared" ca="1" si="12"/>
        <v>2548</v>
      </c>
    </row>
    <row r="219" spans="1:11" s="58" customFormat="1" ht="15">
      <c r="A219" s="50">
        <v>4</v>
      </c>
      <c r="B219" s="51" t="str">
        <f ca="1">IF($A219="","",NumList())</f>
        <v>8.3.1.2</v>
      </c>
      <c r="C219" s="62" t="s">
        <v>62</v>
      </c>
      <c r="D219" s="55">
        <f t="shared" si="9"/>
        <v>1</v>
      </c>
      <c r="E219" s="55"/>
      <c r="F219" s="55">
        <f t="shared" ca="1" si="10"/>
        <v>41</v>
      </c>
      <c r="G219" s="51" t="s">
        <v>8</v>
      </c>
      <c r="H219" s="78">
        <f t="shared" ca="1" si="11"/>
        <v>69</v>
      </c>
      <c r="I219" s="53">
        <f t="shared" ca="1" si="12"/>
        <v>2829</v>
      </c>
    </row>
    <row r="220" spans="1:11" s="58" customFormat="1" ht="15">
      <c r="A220" s="50">
        <v>4</v>
      </c>
      <c r="B220" s="51" t="str">
        <f ca="1">IF($A220="","",NumList())</f>
        <v>8.3.1.3</v>
      </c>
      <c r="C220" s="62" t="s">
        <v>262</v>
      </c>
      <c r="D220" s="55">
        <f t="shared" si="9"/>
        <v>1</v>
      </c>
      <c r="E220" s="55"/>
      <c r="F220" s="55">
        <f t="shared" ca="1" si="10"/>
        <v>88</v>
      </c>
      <c r="G220" s="51" t="s">
        <v>8</v>
      </c>
      <c r="H220" s="78">
        <f t="shared" ca="1" si="11"/>
        <v>79</v>
      </c>
      <c r="I220" s="53">
        <f t="shared" ca="1" si="12"/>
        <v>6952</v>
      </c>
    </row>
    <row r="221" spans="1:11" s="58" customFormat="1" ht="15">
      <c r="A221" s="50">
        <v>3</v>
      </c>
      <c r="B221" s="51" t="str">
        <f ca="1">IF($A221="","",NumList())</f>
        <v>8.3.2</v>
      </c>
      <c r="C221" s="62" t="s">
        <v>63</v>
      </c>
      <c r="D221" s="55">
        <f t="shared" si="9"/>
        <v>0</v>
      </c>
      <c r="E221" s="55"/>
      <c r="F221" s="55">
        <f t="shared" ca="1" si="10"/>
        <v>0</v>
      </c>
      <c r="G221" s="51"/>
      <c r="H221" s="78">
        <f t="shared" ca="1" si="11"/>
        <v>0</v>
      </c>
      <c r="I221" s="53">
        <f t="shared" ca="1" si="12"/>
        <v>0</v>
      </c>
    </row>
    <row r="222" spans="1:11" s="58" customFormat="1" ht="15">
      <c r="A222" s="50">
        <v>4</v>
      </c>
      <c r="B222" s="51" t="str">
        <f ca="1">IF($A222="","",NumList())</f>
        <v>8.3.2.1</v>
      </c>
      <c r="C222" s="62" t="s">
        <v>61</v>
      </c>
      <c r="D222" s="55">
        <f t="shared" ref="D222:D234" si="13">IF(ISTEXT(G222),1,0)</f>
        <v>1</v>
      </c>
      <c r="E222" s="55"/>
      <c r="F222" s="55">
        <f t="shared" ref="F222:F231" ca="1" si="14">IF(ISTEXT(G222),RANDBETWEEN(1,100),0)</f>
        <v>78</v>
      </c>
      <c r="G222" s="51" t="s">
        <v>8</v>
      </c>
      <c r="H222" s="78">
        <f t="shared" ref="H222:H231" ca="1" si="15">IF(ISTEXT(G222),RANDBETWEEN(1,100),0)</f>
        <v>70</v>
      </c>
      <c r="I222" s="53">
        <f t="shared" ca="1" si="12"/>
        <v>5460</v>
      </c>
    </row>
    <row r="223" spans="1:11" s="58" customFormat="1" ht="15">
      <c r="A223" s="50">
        <v>4</v>
      </c>
      <c r="B223" s="51" t="str">
        <f ca="1">IF($A223="","",NumList())</f>
        <v>8.3.2.2</v>
      </c>
      <c r="C223" s="62" t="s">
        <v>64</v>
      </c>
      <c r="D223" s="55">
        <f t="shared" si="13"/>
        <v>1</v>
      </c>
      <c r="E223" s="55"/>
      <c r="F223" s="55">
        <f t="shared" ca="1" si="14"/>
        <v>50</v>
      </c>
      <c r="G223" s="51" t="s">
        <v>8</v>
      </c>
      <c r="H223" s="78">
        <f t="shared" ca="1" si="15"/>
        <v>34</v>
      </c>
      <c r="I223" s="53">
        <f t="shared" ca="1" si="12"/>
        <v>1700</v>
      </c>
    </row>
    <row r="224" spans="1:11" s="58" customFormat="1" ht="15">
      <c r="A224" s="50">
        <v>4</v>
      </c>
      <c r="B224" s="51" t="str">
        <f ca="1">IF($A224="","",NumList())</f>
        <v>8.3.2.3</v>
      </c>
      <c r="C224" s="62" t="s">
        <v>262</v>
      </c>
      <c r="D224" s="55">
        <f t="shared" si="13"/>
        <v>1</v>
      </c>
      <c r="E224" s="55"/>
      <c r="F224" s="55">
        <f t="shared" ca="1" si="14"/>
        <v>95</v>
      </c>
      <c r="G224" s="51" t="s">
        <v>8</v>
      </c>
      <c r="H224" s="78">
        <f t="shared" ca="1" si="15"/>
        <v>72</v>
      </c>
      <c r="I224" s="53">
        <f t="shared" ca="1" si="12"/>
        <v>6840</v>
      </c>
    </row>
    <row r="225" spans="1:11" s="58" customFormat="1" ht="15">
      <c r="A225" s="50" t="s">
        <v>516</v>
      </c>
      <c r="B225" s="51" t="str">
        <f>IF($A225="","",NumList())</f>
        <v/>
      </c>
      <c r="C225" s="62"/>
      <c r="D225" s="55">
        <f t="shared" si="13"/>
        <v>0</v>
      </c>
      <c r="E225" s="55"/>
      <c r="F225" s="55">
        <f t="shared" ca="1" si="14"/>
        <v>0</v>
      </c>
      <c r="G225" s="51"/>
      <c r="H225" s="78">
        <f t="shared" ca="1" si="15"/>
        <v>0</v>
      </c>
      <c r="I225" s="53">
        <f t="shared" ca="1" si="12"/>
        <v>0</v>
      </c>
    </row>
    <row r="226" spans="1:11" s="58" customFormat="1" ht="15">
      <c r="A226" s="50">
        <v>1</v>
      </c>
      <c r="B226" s="51">
        <f ca="1">IF($A226="","",NumList())</f>
        <v>9</v>
      </c>
      <c r="C226" s="69" t="s">
        <v>7</v>
      </c>
      <c r="D226" s="55">
        <f t="shared" si="13"/>
        <v>0</v>
      </c>
      <c r="E226" s="55"/>
      <c r="F226" s="55">
        <f t="shared" ca="1" si="14"/>
        <v>0</v>
      </c>
      <c r="G226" s="51"/>
      <c r="H226" s="78">
        <f t="shared" ca="1" si="15"/>
        <v>0</v>
      </c>
      <c r="I226" s="53">
        <f t="shared" ca="1" si="12"/>
        <v>0</v>
      </c>
    </row>
    <row r="227" spans="1:11" s="58" customFormat="1" ht="28.5">
      <c r="A227" s="50">
        <v>2</v>
      </c>
      <c r="B227" s="51" t="str">
        <f ca="1">IF($A227="","",NumList())</f>
        <v>9.1</v>
      </c>
      <c r="C227" s="62" t="s">
        <v>414</v>
      </c>
      <c r="D227" s="55">
        <f t="shared" si="13"/>
        <v>1</v>
      </c>
      <c r="E227" s="55"/>
      <c r="F227" s="55">
        <f t="shared" ca="1" si="14"/>
        <v>17</v>
      </c>
      <c r="G227" s="51" t="s">
        <v>6</v>
      </c>
      <c r="H227" s="78">
        <f t="shared" ca="1" si="15"/>
        <v>31</v>
      </c>
      <c r="I227" s="53">
        <f t="shared" ca="1" si="12"/>
        <v>527</v>
      </c>
    </row>
    <row r="228" spans="1:11" s="58" customFormat="1" ht="29.25">
      <c r="A228" s="50">
        <v>2</v>
      </c>
      <c r="B228" s="51" t="str">
        <f ca="1">IF($A228="","",NumList())</f>
        <v>9.2</v>
      </c>
      <c r="C228" s="62" t="s">
        <v>593</v>
      </c>
      <c r="D228" s="55">
        <f t="shared" si="13"/>
        <v>1</v>
      </c>
      <c r="E228" s="55"/>
      <c r="F228" s="55">
        <f t="shared" ca="1" si="14"/>
        <v>35</v>
      </c>
      <c r="G228" s="51" t="s">
        <v>6</v>
      </c>
      <c r="H228" s="78">
        <f t="shared" ca="1" si="15"/>
        <v>18</v>
      </c>
      <c r="I228" s="53">
        <f t="shared" ca="1" si="12"/>
        <v>630</v>
      </c>
    </row>
    <row r="229" spans="1:11" s="41" customFormat="1" ht="15">
      <c r="A229" s="50" t="s">
        <v>516</v>
      </c>
      <c r="B229" s="51" t="str">
        <f>IF($A229="","",NumList())</f>
        <v/>
      </c>
      <c r="C229" s="61"/>
      <c r="D229" s="55">
        <f t="shared" si="13"/>
        <v>0</v>
      </c>
      <c r="E229" s="55"/>
      <c r="F229" s="55">
        <f t="shared" ca="1" si="14"/>
        <v>0</v>
      </c>
      <c r="G229" s="51"/>
      <c r="H229" s="78">
        <f t="shared" ca="1" si="15"/>
        <v>0</v>
      </c>
      <c r="I229" s="53">
        <f t="shared" ca="1" si="12"/>
        <v>0</v>
      </c>
      <c r="J229" s="58"/>
      <c r="K229" s="58"/>
    </row>
    <row r="230" spans="1:11" s="41" customFormat="1" ht="15">
      <c r="A230" s="50">
        <v>1</v>
      </c>
      <c r="B230" s="51">
        <f ca="1">IF($A230="","",NumList())</f>
        <v>10</v>
      </c>
      <c r="C230" s="52" t="s">
        <v>11</v>
      </c>
      <c r="D230" s="55">
        <f t="shared" si="13"/>
        <v>0</v>
      </c>
      <c r="E230" s="48"/>
      <c r="F230" s="55">
        <f t="shared" ca="1" si="14"/>
        <v>0</v>
      </c>
      <c r="G230" s="46"/>
      <c r="H230" s="78">
        <f t="shared" ca="1" si="15"/>
        <v>0</v>
      </c>
      <c r="I230" s="53">
        <f t="shared" ca="1" si="12"/>
        <v>0</v>
      </c>
    </row>
    <row r="231" spans="1:11" s="41" customFormat="1" ht="58.5">
      <c r="A231" s="50">
        <v>2</v>
      </c>
      <c r="B231" s="51" t="str">
        <f ca="1">IF($A231="","",NumList())</f>
        <v>10.1</v>
      </c>
      <c r="C231" s="62" t="s">
        <v>594</v>
      </c>
      <c r="D231" s="55">
        <f t="shared" si="13"/>
        <v>1</v>
      </c>
      <c r="E231" s="55"/>
      <c r="F231" s="55">
        <f t="shared" ca="1" si="14"/>
        <v>20</v>
      </c>
      <c r="G231" s="51" t="s">
        <v>0</v>
      </c>
      <c r="H231" s="78">
        <f t="shared" ca="1" si="15"/>
        <v>42</v>
      </c>
      <c r="I231" s="53">
        <f ca="1">F231*H231</f>
        <v>840</v>
      </c>
      <c r="J231" s="58"/>
      <c r="K231" s="58"/>
    </row>
    <row r="232" spans="1:11" s="41" customFormat="1" ht="15">
      <c r="A232" s="50" t="s">
        <v>516</v>
      </c>
      <c r="B232" s="51" t="str">
        <f>IF($A232="","",NumList())</f>
        <v/>
      </c>
      <c r="C232" s="62"/>
      <c r="D232" s="55">
        <f t="shared" si="13"/>
        <v>0</v>
      </c>
      <c r="E232" s="55"/>
      <c r="F232" s="55"/>
      <c r="G232" s="51"/>
      <c r="H232" s="78"/>
      <c r="I232" s="53">
        <f>F232*H232</f>
        <v>0</v>
      </c>
      <c r="J232" s="58"/>
      <c r="K232" s="58"/>
    </row>
    <row r="233" spans="1:11" s="41" customFormat="1" ht="15">
      <c r="A233" s="50">
        <v>1</v>
      </c>
      <c r="B233" s="51">
        <f ca="1">IF($A233="","",NumList())</f>
        <v>11</v>
      </c>
      <c r="C233" s="52" t="s">
        <v>65</v>
      </c>
      <c r="D233" s="55">
        <f t="shared" si="13"/>
        <v>0</v>
      </c>
      <c r="E233" s="55"/>
      <c r="F233" s="55"/>
      <c r="H233" s="78"/>
      <c r="I233" s="53">
        <f>F233*H233</f>
        <v>0</v>
      </c>
      <c r="J233" s="58"/>
      <c r="K233" s="58"/>
    </row>
    <row r="234" spans="1:11" s="41" customFormat="1" ht="28.5">
      <c r="A234" s="50" t="s">
        <v>516</v>
      </c>
      <c r="B234" s="51" t="str">
        <f>IF($A234="","",NumList())</f>
        <v/>
      </c>
      <c r="C234" s="62" t="s">
        <v>283</v>
      </c>
      <c r="D234" s="55">
        <f t="shared" si="13"/>
        <v>1</v>
      </c>
      <c r="E234" s="55"/>
      <c r="F234" s="55">
        <v>1</v>
      </c>
      <c r="G234" s="51" t="s">
        <v>0</v>
      </c>
      <c r="H234" s="62" t="s">
        <v>73</v>
      </c>
      <c r="I234" s="53"/>
      <c r="J234" s="58"/>
      <c r="K234" s="58"/>
    </row>
    <row r="235" spans="1:11" s="41" customFormat="1" ht="15">
      <c r="A235" s="50" t="s">
        <v>516</v>
      </c>
      <c r="B235" s="51" t="str">
        <f>IF($A235="","",NumList())</f>
        <v/>
      </c>
      <c r="C235" s="62"/>
      <c r="D235" s="55"/>
      <c r="E235" s="55"/>
      <c r="F235" s="55"/>
      <c r="G235" s="51"/>
      <c r="H235" s="78"/>
      <c r="I235" s="53">
        <f>F235*H235</f>
        <v>0</v>
      </c>
      <c r="J235" s="58"/>
      <c r="K235" s="58"/>
    </row>
    <row r="236" spans="1:11" s="41" customFormat="1" ht="15">
      <c r="A236" s="37"/>
      <c r="B236" s="32"/>
      <c r="C236" s="70"/>
      <c r="D236" s="71"/>
      <c r="E236" s="71"/>
      <c r="F236" s="71"/>
      <c r="G236" s="30"/>
      <c r="H236" s="82" t="s">
        <v>12</v>
      </c>
      <c r="I236" s="78">
        <f ca="1">SUM(I25:I235)</f>
        <v>342050</v>
      </c>
      <c r="J236" s="58"/>
      <c r="K236" s="58"/>
    </row>
    <row r="237" spans="1:11" s="41" customFormat="1" ht="15">
      <c r="A237" s="37"/>
      <c r="B237" s="32"/>
      <c r="C237" s="70"/>
      <c r="D237" s="71"/>
      <c r="E237" s="71"/>
      <c r="F237" s="71"/>
      <c r="G237" s="30"/>
      <c r="H237" s="83"/>
      <c r="I237" s="77"/>
      <c r="J237" s="58"/>
      <c r="K237" s="58"/>
    </row>
    <row r="238" spans="1:11" s="41" customFormat="1" ht="15">
      <c r="A238" s="37"/>
      <c r="B238" s="30"/>
      <c r="C238" s="70"/>
      <c r="D238" s="71"/>
      <c r="E238" s="71"/>
      <c r="F238" s="71"/>
      <c r="G238" s="30"/>
      <c r="H238" s="77"/>
      <c r="I238" s="77"/>
      <c r="J238" s="58"/>
      <c r="K238" s="58"/>
    </row>
    <row r="239" spans="1:11" s="41" customFormat="1" ht="15">
      <c r="A239" s="37"/>
      <c r="B239" s="30"/>
      <c r="C239" s="30" t="s">
        <v>18</v>
      </c>
      <c r="D239" s="31"/>
      <c r="E239" s="31"/>
      <c r="F239" s="31"/>
      <c r="G239" s="84"/>
      <c r="H239" s="85"/>
      <c r="I239" s="86"/>
      <c r="J239" s="58"/>
      <c r="K239" s="58"/>
    </row>
    <row r="240" spans="1:11" s="41" customFormat="1" ht="15">
      <c r="A240" s="37"/>
      <c r="B240" s="30"/>
      <c r="C240" s="30"/>
      <c r="D240" s="34"/>
      <c r="E240" s="34"/>
      <c r="F240" s="34"/>
      <c r="G240" s="32"/>
      <c r="H240" s="33"/>
      <c r="I240" s="30"/>
      <c r="J240" s="58"/>
      <c r="K240" s="58"/>
    </row>
    <row r="241" spans="1:11" s="41" customFormat="1" ht="15">
      <c r="A241" s="37"/>
      <c r="B241" s="30"/>
      <c r="C241" s="30" t="s">
        <v>19</v>
      </c>
      <c r="D241" s="31"/>
      <c r="E241" s="31"/>
      <c r="F241" s="31"/>
      <c r="G241" s="84"/>
      <c r="H241" s="85"/>
      <c r="I241" s="86"/>
      <c r="J241" s="58"/>
      <c r="K241" s="58"/>
    </row>
    <row r="242" spans="1:11">
      <c r="C242" s="70"/>
    </row>
    <row r="243" spans="1:11" ht="56.25">
      <c r="C243" s="74" t="s">
        <v>188</v>
      </c>
    </row>
    <row r="244" spans="1:11">
      <c r="C244" s="70"/>
    </row>
    <row r="245" spans="1:11">
      <c r="C245" s="70"/>
    </row>
    <row r="246" spans="1:11">
      <c r="C246" s="70"/>
    </row>
    <row r="247" spans="1:11">
      <c r="C247" s="70"/>
    </row>
    <row r="248" spans="1:11" s="58" customFormat="1">
      <c r="A248" s="50"/>
      <c r="B248" s="30"/>
      <c r="C248" s="70"/>
      <c r="D248" s="71"/>
      <c r="E248" s="71"/>
      <c r="F248" s="71"/>
      <c r="G248" s="30"/>
      <c r="H248" s="77"/>
      <c r="I248" s="77"/>
    </row>
    <row r="249" spans="1:11" s="58" customFormat="1">
      <c r="A249" s="50"/>
      <c r="B249" s="30"/>
      <c r="C249" s="70"/>
      <c r="D249" s="71"/>
      <c r="E249" s="71"/>
      <c r="F249" s="71"/>
      <c r="G249" s="30"/>
      <c r="H249" s="77"/>
      <c r="I249" s="77"/>
    </row>
    <row r="250" spans="1:11" s="58" customFormat="1">
      <c r="A250" s="50"/>
      <c r="B250" s="30"/>
      <c r="C250" s="70"/>
      <c r="D250" s="71"/>
      <c r="E250" s="71"/>
      <c r="F250" s="71"/>
      <c r="G250" s="30"/>
      <c r="H250" s="77"/>
      <c r="I250" s="77"/>
    </row>
    <row r="251" spans="1:11" s="58" customFormat="1">
      <c r="A251" s="50"/>
      <c r="B251" s="30"/>
      <c r="C251" s="70"/>
      <c r="D251" s="71"/>
      <c r="E251" s="71"/>
      <c r="F251" s="71"/>
      <c r="G251" s="30"/>
      <c r="H251" s="77"/>
      <c r="I251" s="77"/>
    </row>
    <row r="252" spans="1:11" s="58" customFormat="1">
      <c r="A252" s="50"/>
      <c r="B252" s="30"/>
      <c r="C252" s="70"/>
      <c r="D252" s="71"/>
      <c r="E252" s="71"/>
      <c r="F252" s="71"/>
      <c r="G252" s="30"/>
      <c r="H252" s="77"/>
      <c r="I252" s="77"/>
    </row>
    <row r="253" spans="1:11" s="58" customFormat="1">
      <c r="A253" s="50"/>
      <c r="B253" s="30"/>
      <c r="C253" s="70"/>
      <c r="D253" s="71"/>
      <c r="E253" s="71"/>
      <c r="F253" s="71"/>
      <c r="G253" s="30"/>
      <c r="H253" s="77"/>
      <c r="I253" s="77"/>
    </row>
    <row r="254" spans="1:11" s="58" customFormat="1">
      <c r="A254" s="50"/>
      <c r="B254" s="30"/>
      <c r="C254" s="70"/>
      <c r="D254" s="71"/>
      <c r="E254" s="71"/>
      <c r="F254" s="71"/>
      <c r="G254" s="30"/>
      <c r="H254" s="77"/>
      <c r="I254" s="77"/>
    </row>
    <row r="255" spans="1:11" s="58" customFormat="1">
      <c r="A255" s="50"/>
      <c r="B255" s="30"/>
      <c r="C255" s="70"/>
      <c r="D255" s="71"/>
      <c r="E255" s="71"/>
      <c r="F255" s="71"/>
      <c r="G255" s="30"/>
      <c r="H255" s="77"/>
      <c r="I255" s="77"/>
    </row>
    <row r="256" spans="1:11" s="58" customFormat="1">
      <c r="A256" s="50"/>
      <c r="B256" s="30"/>
      <c r="C256" s="70"/>
      <c r="D256" s="71"/>
      <c r="E256" s="71"/>
      <c r="F256" s="71"/>
      <c r="G256" s="30"/>
      <c r="H256" s="77"/>
      <c r="I256" s="77"/>
    </row>
    <row r="257" spans="1:9" s="58" customFormat="1">
      <c r="A257" s="50"/>
      <c r="B257" s="30"/>
      <c r="C257" s="70"/>
      <c r="D257" s="71"/>
      <c r="E257" s="71"/>
      <c r="F257" s="71"/>
      <c r="G257" s="30"/>
      <c r="H257" s="77"/>
      <c r="I257" s="77"/>
    </row>
    <row r="258" spans="1:9" s="58" customFormat="1">
      <c r="A258" s="50"/>
      <c r="B258" s="30"/>
      <c r="C258" s="70"/>
      <c r="D258" s="71"/>
      <c r="E258" s="71"/>
      <c r="F258" s="71"/>
      <c r="G258" s="30"/>
      <c r="H258" s="77"/>
      <c r="I258" s="77"/>
    </row>
    <row r="259" spans="1:9" s="58" customFormat="1">
      <c r="A259" s="50"/>
      <c r="B259" s="30"/>
      <c r="C259" s="70"/>
      <c r="D259" s="71"/>
      <c r="E259" s="71"/>
      <c r="F259" s="71"/>
      <c r="G259" s="30"/>
      <c r="H259" s="77"/>
      <c r="I259" s="77"/>
    </row>
    <row r="260" spans="1:9" s="58" customFormat="1">
      <c r="A260" s="50"/>
      <c r="B260" s="30"/>
      <c r="C260" s="70"/>
      <c r="D260" s="71"/>
      <c r="E260" s="71"/>
      <c r="F260" s="71"/>
      <c r="G260" s="30"/>
      <c r="H260" s="77"/>
      <c r="I260" s="77"/>
    </row>
    <row r="261" spans="1:9" s="58" customFormat="1">
      <c r="A261" s="50"/>
      <c r="B261" s="30"/>
      <c r="C261" s="70"/>
      <c r="D261" s="71"/>
      <c r="E261" s="71"/>
      <c r="F261" s="71"/>
      <c r="G261" s="30"/>
      <c r="H261" s="77"/>
      <c r="I261" s="77"/>
    </row>
    <row r="262" spans="1:9" s="58" customFormat="1">
      <c r="A262" s="50"/>
      <c r="B262" s="30"/>
      <c r="C262" s="70"/>
      <c r="D262" s="71"/>
      <c r="E262" s="71"/>
      <c r="F262" s="71"/>
      <c r="G262" s="30"/>
      <c r="H262" s="77"/>
      <c r="I262" s="77"/>
    </row>
    <row r="263" spans="1:9" s="58" customFormat="1">
      <c r="A263" s="50"/>
      <c r="B263" s="30"/>
      <c r="C263" s="70"/>
      <c r="D263" s="71"/>
      <c r="E263" s="71"/>
      <c r="F263" s="71"/>
      <c r="G263" s="30"/>
      <c r="H263" s="77"/>
      <c r="I263" s="77"/>
    </row>
    <row r="264" spans="1:9" s="58" customFormat="1">
      <c r="A264" s="50"/>
      <c r="B264" s="30"/>
      <c r="C264" s="70"/>
      <c r="D264" s="71"/>
      <c r="E264" s="71"/>
      <c r="F264" s="71"/>
      <c r="G264" s="30"/>
      <c r="H264" s="77"/>
      <c r="I264" s="77"/>
    </row>
    <row r="265" spans="1:9" s="58" customFormat="1">
      <c r="A265" s="50"/>
      <c r="B265" s="30"/>
      <c r="C265" s="70"/>
      <c r="D265" s="71"/>
      <c r="E265" s="71"/>
      <c r="F265" s="71"/>
      <c r="G265" s="30"/>
      <c r="H265" s="77"/>
      <c r="I265" s="77"/>
    </row>
    <row r="266" spans="1:9" s="58" customFormat="1">
      <c r="A266" s="50"/>
      <c r="B266" s="30"/>
      <c r="C266" s="70"/>
      <c r="D266" s="71"/>
      <c r="E266" s="71"/>
      <c r="F266" s="71"/>
      <c r="G266" s="30"/>
      <c r="H266" s="77"/>
      <c r="I266" s="77"/>
    </row>
    <row r="267" spans="1:9" s="58" customFormat="1">
      <c r="A267" s="50"/>
      <c r="B267" s="30"/>
      <c r="C267" s="70"/>
      <c r="D267" s="71"/>
      <c r="E267" s="71"/>
      <c r="F267" s="71"/>
      <c r="G267" s="30"/>
      <c r="H267" s="77"/>
      <c r="I267" s="77"/>
    </row>
    <row r="268" spans="1:9" s="58" customFormat="1">
      <c r="A268" s="50"/>
      <c r="B268" s="30"/>
      <c r="C268" s="70"/>
      <c r="D268" s="71"/>
      <c r="E268" s="71"/>
      <c r="F268" s="71"/>
      <c r="G268" s="30"/>
      <c r="H268" s="77"/>
      <c r="I268" s="77"/>
    </row>
    <row r="269" spans="1:9" s="58" customFormat="1">
      <c r="A269" s="50"/>
      <c r="B269" s="30"/>
      <c r="C269" s="70"/>
      <c r="D269" s="71"/>
      <c r="E269" s="71"/>
      <c r="F269" s="71"/>
      <c r="G269" s="30"/>
      <c r="H269" s="77"/>
      <c r="I269" s="77"/>
    </row>
    <row r="270" spans="1:9" s="58" customFormat="1">
      <c r="A270" s="50"/>
      <c r="B270" s="30"/>
      <c r="C270" s="70"/>
      <c r="D270" s="71"/>
      <c r="E270" s="71"/>
      <c r="F270" s="71"/>
      <c r="G270" s="30"/>
      <c r="H270" s="77"/>
      <c r="I270" s="77"/>
    </row>
    <row r="271" spans="1:9" s="58" customFormat="1">
      <c r="A271" s="50"/>
      <c r="B271" s="30"/>
      <c r="C271" s="70"/>
      <c r="D271" s="71"/>
      <c r="E271" s="71"/>
      <c r="F271" s="71"/>
      <c r="G271" s="30"/>
      <c r="H271" s="77"/>
      <c r="I271" s="77"/>
    </row>
    <row r="272" spans="1:9" s="58" customFormat="1">
      <c r="A272" s="50"/>
      <c r="B272" s="30"/>
      <c r="C272" s="70"/>
      <c r="D272" s="71"/>
      <c r="E272" s="71"/>
      <c r="F272" s="71"/>
      <c r="G272" s="30"/>
      <c r="H272" s="77"/>
      <c r="I272" s="77"/>
    </row>
    <row r="273" spans="1:9" s="58" customFormat="1">
      <c r="A273" s="50"/>
      <c r="B273" s="30"/>
      <c r="C273" s="70"/>
      <c r="D273" s="71"/>
      <c r="E273" s="71"/>
      <c r="F273" s="71"/>
      <c r="G273" s="30"/>
      <c r="H273" s="77"/>
      <c r="I273" s="77"/>
    </row>
    <row r="274" spans="1:9" s="58" customFormat="1">
      <c r="A274" s="50"/>
      <c r="B274" s="30"/>
      <c r="C274" s="70"/>
      <c r="D274" s="71"/>
      <c r="E274" s="71"/>
      <c r="F274" s="71"/>
      <c r="G274" s="30"/>
      <c r="H274" s="77"/>
      <c r="I274" s="77"/>
    </row>
    <row r="275" spans="1:9" s="58" customFormat="1">
      <c r="A275" s="50"/>
      <c r="B275" s="30"/>
      <c r="C275" s="70"/>
      <c r="D275" s="71"/>
      <c r="E275" s="71"/>
      <c r="F275" s="71"/>
      <c r="G275" s="30"/>
      <c r="H275" s="77"/>
      <c r="I275" s="77"/>
    </row>
    <row r="276" spans="1:9" s="58" customFormat="1">
      <c r="A276" s="50"/>
      <c r="B276" s="30"/>
      <c r="C276" s="70"/>
      <c r="D276" s="71"/>
      <c r="E276" s="71"/>
      <c r="F276" s="71"/>
      <c r="G276" s="30"/>
      <c r="H276" s="77"/>
      <c r="I276" s="77"/>
    </row>
    <row r="277" spans="1:9" s="58" customFormat="1">
      <c r="A277" s="50"/>
      <c r="B277" s="30"/>
      <c r="C277" s="70"/>
      <c r="D277" s="71"/>
      <c r="E277" s="71"/>
      <c r="F277" s="71"/>
      <c r="G277" s="30"/>
      <c r="H277" s="77"/>
      <c r="I277" s="77"/>
    </row>
    <row r="278" spans="1:9" s="58" customFormat="1">
      <c r="A278" s="50"/>
      <c r="B278" s="30"/>
      <c r="C278" s="70"/>
      <c r="D278" s="71"/>
      <c r="E278" s="71"/>
      <c r="F278" s="71"/>
      <c r="G278" s="30"/>
      <c r="H278" s="77"/>
      <c r="I278" s="77"/>
    </row>
    <row r="279" spans="1:9" s="58" customFormat="1">
      <c r="A279" s="50"/>
      <c r="B279" s="30"/>
      <c r="C279" s="70"/>
      <c r="D279" s="71"/>
      <c r="E279" s="71"/>
      <c r="F279" s="71"/>
      <c r="G279" s="30"/>
      <c r="H279" s="77"/>
      <c r="I279" s="77"/>
    </row>
    <row r="280" spans="1:9" s="58" customFormat="1">
      <c r="A280" s="50"/>
      <c r="B280" s="30"/>
      <c r="C280" s="70"/>
      <c r="D280" s="71"/>
      <c r="E280" s="71"/>
      <c r="F280" s="71"/>
      <c r="G280" s="30"/>
      <c r="H280" s="77"/>
      <c r="I280" s="77"/>
    </row>
    <row r="281" spans="1:9" s="58" customFormat="1">
      <c r="A281" s="50"/>
      <c r="B281" s="30"/>
      <c r="C281" s="70"/>
      <c r="D281" s="71"/>
      <c r="E281" s="71"/>
      <c r="F281" s="71"/>
      <c r="G281" s="30"/>
      <c r="H281" s="77"/>
      <c r="I281" s="77"/>
    </row>
    <row r="282" spans="1:9" s="58" customFormat="1">
      <c r="A282" s="50"/>
      <c r="B282" s="30"/>
      <c r="C282" s="70"/>
      <c r="D282" s="71"/>
      <c r="E282" s="71"/>
      <c r="F282" s="71"/>
      <c r="G282" s="30"/>
      <c r="H282" s="77"/>
      <c r="I282" s="77"/>
    </row>
    <row r="283" spans="1:9" s="58" customFormat="1">
      <c r="A283" s="50"/>
      <c r="B283" s="30"/>
      <c r="C283" s="70"/>
      <c r="D283" s="71"/>
      <c r="E283" s="71"/>
      <c r="F283" s="71"/>
      <c r="G283" s="30"/>
      <c r="H283" s="77"/>
      <c r="I283" s="77"/>
    </row>
    <row r="284" spans="1:9" s="58" customFormat="1">
      <c r="A284" s="50"/>
      <c r="B284" s="30"/>
      <c r="C284" s="70"/>
      <c r="D284" s="71"/>
      <c r="E284" s="71"/>
      <c r="F284" s="71"/>
      <c r="G284" s="30"/>
      <c r="H284" s="77"/>
      <c r="I284" s="77"/>
    </row>
    <row r="285" spans="1:9" s="58" customFormat="1">
      <c r="A285" s="50"/>
      <c r="B285" s="30"/>
      <c r="C285" s="70"/>
      <c r="D285" s="71"/>
      <c r="E285" s="71"/>
      <c r="F285" s="71"/>
      <c r="G285" s="30"/>
      <c r="H285" s="77"/>
      <c r="I285" s="77"/>
    </row>
    <row r="286" spans="1:9" s="58" customFormat="1">
      <c r="A286" s="50"/>
      <c r="B286" s="30"/>
      <c r="C286" s="70"/>
      <c r="D286" s="71"/>
      <c r="E286" s="71"/>
      <c r="F286" s="71"/>
      <c r="G286" s="30"/>
      <c r="H286" s="77"/>
      <c r="I286" s="77"/>
    </row>
    <row r="287" spans="1:9" s="58" customFormat="1">
      <c r="A287" s="50"/>
      <c r="B287" s="30"/>
      <c r="C287" s="70"/>
      <c r="D287" s="71"/>
      <c r="E287" s="71"/>
      <c r="F287" s="71"/>
      <c r="G287" s="30"/>
      <c r="H287" s="77"/>
      <c r="I287" s="77"/>
    </row>
    <row r="288" spans="1:9" s="58" customFormat="1">
      <c r="A288" s="50"/>
      <c r="B288" s="30"/>
      <c r="C288" s="70"/>
      <c r="D288" s="71"/>
      <c r="E288" s="71"/>
      <c r="F288" s="71"/>
      <c r="G288" s="30"/>
      <c r="H288" s="77"/>
      <c r="I288" s="77"/>
    </row>
    <row r="289" spans="1:9" s="58" customFormat="1">
      <c r="A289" s="50"/>
      <c r="B289" s="30"/>
      <c r="C289" s="70"/>
      <c r="D289" s="71"/>
      <c r="E289" s="71"/>
      <c r="F289" s="71"/>
      <c r="G289" s="30"/>
      <c r="H289" s="77"/>
      <c r="I289" s="77"/>
    </row>
    <row r="290" spans="1:9" s="58" customFormat="1">
      <c r="A290" s="50"/>
      <c r="B290" s="30"/>
      <c r="C290" s="70"/>
      <c r="D290" s="71"/>
      <c r="E290" s="71"/>
      <c r="F290" s="71"/>
      <c r="G290" s="30"/>
      <c r="H290" s="77"/>
      <c r="I290" s="77"/>
    </row>
    <row r="291" spans="1:9" s="58" customFormat="1">
      <c r="A291" s="50"/>
      <c r="B291" s="30"/>
      <c r="C291" s="70"/>
      <c r="D291" s="71"/>
      <c r="E291" s="71"/>
      <c r="F291" s="71"/>
      <c r="G291" s="30"/>
      <c r="H291" s="77"/>
      <c r="I291" s="77"/>
    </row>
    <row r="292" spans="1:9" s="58" customFormat="1">
      <c r="A292" s="50"/>
      <c r="B292" s="30"/>
      <c r="C292" s="70"/>
      <c r="D292" s="71"/>
      <c r="E292" s="71"/>
      <c r="F292" s="71"/>
      <c r="G292" s="30"/>
      <c r="H292" s="77"/>
      <c r="I292" s="77"/>
    </row>
    <row r="293" spans="1:9" s="58" customFormat="1">
      <c r="A293" s="50"/>
      <c r="B293" s="30"/>
      <c r="C293" s="70"/>
      <c r="D293" s="71"/>
      <c r="E293" s="71"/>
      <c r="F293" s="71"/>
      <c r="G293" s="30"/>
      <c r="H293" s="77"/>
      <c r="I293" s="77"/>
    </row>
    <row r="294" spans="1:9" s="58" customFormat="1">
      <c r="A294" s="50"/>
      <c r="B294" s="30"/>
      <c r="C294" s="70"/>
      <c r="D294" s="71"/>
      <c r="E294" s="71"/>
      <c r="F294" s="71"/>
      <c r="G294" s="30"/>
      <c r="H294" s="77"/>
      <c r="I294" s="77"/>
    </row>
    <row r="295" spans="1:9" s="58" customFormat="1">
      <c r="A295" s="50"/>
      <c r="B295" s="30"/>
      <c r="C295" s="70"/>
      <c r="D295" s="71"/>
      <c r="E295" s="71"/>
      <c r="F295" s="71"/>
      <c r="G295" s="30"/>
      <c r="H295" s="77"/>
      <c r="I295" s="77"/>
    </row>
    <row r="296" spans="1:9" s="58" customFormat="1">
      <c r="A296" s="50"/>
      <c r="B296" s="30"/>
      <c r="C296" s="70"/>
      <c r="D296" s="71"/>
      <c r="E296" s="71"/>
      <c r="F296" s="71"/>
      <c r="G296" s="30"/>
      <c r="H296" s="77"/>
      <c r="I296" s="77"/>
    </row>
    <row r="297" spans="1:9" s="58" customFormat="1">
      <c r="A297" s="50"/>
      <c r="B297" s="30"/>
      <c r="C297" s="70"/>
      <c r="D297" s="71"/>
      <c r="E297" s="71"/>
      <c r="F297" s="71"/>
      <c r="G297" s="30"/>
      <c r="H297" s="77"/>
      <c r="I297" s="77"/>
    </row>
    <row r="298" spans="1:9" s="58" customFormat="1">
      <c r="A298" s="50"/>
      <c r="B298" s="30"/>
      <c r="C298" s="70"/>
      <c r="D298" s="71"/>
      <c r="E298" s="71"/>
      <c r="F298" s="71"/>
      <c r="G298" s="30"/>
      <c r="H298" s="77"/>
      <c r="I298" s="77"/>
    </row>
    <row r="299" spans="1:9" s="58" customFormat="1">
      <c r="A299" s="50"/>
      <c r="B299" s="30"/>
      <c r="C299" s="70"/>
      <c r="D299" s="71"/>
      <c r="E299" s="71"/>
      <c r="F299" s="71"/>
      <c r="G299" s="30"/>
      <c r="H299" s="77"/>
      <c r="I299" s="77"/>
    </row>
    <row r="300" spans="1:9" s="58" customFormat="1">
      <c r="A300" s="50"/>
      <c r="B300" s="30"/>
      <c r="C300" s="70"/>
      <c r="D300" s="71"/>
      <c r="E300" s="71"/>
      <c r="F300" s="71"/>
      <c r="G300" s="30"/>
      <c r="H300" s="77"/>
      <c r="I300" s="77"/>
    </row>
    <row r="301" spans="1:9" s="58" customFormat="1">
      <c r="A301" s="50"/>
      <c r="B301" s="30"/>
      <c r="C301" s="70"/>
      <c r="D301" s="71"/>
      <c r="E301" s="71"/>
      <c r="F301" s="71"/>
      <c r="G301" s="30"/>
      <c r="H301" s="77"/>
      <c r="I301" s="77"/>
    </row>
    <row r="302" spans="1:9" s="58" customFormat="1">
      <c r="A302" s="50"/>
      <c r="B302" s="30"/>
      <c r="C302" s="70"/>
      <c r="D302" s="71"/>
      <c r="E302" s="71"/>
      <c r="F302" s="71"/>
      <c r="G302" s="30"/>
      <c r="H302" s="77"/>
      <c r="I302" s="77"/>
    </row>
    <row r="303" spans="1:9" s="58" customFormat="1">
      <c r="A303" s="50"/>
      <c r="B303" s="30"/>
      <c r="C303" s="70"/>
      <c r="D303" s="71"/>
      <c r="E303" s="71"/>
      <c r="F303" s="71"/>
      <c r="G303" s="30"/>
      <c r="H303" s="77"/>
      <c r="I303" s="77"/>
    </row>
    <row r="304" spans="1:9" s="58" customFormat="1">
      <c r="A304" s="50"/>
      <c r="B304" s="30"/>
      <c r="C304" s="70"/>
      <c r="D304" s="71"/>
      <c r="E304" s="71"/>
      <c r="F304" s="71"/>
      <c r="G304" s="30"/>
      <c r="H304" s="77"/>
      <c r="I304" s="77"/>
    </row>
    <row r="305" spans="1:9" s="58" customFormat="1">
      <c r="A305" s="50"/>
      <c r="B305" s="30"/>
      <c r="C305" s="70"/>
      <c r="D305" s="71"/>
      <c r="E305" s="71"/>
      <c r="F305" s="71"/>
      <c r="G305" s="30"/>
      <c r="H305" s="77"/>
      <c r="I305" s="77"/>
    </row>
    <row r="306" spans="1:9" s="58" customFormat="1">
      <c r="A306" s="50"/>
      <c r="B306" s="30"/>
      <c r="C306" s="70"/>
      <c r="D306" s="71"/>
      <c r="E306" s="71"/>
      <c r="F306" s="71"/>
      <c r="G306" s="30"/>
      <c r="H306" s="77"/>
      <c r="I306" s="77"/>
    </row>
    <row r="307" spans="1:9" s="58" customFormat="1">
      <c r="A307" s="50"/>
      <c r="B307" s="30"/>
      <c r="C307" s="70"/>
      <c r="D307" s="71"/>
      <c r="E307" s="71"/>
      <c r="F307" s="71"/>
      <c r="G307" s="30"/>
      <c r="H307" s="77"/>
      <c r="I307" s="77"/>
    </row>
    <row r="308" spans="1:9" s="58" customFormat="1">
      <c r="A308" s="50"/>
      <c r="B308" s="30"/>
      <c r="C308" s="70"/>
      <c r="D308" s="71"/>
      <c r="E308" s="71"/>
      <c r="F308" s="71"/>
      <c r="G308" s="30"/>
      <c r="H308" s="77"/>
      <c r="I308" s="77"/>
    </row>
    <row r="309" spans="1:9" s="58" customFormat="1">
      <c r="A309" s="50"/>
      <c r="B309" s="30"/>
      <c r="C309" s="70"/>
      <c r="D309" s="71"/>
      <c r="E309" s="71"/>
      <c r="F309" s="71"/>
      <c r="G309" s="30"/>
      <c r="H309" s="77"/>
      <c r="I309" s="77"/>
    </row>
    <row r="310" spans="1:9" s="58" customFormat="1">
      <c r="A310" s="50"/>
      <c r="B310" s="30"/>
      <c r="C310" s="70"/>
      <c r="D310" s="71"/>
      <c r="E310" s="71"/>
      <c r="F310" s="71"/>
      <c r="G310" s="30"/>
      <c r="H310" s="77"/>
      <c r="I310" s="77"/>
    </row>
    <row r="311" spans="1:9" s="58" customFormat="1">
      <c r="A311" s="50"/>
      <c r="B311" s="30"/>
      <c r="C311" s="70"/>
      <c r="D311" s="71"/>
      <c r="E311" s="71"/>
      <c r="F311" s="71"/>
      <c r="G311" s="30"/>
      <c r="H311" s="77"/>
      <c r="I311" s="77"/>
    </row>
    <row r="312" spans="1:9" s="58" customFormat="1">
      <c r="A312" s="50"/>
      <c r="B312" s="30"/>
      <c r="C312" s="70"/>
      <c r="D312" s="71"/>
      <c r="E312" s="71"/>
      <c r="F312" s="71"/>
      <c r="G312" s="30"/>
      <c r="H312" s="77"/>
      <c r="I312" s="77"/>
    </row>
    <row r="313" spans="1:9" s="58" customFormat="1">
      <c r="A313" s="50"/>
      <c r="B313" s="30"/>
      <c r="C313" s="70"/>
      <c r="D313" s="71"/>
      <c r="E313" s="71"/>
      <c r="F313" s="71"/>
      <c r="G313" s="30"/>
      <c r="H313" s="77"/>
      <c r="I313" s="77"/>
    </row>
    <row r="314" spans="1:9" s="58" customFormat="1">
      <c r="A314" s="50"/>
      <c r="B314" s="30"/>
      <c r="C314" s="70"/>
      <c r="D314" s="71"/>
      <c r="E314" s="71"/>
      <c r="F314" s="71"/>
      <c r="G314" s="30"/>
      <c r="H314" s="77"/>
      <c r="I314" s="77"/>
    </row>
    <row r="315" spans="1:9" s="58" customFormat="1">
      <c r="A315" s="50"/>
      <c r="B315" s="30"/>
      <c r="C315" s="70"/>
      <c r="D315" s="71"/>
      <c r="E315" s="71"/>
      <c r="F315" s="71"/>
      <c r="G315" s="30"/>
      <c r="H315" s="77"/>
      <c r="I315" s="77"/>
    </row>
    <row r="316" spans="1:9" s="58" customFormat="1">
      <c r="A316" s="50"/>
      <c r="B316" s="30"/>
      <c r="C316" s="70"/>
      <c r="D316" s="71"/>
      <c r="E316" s="71"/>
      <c r="F316" s="71"/>
      <c r="G316" s="30"/>
      <c r="H316" s="77"/>
      <c r="I316" s="77"/>
    </row>
    <row r="317" spans="1:9" s="58" customFormat="1">
      <c r="A317" s="50"/>
      <c r="B317" s="30"/>
      <c r="C317" s="70"/>
      <c r="D317" s="71"/>
      <c r="E317" s="71"/>
      <c r="F317" s="71"/>
      <c r="G317" s="30"/>
      <c r="H317" s="77"/>
      <c r="I317" s="77"/>
    </row>
    <row r="318" spans="1:9" s="58" customFormat="1">
      <c r="A318" s="50"/>
      <c r="B318" s="30"/>
      <c r="C318" s="70"/>
      <c r="D318" s="71"/>
      <c r="E318" s="71"/>
      <c r="F318" s="71"/>
      <c r="G318" s="30"/>
      <c r="H318" s="77"/>
      <c r="I318" s="77"/>
    </row>
    <row r="319" spans="1:9" s="58" customFormat="1">
      <c r="A319" s="50"/>
      <c r="B319" s="30"/>
      <c r="C319" s="70"/>
      <c r="D319" s="71"/>
      <c r="E319" s="71"/>
      <c r="F319" s="71"/>
      <c r="G319" s="30"/>
      <c r="H319" s="77"/>
      <c r="I319" s="77"/>
    </row>
    <row r="320" spans="1:9" s="58" customFormat="1">
      <c r="A320" s="50"/>
      <c r="B320" s="30"/>
      <c r="C320" s="70"/>
      <c r="D320" s="71"/>
      <c r="E320" s="71"/>
      <c r="F320" s="71"/>
      <c r="G320" s="30"/>
      <c r="H320" s="77"/>
      <c r="I320" s="77"/>
    </row>
    <row r="321" spans="1:11" s="58" customFormat="1">
      <c r="A321" s="50"/>
      <c r="B321" s="30"/>
      <c r="C321" s="70"/>
      <c r="D321" s="71"/>
      <c r="E321" s="71"/>
      <c r="F321" s="71"/>
      <c r="G321" s="30"/>
      <c r="H321" s="77"/>
      <c r="I321" s="77"/>
    </row>
    <row r="322" spans="1:11" s="58" customFormat="1">
      <c r="A322" s="50"/>
      <c r="B322" s="30"/>
      <c r="C322" s="70"/>
      <c r="D322" s="71"/>
      <c r="E322" s="71"/>
      <c r="F322" s="71"/>
      <c r="G322" s="30"/>
      <c r="H322" s="77"/>
      <c r="I322" s="77"/>
    </row>
    <row r="323" spans="1:11" s="58" customFormat="1">
      <c r="A323" s="50"/>
      <c r="B323" s="30"/>
      <c r="C323" s="70"/>
      <c r="D323" s="71"/>
      <c r="E323" s="71"/>
      <c r="F323" s="71"/>
      <c r="G323" s="30"/>
      <c r="H323" s="77"/>
      <c r="I323" s="77"/>
    </row>
    <row r="324" spans="1:11" s="58" customFormat="1">
      <c r="A324" s="50"/>
      <c r="B324" s="30"/>
      <c r="C324" s="70"/>
      <c r="D324" s="71"/>
      <c r="E324" s="71"/>
      <c r="F324" s="71"/>
      <c r="G324" s="30"/>
      <c r="H324" s="77"/>
      <c r="I324" s="77"/>
    </row>
    <row r="325" spans="1:11" s="58" customFormat="1">
      <c r="A325" s="50"/>
      <c r="B325" s="30"/>
      <c r="C325" s="70"/>
      <c r="D325" s="71"/>
      <c r="E325" s="71"/>
      <c r="F325" s="71"/>
      <c r="G325" s="30"/>
      <c r="H325" s="77"/>
      <c r="I325" s="77"/>
    </row>
    <row r="326" spans="1:11" s="58" customFormat="1">
      <c r="A326" s="50"/>
      <c r="B326" s="30"/>
      <c r="C326" s="70"/>
      <c r="D326" s="71"/>
      <c r="E326" s="71"/>
      <c r="F326" s="71"/>
      <c r="G326" s="30"/>
      <c r="H326" s="77"/>
      <c r="I326" s="77"/>
    </row>
    <row r="327" spans="1:11" s="58" customFormat="1">
      <c r="A327" s="50"/>
      <c r="B327" s="30"/>
      <c r="C327" s="70"/>
      <c r="D327" s="71"/>
      <c r="E327" s="71"/>
      <c r="F327" s="71"/>
      <c r="G327" s="30"/>
      <c r="H327" s="77"/>
      <c r="I327" s="77"/>
    </row>
    <row r="328" spans="1:11" s="71" customFormat="1">
      <c r="A328" s="87"/>
      <c r="B328" s="30"/>
      <c r="C328" s="70"/>
      <c r="G328" s="30"/>
      <c r="H328" s="77"/>
      <c r="I328" s="77"/>
      <c r="J328" s="58"/>
      <c r="K328" s="58"/>
    </row>
    <row r="329" spans="1:11" s="71" customFormat="1">
      <c r="A329" s="87"/>
      <c r="B329" s="30"/>
      <c r="C329" s="70"/>
      <c r="G329" s="30"/>
      <c r="H329" s="77"/>
      <c r="I329" s="77"/>
      <c r="J329" s="58"/>
      <c r="K329" s="58"/>
    </row>
    <row r="330" spans="1:11" s="71" customFormat="1">
      <c r="A330" s="87"/>
      <c r="B330" s="30"/>
      <c r="C330" s="70"/>
      <c r="G330" s="30"/>
      <c r="H330" s="77"/>
      <c r="I330" s="77"/>
      <c r="J330" s="58"/>
      <c r="K330" s="58"/>
    </row>
    <row r="331" spans="1:11" s="71" customFormat="1">
      <c r="A331" s="87"/>
      <c r="B331" s="30"/>
      <c r="C331" s="70"/>
      <c r="G331" s="30"/>
      <c r="H331" s="77"/>
      <c r="I331" s="77"/>
      <c r="J331" s="58"/>
      <c r="K331" s="58"/>
    </row>
    <row r="332" spans="1:11" s="71" customFormat="1">
      <c r="A332" s="87"/>
      <c r="B332" s="30"/>
      <c r="C332" s="70"/>
      <c r="G332" s="30"/>
      <c r="H332" s="77"/>
      <c r="I332" s="77"/>
      <c r="J332" s="58"/>
      <c r="K332" s="58"/>
    </row>
    <row r="333" spans="1:11" s="71" customFormat="1">
      <c r="A333" s="87"/>
      <c r="B333" s="30"/>
      <c r="C333" s="70"/>
      <c r="G333" s="30"/>
      <c r="H333" s="77"/>
      <c r="I333" s="77"/>
      <c r="J333" s="58"/>
      <c r="K333" s="58"/>
    </row>
    <row r="334" spans="1:11" s="71" customFormat="1">
      <c r="A334" s="87"/>
      <c r="B334" s="30"/>
      <c r="C334" s="70"/>
      <c r="G334" s="30"/>
      <c r="H334" s="77"/>
      <c r="I334" s="77"/>
      <c r="J334" s="58"/>
      <c r="K334" s="58"/>
    </row>
    <row r="335" spans="1:11" s="71" customFormat="1">
      <c r="A335" s="87"/>
      <c r="B335" s="30"/>
      <c r="C335" s="70"/>
      <c r="G335" s="30"/>
      <c r="H335" s="77"/>
      <c r="I335" s="77"/>
      <c r="J335" s="58"/>
      <c r="K335" s="58"/>
    </row>
    <row r="336" spans="1:11" s="71" customFormat="1">
      <c r="A336" s="87"/>
      <c r="B336" s="30"/>
      <c r="C336" s="70"/>
      <c r="G336" s="30"/>
      <c r="H336" s="77"/>
      <c r="I336" s="77"/>
      <c r="J336" s="58"/>
      <c r="K336" s="58"/>
    </row>
    <row r="337" spans="1:11" s="71" customFormat="1">
      <c r="A337" s="87"/>
      <c r="B337" s="30"/>
      <c r="C337" s="70"/>
      <c r="G337" s="30"/>
      <c r="H337" s="77"/>
      <c r="I337" s="77"/>
      <c r="J337" s="58"/>
      <c r="K337" s="58"/>
    </row>
    <row r="338" spans="1:11" s="71" customFormat="1">
      <c r="A338" s="87"/>
      <c r="B338" s="30"/>
      <c r="C338" s="70"/>
      <c r="G338" s="30"/>
      <c r="H338" s="77"/>
      <c r="I338" s="77"/>
      <c r="J338" s="58"/>
      <c r="K338" s="58"/>
    </row>
    <row r="339" spans="1:11" s="71" customFormat="1">
      <c r="A339" s="87"/>
      <c r="B339" s="30"/>
      <c r="C339" s="70"/>
      <c r="G339" s="30"/>
      <c r="H339" s="77"/>
      <c r="I339" s="77"/>
      <c r="J339" s="58"/>
      <c r="K339" s="58"/>
    </row>
    <row r="340" spans="1:11" s="71" customFormat="1">
      <c r="A340" s="87"/>
      <c r="B340" s="30"/>
      <c r="C340" s="70"/>
      <c r="G340" s="30"/>
      <c r="H340" s="77"/>
      <c r="I340" s="77"/>
      <c r="J340" s="58"/>
      <c r="K340" s="58"/>
    </row>
    <row r="341" spans="1:11" s="71" customFormat="1">
      <c r="A341" s="87"/>
      <c r="B341" s="30"/>
      <c r="C341" s="70"/>
      <c r="G341" s="30"/>
      <c r="H341" s="77"/>
      <c r="I341" s="77"/>
      <c r="J341" s="58"/>
      <c r="K341" s="58"/>
    </row>
    <row r="342" spans="1:11" s="71" customFormat="1">
      <c r="A342" s="87"/>
      <c r="B342" s="30"/>
      <c r="C342" s="70"/>
      <c r="G342" s="30"/>
      <c r="H342" s="77"/>
      <c r="I342" s="77"/>
      <c r="J342" s="58"/>
      <c r="K342" s="58"/>
    </row>
    <row r="343" spans="1:11" s="71" customFormat="1">
      <c r="A343" s="87"/>
      <c r="B343" s="30"/>
      <c r="C343" s="70"/>
      <c r="G343" s="30"/>
      <c r="H343" s="77"/>
      <c r="I343" s="77"/>
      <c r="J343" s="58"/>
      <c r="K343" s="58"/>
    </row>
    <row r="344" spans="1:11" s="71" customFormat="1">
      <c r="A344" s="87"/>
      <c r="B344" s="30"/>
      <c r="C344" s="70"/>
      <c r="G344" s="30"/>
      <c r="H344" s="77"/>
      <c r="I344" s="77"/>
      <c r="J344" s="58"/>
      <c r="K344" s="58"/>
    </row>
    <row r="345" spans="1:11" s="71" customFormat="1">
      <c r="A345" s="87"/>
      <c r="B345" s="30"/>
      <c r="C345" s="70"/>
      <c r="G345" s="30"/>
      <c r="H345" s="77"/>
      <c r="I345" s="77"/>
      <c r="J345" s="58"/>
      <c r="K345" s="58"/>
    </row>
    <row r="346" spans="1:11" s="71" customFormat="1">
      <c r="A346" s="87"/>
      <c r="B346" s="30"/>
      <c r="C346" s="70"/>
      <c r="G346" s="30"/>
      <c r="H346" s="77"/>
      <c r="I346" s="77"/>
      <c r="J346" s="58"/>
      <c r="K346" s="58"/>
    </row>
    <row r="347" spans="1:11" s="71" customFormat="1">
      <c r="A347" s="87"/>
      <c r="B347" s="30"/>
      <c r="C347" s="70"/>
      <c r="G347" s="30"/>
      <c r="H347" s="77"/>
      <c r="I347" s="77"/>
      <c r="J347" s="58"/>
      <c r="K347" s="58"/>
    </row>
    <row r="348" spans="1:11" s="71" customFormat="1">
      <c r="A348" s="87"/>
      <c r="B348" s="30"/>
      <c r="C348" s="70"/>
      <c r="G348" s="30"/>
      <c r="H348" s="77"/>
      <c r="I348" s="77"/>
      <c r="J348" s="58"/>
      <c r="K348" s="58"/>
    </row>
    <row r="349" spans="1:11" s="71" customFormat="1">
      <c r="A349" s="87"/>
      <c r="B349" s="30"/>
      <c r="C349" s="70"/>
      <c r="G349" s="30"/>
      <c r="H349" s="77"/>
      <c r="I349" s="77"/>
      <c r="J349" s="58"/>
      <c r="K349" s="58"/>
    </row>
    <row r="350" spans="1:11" s="71" customFormat="1">
      <c r="A350" s="87"/>
      <c r="B350" s="30"/>
      <c r="C350" s="70"/>
      <c r="G350" s="30"/>
      <c r="H350" s="77"/>
      <c r="I350" s="77"/>
      <c r="J350" s="58"/>
      <c r="K350" s="58"/>
    </row>
    <row r="351" spans="1:11" s="71" customFormat="1">
      <c r="A351" s="87"/>
      <c r="B351" s="30"/>
      <c r="C351" s="70"/>
      <c r="G351" s="30"/>
      <c r="H351" s="77"/>
      <c r="I351" s="77"/>
      <c r="J351" s="58"/>
      <c r="K351" s="58"/>
    </row>
    <row r="352" spans="1:11" s="71" customFormat="1">
      <c r="A352" s="87"/>
      <c r="B352" s="30"/>
      <c r="C352" s="70"/>
      <c r="G352" s="30"/>
      <c r="H352" s="77"/>
      <c r="I352" s="77"/>
      <c r="J352" s="58"/>
      <c r="K352" s="58"/>
    </row>
    <row r="353" spans="1:11" s="71" customFormat="1">
      <c r="A353" s="87"/>
      <c r="B353" s="30"/>
      <c r="C353" s="70"/>
      <c r="G353" s="30"/>
      <c r="H353" s="77"/>
      <c r="I353" s="77"/>
      <c r="J353" s="58"/>
      <c r="K353" s="58"/>
    </row>
    <row r="354" spans="1:11" s="71" customFormat="1">
      <c r="A354" s="87"/>
      <c r="B354" s="30"/>
      <c r="C354" s="70"/>
      <c r="G354" s="30"/>
      <c r="H354" s="77"/>
      <c r="I354" s="77"/>
      <c r="J354" s="58"/>
      <c r="K354" s="58"/>
    </row>
    <row r="355" spans="1:11" s="71" customFormat="1">
      <c r="A355" s="87"/>
      <c r="B355" s="30"/>
      <c r="C355" s="70"/>
      <c r="G355" s="30"/>
      <c r="H355" s="77"/>
      <c r="I355" s="77"/>
      <c r="J355" s="58"/>
      <c r="K355" s="58"/>
    </row>
    <row r="356" spans="1:11" s="71" customFormat="1">
      <c r="A356" s="87"/>
      <c r="B356" s="30"/>
      <c r="C356" s="70"/>
      <c r="G356" s="30"/>
      <c r="H356" s="77"/>
      <c r="I356" s="77"/>
      <c r="J356" s="58"/>
      <c r="K356" s="58"/>
    </row>
    <row r="357" spans="1:11" s="71" customFormat="1">
      <c r="A357" s="87"/>
      <c r="B357" s="30"/>
      <c r="C357" s="70"/>
      <c r="G357" s="30"/>
      <c r="H357" s="77"/>
      <c r="I357" s="77"/>
      <c r="J357" s="58"/>
      <c r="K357" s="58"/>
    </row>
    <row r="358" spans="1:11" s="71" customFormat="1">
      <c r="A358" s="87"/>
      <c r="B358" s="30"/>
      <c r="C358" s="70"/>
      <c r="G358" s="30"/>
      <c r="H358" s="77"/>
      <c r="I358" s="77"/>
      <c r="J358" s="58"/>
      <c r="K358" s="58"/>
    </row>
    <row r="359" spans="1:11" s="71" customFormat="1">
      <c r="A359" s="87"/>
      <c r="B359" s="30"/>
      <c r="C359" s="70"/>
      <c r="G359" s="30"/>
      <c r="H359" s="77"/>
      <c r="I359" s="77"/>
      <c r="J359" s="58"/>
      <c r="K359" s="58"/>
    </row>
    <row r="360" spans="1:11" s="71" customFormat="1">
      <c r="A360" s="87"/>
      <c r="B360" s="30"/>
      <c r="C360" s="70"/>
      <c r="G360" s="30"/>
      <c r="H360" s="77"/>
      <c r="I360" s="77"/>
      <c r="J360" s="58"/>
      <c r="K360" s="58"/>
    </row>
    <row r="361" spans="1:11" s="71" customFormat="1">
      <c r="A361" s="87"/>
      <c r="B361" s="30"/>
      <c r="C361" s="70"/>
      <c r="G361" s="30"/>
      <c r="H361" s="77"/>
      <c r="I361" s="77"/>
      <c r="J361" s="58"/>
      <c r="K361" s="58"/>
    </row>
    <row r="362" spans="1:11" s="71" customFormat="1">
      <c r="A362" s="87"/>
      <c r="B362" s="30"/>
      <c r="C362" s="70"/>
      <c r="G362" s="30"/>
      <c r="H362" s="77"/>
      <c r="I362" s="77"/>
      <c r="J362" s="58"/>
      <c r="K362" s="58"/>
    </row>
    <row r="363" spans="1:11" s="71" customFormat="1">
      <c r="A363" s="87"/>
      <c r="B363" s="30"/>
      <c r="C363" s="70"/>
      <c r="G363" s="30"/>
      <c r="H363" s="77"/>
      <c r="I363" s="77"/>
      <c r="J363" s="58"/>
      <c r="K363" s="58"/>
    </row>
    <row r="364" spans="1:11" s="71" customFormat="1">
      <c r="A364" s="87"/>
      <c r="B364" s="30"/>
      <c r="C364" s="70"/>
      <c r="G364" s="30"/>
      <c r="H364" s="77"/>
      <c r="I364" s="77"/>
      <c r="J364" s="58"/>
      <c r="K364" s="58"/>
    </row>
    <row r="365" spans="1:11" s="71" customFormat="1">
      <c r="A365" s="87"/>
      <c r="B365" s="30"/>
      <c r="C365" s="70"/>
      <c r="G365" s="30"/>
      <c r="H365" s="77"/>
      <c r="I365" s="77"/>
      <c r="J365" s="58"/>
      <c r="K365" s="58"/>
    </row>
    <row r="366" spans="1:11" s="71" customFormat="1">
      <c r="A366" s="87"/>
      <c r="B366" s="30"/>
      <c r="C366" s="70"/>
      <c r="G366" s="30"/>
      <c r="H366" s="77"/>
      <c r="I366" s="77"/>
      <c r="J366" s="58"/>
      <c r="K366" s="58"/>
    </row>
    <row r="367" spans="1:11" s="71" customFormat="1">
      <c r="A367" s="87"/>
      <c r="B367" s="30"/>
      <c r="C367" s="70"/>
      <c r="G367" s="30"/>
      <c r="H367" s="77"/>
      <c r="I367" s="77"/>
      <c r="J367" s="58"/>
      <c r="K367" s="58"/>
    </row>
    <row r="368" spans="1:11" s="71" customFormat="1">
      <c r="A368" s="87"/>
      <c r="B368" s="30"/>
      <c r="C368" s="70"/>
      <c r="G368" s="30"/>
      <c r="H368" s="77"/>
      <c r="I368" s="77"/>
      <c r="J368" s="58"/>
      <c r="K368" s="58"/>
    </row>
    <row r="369" spans="1:11" s="71" customFormat="1">
      <c r="A369" s="87"/>
      <c r="B369" s="30"/>
      <c r="C369" s="70"/>
      <c r="G369" s="30"/>
      <c r="H369" s="77"/>
      <c r="I369" s="77"/>
      <c r="J369" s="58"/>
      <c r="K369" s="58"/>
    </row>
    <row r="370" spans="1:11" s="71" customFormat="1">
      <c r="A370" s="87"/>
      <c r="B370" s="30"/>
      <c r="C370" s="70"/>
      <c r="G370" s="30"/>
      <c r="H370" s="77"/>
      <c r="I370" s="77"/>
      <c r="J370" s="58"/>
      <c r="K370" s="58"/>
    </row>
    <row r="371" spans="1:11" s="71" customFormat="1">
      <c r="A371" s="87"/>
      <c r="B371" s="30"/>
      <c r="C371" s="70"/>
      <c r="G371" s="30"/>
      <c r="H371" s="77"/>
      <c r="I371" s="77"/>
      <c r="J371" s="58"/>
      <c r="K371" s="58"/>
    </row>
    <row r="372" spans="1:11" s="71" customFormat="1">
      <c r="A372" s="87"/>
      <c r="B372" s="30"/>
      <c r="C372" s="70"/>
      <c r="G372" s="30"/>
      <c r="H372" s="77"/>
      <c r="I372" s="77"/>
      <c r="J372" s="58"/>
      <c r="K372" s="58"/>
    </row>
    <row r="373" spans="1:11" s="71" customFormat="1">
      <c r="A373" s="87"/>
      <c r="B373" s="30"/>
      <c r="C373" s="70"/>
      <c r="G373" s="30"/>
      <c r="H373" s="77"/>
      <c r="I373" s="77"/>
      <c r="J373" s="58"/>
      <c r="K373" s="58"/>
    </row>
    <row r="374" spans="1:11" s="71" customFormat="1">
      <c r="A374" s="87"/>
      <c r="B374" s="30"/>
      <c r="C374" s="70"/>
      <c r="G374" s="30"/>
      <c r="H374" s="77"/>
      <c r="I374" s="77"/>
      <c r="J374" s="58"/>
      <c r="K374" s="58"/>
    </row>
    <row r="375" spans="1:11" s="71" customFormat="1">
      <c r="A375" s="87"/>
      <c r="B375" s="30"/>
      <c r="C375" s="70"/>
      <c r="G375" s="30"/>
      <c r="H375" s="77"/>
      <c r="I375" s="77"/>
      <c r="J375" s="58"/>
      <c r="K375" s="58"/>
    </row>
    <row r="376" spans="1:11" s="71" customFormat="1">
      <c r="A376" s="87"/>
      <c r="B376" s="30"/>
      <c r="C376" s="70"/>
      <c r="G376" s="30"/>
      <c r="H376" s="77"/>
      <c r="I376" s="77"/>
      <c r="J376" s="58"/>
      <c r="K376" s="58"/>
    </row>
    <row r="377" spans="1:11" s="71" customFormat="1">
      <c r="A377" s="87"/>
      <c r="B377" s="30"/>
      <c r="C377" s="70"/>
      <c r="G377" s="30"/>
      <c r="H377" s="77"/>
      <c r="I377" s="77"/>
      <c r="J377" s="58"/>
      <c r="K377" s="58"/>
    </row>
    <row r="378" spans="1:11" s="71" customFormat="1">
      <c r="A378" s="87"/>
      <c r="B378" s="30"/>
      <c r="C378" s="70"/>
      <c r="G378" s="30"/>
      <c r="H378" s="77"/>
      <c r="I378" s="77"/>
      <c r="J378" s="58"/>
      <c r="K378" s="58"/>
    </row>
    <row r="379" spans="1:11" s="71" customFormat="1">
      <c r="A379" s="87"/>
      <c r="B379" s="30"/>
      <c r="C379" s="70"/>
      <c r="G379" s="30"/>
      <c r="H379" s="77"/>
      <c r="I379" s="77"/>
      <c r="J379" s="58"/>
      <c r="K379" s="58"/>
    </row>
    <row r="380" spans="1:11" s="71" customFormat="1">
      <c r="A380" s="87"/>
      <c r="B380" s="30"/>
      <c r="C380" s="70"/>
      <c r="G380" s="30"/>
      <c r="H380" s="77"/>
      <c r="I380" s="77"/>
      <c r="J380" s="58"/>
      <c r="K380" s="58"/>
    </row>
    <row r="381" spans="1:11" s="71" customFormat="1">
      <c r="A381" s="87"/>
      <c r="B381" s="30"/>
      <c r="C381" s="70"/>
      <c r="G381" s="30"/>
      <c r="H381" s="77"/>
      <c r="I381" s="77"/>
      <c r="J381" s="58"/>
      <c r="K381" s="58"/>
    </row>
    <row r="382" spans="1:11" s="71" customFormat="1">
      <c r="A382" s="87"/>
      <c r="B382" s="30"/>
      <c r="C382" s="70"/>
      <c r="G382" s="30"/>
      <c r="H382" s="77"/>
      <c r="I382" s="77"/>
      <c r="J382" s="58"/>
      <c r="K382" s="58"/>
    </row>
    <row r="383" spans="1:11" s="71" customFormat="1">
      <c r="A383" s="87"/>
      <c r="B383" s="30"/>
      <c r="C383" s="70"/>
      <c r="G383" s="30"/>
      <c r="H383" s="77"/>
      <c r="I383" s="77"/>
      <c r="J383" s="58"/>
      <c r="K383" s="58"/>
    </row>
    <row r="384" spans="1:11" s="71" customFormat="1">
      <c r="A384" s="87"/>
      <c r="B384" s="30"/>
      <c r="C384" s="70"/>
      <c r="G384" s="30"/>
      <c r="H384" s="77"/>
      <c r="I384" s="77"/>
      <c r="J384" s="58"/>
      <c r="K384" s="58"/>
    </row>
    <row r="385" spans="1:11" s="71" customFormat="1">
      <c r="A385" s="87"/>
      <c r="B385" s="30"/>
      <c r="C385" s="70"/>
      <c r="G385" s="30"/>
      <c r="H385" s="77"/>
      <c r="I385" s="77"/>
      <c r="J385" s="58"/>
      <c r="K385" s="58"/>
    </row>
    <row r="386" spans="1:11" s="71" customFormat="1">
      <c r="A386" s="87"/>
      <c r="B386" s="30"/>
      <c r="C386" s="70"/>
      <c r="G386" s="30"/>
      <c r="H386" s="77"/>
      <c r="I386" s="77"/>
      <c r="J386" s="58"/>
      <c r="K386" s="58"/>
    </row>
    <row r="387" spans="1:11" s="71" customFormat="1">
      <c r="A387" s="87"/>
      <c r="B387" s="30"/>
      <c r="C387" s="70"/>
      <c r="G387" s="30"/>
      <c r="H387" s="77"/>
      <c r="I387" s="77"/>
      <c r="J387" s="58"/>
      <c r="K387" s="58"/>
    </row>
    <row r="388" spans="1:11" s="71" customFormat="1">
      <c r="A388" s="87"/>
      <c r="B388" s="30"/>
      <c r="C388" s="70"/>
      <c r="G388" s="30"/>
      <c r="H388" s="77"/>
      <c r="I388" s="77"/>
      <c r="J388" s="58"/>
      <c r="K388" s="58"/>
    </row>
    <row r="389" spans="1:11" s="71" customFormat="1">
      <c r="A389" s="87"/>
      <c r="B389" s="30"/>
      <c r="C389" s="70"/>
      <c r="G389" s="30"/>
      <c r="H389" s="77"/>
      <c r="I389" s="77"/>
      <c r="J389" s="58"/>
      <c r="K389" s="58"/>
    </row>
    <row r="390" spans="1:11" s="71" customFormat="1">
      <c r="A390" s="87"/>
      <c r="B390" s="30"/>
      <c r="C390" s="70"/>
      <c r="G390" s="30"/>
      <c r="H390" s="77"/>
      <c r="I390" s="77"/>
      <c r="J390" s="58"/>
      <c r="K390" s="58"/>
    </row>
    <row r="391" spans="1:11" s="71" customFormat="1">
      <c r="A391" s="87"/>
      <c r="B391" s="30"/>
      <c r="C391" s="70"/>
      <c r="G391" s="30"/>
      <c r="H391" s="77"/>
      <c r="I391" s="77"/>
      <c r="J391" s="58"/>
      <c r="K391" s="58"/>
    </row>
    <row r="392" spans="1:11" s="71" customFormat="1">
      <c r="A392" s="87"/>
      <c r="B392" s="30"/>
      <c r="C392" s="70"/>
      <c r="G392" s="30"/>
      <c r="H392" s="77"/>
      <c r="I392" s="77"/>
      <c r="J392" s="58"/>
      <c r="K392" s="58"/>
    </row>
    <row r="393" spans="1:11" s="71" customFormat="1">
      <c r="A393" s="87"/>
      <c r="B393" s="30"/>
      <c r="C393" s="70"/>
      <c r="G393" s="30"/>
      <c r="H393" s="77"/>
      <c r="I393" s="77"/>
      <c r="J393" s="58"/>
      <c r="K393" s="58"/>
    </row>
    <row r="394" spans="1:11" s="71" customFormat="1">
      <c r="A394" s="87"/>
      <c r="B394" s="30"/>
      <c r="C394" s="70"/>
      <c r="G394" s="30"/>
      <c r="H394" s="77"/>
      <c r="I394" s="77"/>
      <c r="J394" s="58"/>
      <c r="K394" s="58"/>
    </row>
    <row r="395" spans="1:11" s="71" customFormat="1">
      <c r="A395" s="87"/>
      <c r="B395" s="30"/>
      <c r="C395" s="70"/>
      <c r="G395" s="30"/>
      <c r="H395" s="77"/>
      <c r="I395" s="77"/>
      <c r="J395" s="58"/>
      <c r="K395" s="58"/>
    </row>
    <row r="396" spans="1:11" s="71" customFormat="1">
      <c r="A396" s="87"/>
      <c r="B396" s="30"/>
      <c r="C396" s="70"/>
      <c r="G396" s="30"/>
      <c r="H396" s="77"/>
      <c r="I396" s="77"/>
      <c r="J396" s="58"/>
      <c r="K396" s="58"/>
    </row>
    <row r="397" spans="1:11" s="71" customFormat="1">
      <c r="A397" s="87"/>
      <c r="B397" s="30"/>
      <c r="C397" s="70"/>
      <c r="G397" s="30"/>
      <c r="H397" s="77"/>
      <c r="I397" s="77"/>
      <c r="J397" s="58"/>
      <c r="K397" s="58"/>
    </row>
    <row r="398" spans="1:11" s="71" customFormat="1">
      <c r="A398" s="87"/>
      <c r="B398" s="30"/>
      <c r="C398" s="70"/>
      <c r="G398" s="30"/>
      <c r="H398" s="77"/>
      <c r="I398" s="77"/>
      <c r="J398" s="58"/>
      <c r="K398" s="58"/>
    </row>
    <row r="399" spans="1:11" s="71" customFormat="1">
      <c r="A399" s="87"/>
      <c r="B399" s="30"/>
      <c r="C399" s="70"/>
      <c r="G399" s="30"/>
      <c r="H399" s="77"/>
      <c r="I399" s="77"/>
      <c r="J399" s="58"/>
      <c r="K399" s="58"/>
    </row>
    <row r="400" spans="1:11" s="71" customFormat="1">
      <c r="A400" s="87"/>
      <c r="B400" s="30"/>
      <c r="C400" s="70"/>
      <c r="G400" s="30"/>
      <c r="H400" s="77"/>
      <c r="I400" s="77"/>
      <c r="J400" s="58"/>
      <c r="K400" s="58"/>
    </row>
    <row r="401" spans="1:11" s="71" customFormat="1">
      <c r="A401" s="87"/>
      <c r="B401" s="30"/>
      <c r="C401" s="70"/>
      <c r="G401" s="30"/>
      <c r="H401" s="77"/>
      <c r="I401" s="77"/>
      <c r="J401" s="58"/>
      <c r="K401" s="58"/>
    </row>
    <row r="402" spans="1:11" s="71" customFormat="1">
      <c r="A402" s="87"/>
      <c r="B402" s="30"/>
      <c r="C402" s="70"/>
      <c r="G402" s="30"/>
      <c r="H402" s="77"/>
      <c r="I402" s="77"/>
      <c r="J402" s="58"/>
      <c r="K402" s="58"/>
    </row>
    <row r="403" spans="1:11" s="71" customFormat="1">
      <c r="A403" s="87"/>
      <c r="B403" s="30"/>
      <c r="C403" s="70"/>
      <c r="G403" s="30"/>
      <c r="H403" s="77"/>
      <c r="I403" s="77"/>
      <c r="J403" s="58"/>
      <c r="K403" s="58"/>
    </row>
    <row r="404" spans="1:11" s="71" customFormat="1">
      <c r="A404" s="87"/>
      <c r="B404" s="30"/>
      <c r="C404" s="70"/>
      <c r="G404" s="30"/>
      <c r="H404" s="77"/>
      <c r="I404" s="77"/>
      <c r="J404" s="58"/>
      <c r="K404" s="58"/>
    </row>
    <row r="405" spans="1:11" s="71" customFormat="1">
      <c r="A405" s="87"/>
      <c r="B405" s="30"/>
      <c r="C405" s="70"/>
      <c r="G405" s="30"/>
      <c r="H405" s="77"/>
      <c r="I405" s="77"/>
      <c r="J405" s="58"/>
      <c r="K405" s="58"/>
    </row>
    <row r="406" spans="1:11" s="71" customFormat="1">
      <c r="A406" s="87"/>
      <c r="B406" s="30"/>
      <c r="C406" s="70"/>
      <c r="G406" s="30"/>
      <c r="H406" s="77"/>
      <c r="I406" s="77"/>
      <c r="J406" s="58"/>
      <c r="K406" s="58"/>
    </row>
    <row r="407" spans="1:11" s="71" customFormat="1">
      <c r="A407" s="87"/>
      <c r="B407" s="30"/>
      <c r="C407" s="70"/>
      <c r="G407" s="30"/>
      <c r="H407" s="77"/>
      <c r="I407" s="77"/>
      <c r="J407" s="58"/>
      <c r="K407" s="58"/>
    </row>
    <row r="408" spans="1:11" s="71" customFormat="1">
      <c r="A408" s="87"/>
      <c r="B408" s="30"/>
      <c r="C408" s="70"/>
      <c r="G408" s="30"/>
      <c r="H408" s="77"/>
      <c r="I408" s="77"/>
      <c r="J408" s="58"/>
      <c r="K408" s="58"/>
    </row>
    <row r="409" spans="1:11" s="71" customFormat="1">
      <c r="A409" s="87"/>
      <c r="B409" s="30"/>
      <c r="C409" s="70"/>
      <c r="G409" s="30"/>
      <c r="H409" s="77"/>
      <c r="I409" s="77"/>
      <c r="J409" s="58"/>
      <c r="K409" s="58"/>
    </row>
    <row r="410" spans="1:11" s="71" customFormat="1">
      <c r="A410" s="87"/>
      <c r="B410" s="30"/>
      <c r="C410" s="70"/>
      <c r="G410" s="30"/>
      <c r="H410" s="77"/>
      <c r="I410" s="77"/>
      <c r="J410" s="58"/>
      <c r="K410" s="58"/>
    </row>
    <row r="411" spans="1:11" s="71" customFormat="1">
      <c r="A411" s="87"/>
      <c r="B411" s="30"/>
      <c r="C411" s="70"/>
      <c r="G411" s="30"/>
      <c r="H411" s="77"/>
      <c r="I411" s="77"/>
      <c r="J411" s="58"/>
      <c r="K411" s="58"/>
    </row>
    <row r="412" spans="1:11" s="71" customFormat="1">
      <c r="A412" s="87"/>
      <c r="B412" s="30"/>
      <c r="C412" s="70"/>
      <c r="G412" s="30"/>
      <c r="H412" s="77"/>
      <c r="I412" s="77"/>
      <c r="J412" s="58"/>
      <c r="K412" s="58"/>
    </row>
    <row r="413" spans="1:11" s="71" customFormat="1">
      <c r="A413" s="87"/>
      <c r="B413" s="30"/>
      <c r="C413" s="70"/>
      <c r="G413" s="30"/>
      <c r="H413" s="77"/>
      <c r="I413" s="77"/>
      <c r="J413" s="58"/>
      <c r="K413" s="58"/>
    </row>
    <row r="414" spans="1:11" s="71" customFormat="1">
      <c r="A414" s="87"/>
      <c r="B414" s="30"/>
      <c r="C414" s="70"/>
      <c r="G414" s="30"/>
      <c r="H414" s="77"/>
      <c r="I414" s="77"/>
      <c r="J414" s="58"/>
      <c r="K414" s="58"/>
    </row>
    <row r="415" spans="1:11" s="71" customFormat="1">
      <c r="A415" s="87"/>
      <c r="B415" s="30"/>
      <c r="C415" s="70"/>
      <c r="G415" s="30"/>
      <c r="H415" s="77"/>
      <c r="I415" s="77"/>
      <c r="J415" s="58"/>
      <c r="K415" s="58"/>
    </row>
    <row r="416" spans="1:11" s="71" customFormat="1">
      <c r="A416" s="87"/>
      <c r="B416" s="30"/>
      <c r="C416" s="70"/>
      <c r="G416" s="30"/>
      <c r="H416" s="77"/>
      <c r="I416" s="77"/>
      <c r="J416" s="58"/>
      <c r="K416" s="58"/>
    </row>
    <row r="417" spans="1:11" s="71" customFormat="1">
      <c r="A417" s="87"/>
      <c r="B417" s="30"/>
      <c r="C417" s="70"/>
      <c r="G417" s="30"/>
      <c r="H417" s="77"/>
      <c r="I417" s="77"/>
      <c r="J417" s="58"/>
      <c r="K417" s="58"/>
    </row>
    <row r="418" spans="1:11" s="71" customFormat="1">
      <c r="A418" s="87"/>
      <c r="B418" s="30"/>
      <c r="C418" s="70"/>
      <c r="G418" s="30"/>
      <c r="H418" s="77"/>
      <c r="I418" s="77"/>
      <c r="J418" s="58"/>
      <c r="K418" s="58"/>
    </row>
    <row r="419" spans="1:11" s="71" customFormat="1">
      <c r="A419" s="87"/>
      <c r="B419" s="30"/>
      <c r="C419" s="70"/>
      <c r="G419" s="30"/>
      <c r="H419" s="77"/>
      <c r="I419" s="77"/>
      <c r="J419" s="58"/>
      <c r="K419" s="58"/>
    </row>
    <row r="420" spans="1:11" s="71" customFormat="1">
      <c r="A420" s="87"/>
      <c r="B420" s="30"/>
      <c r="C420" s="70"/>
      <c r="G420" s="30"/>
      <c r="H420" s="77"/>
      <c r="I420" s="77"/>
      <c r="J420" s="58"/>
      <c r="K420" s="58"/>
    </row>
    <row r="421" spans="1:11" s="71" customFormat="1">
      <c r="A421" s="87"/>
      <c r="B421" s="30"/>
      <c r="C421" s="70"/>
      <c r="G421" s="30"/>
      <c r="H421" s="77"/>
      <c r="I421" s="77"/>
      <c r="J421" s="58"/>
      <c r="K421" s="58"/>
    </row>
    <row r="422" spans="1:11" s="71" customFormat="1">
      <c r="A422" s="87"/>
      <c r="B422" s="30"/>
      <c r="C422" s="70"/>
      <c r="G422" s="30"/>
      <c r="H422" s="77"/>
      <c r="I422" s="77"/>
      <c r="J422" s="58"/>
      <c r="K422" s="58"/>
    </row>
    <row r="423" spans="1:11" s="71" customFormat="1">
      <c r="A423" s="87"/>
      <c r="B423" s="30"/>
      <c r="C423" s="70"/>
      <c r="G423" s="30"/>
      <c r="H423" s="77"/>
      <c r="I423" s="77"/>
      <c r="J423" s="58"/>
      <c r="K423" s="58"/>
    </row>
    <row r="424" spans="1:11" s="71" customFormat="1">
      <c r="A424" s="87"/>
      <c r="B424" s="30"/>
      <c r="C424" s="70"/>
      <c r="G424" s="30"/>
      <c r="H424" s="77"/>
      <c r="I424" s="77"/>
      <c r="J424" s="58"/>
      <c r="K424" s="58"/>
    </row>
    <row r="425" spans="1:11" s="71" customFormat="1">
      <c r="A425" s="87"/>
      <c r="B425" s="30"/>
      <c r="C425" s="70"/>
      <c r="G425" s="30"/>
      <c r="H425" s="77"/>
      <c r="I425" s="77"/>
      <c r="J425" s="58"/>
      <c r="K425" s="58"/>
    </row>
    <row r="426" spans="1:11" s="71" customFormat="1">
      <c r="A426" s="87"/>
      <c r="B426" s="30"/>
      <c r="C426" s="70"/>
      <c r="G426" s="30"/>
      <c r="H426" s="77"/>
      <c r="I426" s="77"/>
      <c r="J426" s="58"/>
      <c r="K426" s="58"/>
    </row>
    <row r="427" spans="1:11" s="71" customFormat="1">
      <c r="A427" s="87"/>
      <c r="B427" s="30"/>
      <c r="C427" s="70"/>
      <c r="G427" s="30"/>
      <c r="H427" s="77"/>
      <c r="I427" s="77"/>
      <c r="J427" s="58"/>
      <c r="K427" s="58"/>
    </row>
    <row r="428" spans="1:11" s="71" customFormat="1">
      <c r="A428" s="87"/>
      <c r="B428" s="30"/>
      <c r="C428" s="70"/>
      <c r="G428" s="30"/>
      <c r="H428" s="77"/>
      <c r="I428" s="77"/>
      <c r="J428" s="58"/>
      <c r="K428" s="58"/>
    </row>
    <row r="429" spans="1:11" s="71" customFormat="1">
      <c r="A429" s="87"/>
      <c r="B429" s="30"/>
      <c r="C429" s="70"/>
      <c r="G429" s="30"/>
      <c r="H429" s="77"/>
      <c r="I429" s="77"/>
      <c r="J429" s="58"/>
      <c r="K429" s="58"/>
    </row>
    <row r="430" spans="1:11" s="71" customFormat="1">
      <c r="A430" s="87"/>
      <c r="B430" s="30"/>
      <c r="C430" s="70"/>
      <c r="G430" s="30"/>
      <c r="H430" s="77"/>
      <c r="I430" s="77"/>
      <c r="J430" s="58"/>
      <c r="K430" s="58"/>
    </row>
    <row r="431" spans="1:11" s="71" customFormat="1">
      <c r="A431" s="87"/>
      <c r="B431" s="30"/>
      <c r="C431" s="70"/>
      <c r="G431" s="30"/>
      <c r="H431" s="77"/>
      <c r="I431" s="77"/>
      <c r="J431" s="58"/>
      <c r="K431" s="58"/>
    </row>
    <row r="432" spans="1:11" s="71" customFormat="1">
      <c r="A432" s="87"/>
      <c r="B432" s="30"/>
      <c r="C432" s="70"/>
      <c r="G432" s="30"/>
      <c r="H432" s="77"/>
      <c r="I432" s="77"/>
      <c r="J432" s="58"/>
      <c r="K432" s="58"/>
    </row>
    <row r="433" spans="1:11" s="71" customFormat="1">
      <c r="A433" s="87"/>
      <c r="B433" s="30"/>
      <c r="C433" s="70"/>
      <c r="G433" s="30"/>
      <c r="H433" s="77"/>
      <c r="I433" s="77"/>
      <c r="J433" s="58"/>
      <c r="K433" s="58"/>
    </row>
    <row r="434" spans="1:11" s="71" customFormat="1">
      <c r="A434" s="87"/>
      <c r="B434" s="30"/>
      <c r="C434" s="70"/>
      <c r="G434" s="30"/>
      <c r="H434" s="77"/>
      <c r="I434" s="77"/>
      <c r="J434" s="58"/>
      <c r="K434" s="58"/>
    </row>
    <row r="435" spans="1:11" s="71" customFormat="1">
      <c r="A435" s="87"/>
      <c r="B435" s="30"/>
      <c r="C435" s="70"/>
      <c r="G435" s="30"/>
      <c r="H435" s="77"/>
      <c r="I435" s="77"/>
      <c r="J435" s="58"/>
      <c r="K435" s="58"/>
    </row>
    <row r="436" spans="1:11" s="71" customFormat="1">
      <c r="A436" s="87"/>
      <c r="B436" s="30"/>
      <c r="C436" s="70"/>
      <c r="G436" s="30"/>
      <c r="H436" s="77"/>
      <c r="I436" s="77"/>
      <c r="J436" s="58"/>
      <c r="K436" s="58"/>
    </row>
    <row r="437" spans="1:11" s="71" customFormat="1">
      <c r="A437" s="87"/>
      <c r="B437" s="30"/>
      <c r="C437" s="70"/>
      <c r="G437" s="30"/>
      <c r="H437" s="77"/>
      <c r="I437" s="77"/>
      <c r="J437" s="58"/>
      <c r="K437" s="58"/>
    </row>
    <row r="438" spans="1:11" s="71" customFormat="1">
      <c r="A438" s="87"/>
      <c r="B438" s="30"/>
      <c r="C438" s="70"/>
      <c r="G438" s="30"/>
      <c r="H438" s="77"/>
      <c r="I438" s="77"/>
      <c r="J438" s="58"/>
      <c r="K438" s="58"/>
    </row>
    <row r="439" spans="1:11" s="71" customFormat="1">
      <c r="A439" s="87"/>
      <c r="B439" s="30"/>
      <c r="C439" s="70"/>
      <c r="G439" s="30"/>
      <c r="H439" s="77"/>
      <c r="I439" s="77"/>
      <c r="J439" s="58"/>
      <c r="K439" s="58"/>
    </row>
    <row r="440" spans="1:11" s="71" customFormat="1">
      <c r="A440" s="87"/>
      <c r="B440" s="30"/>
      <c r="C440" s="70"/>
      <c r="G440" s="30"/>
      <c r="H440" s="77"/>
      <c r="I440" s="77"/>
      <c r="J440" s="58"/>
      <c r="K440" s="58"/>
    </row>
    <row r="441" spans="1:11" s="71" customFormat="1">
      <c r="A441" s="87"/>
      <c r="B441" s="30"/>
      <c r="C441" s="70"/>
      <c r="G441" s="30"/>
      <c r="H441" s="77"/>
      <c r="I441" s="77"/>
      <c r="J441" s="58"/>
      <c r="K441" s="58"/>
    </row>
    <row r="442" spans="1:11" s="71" customFormat="1">
      <c r="A442" s="87"/>
      <c r="B442" s="30"/>
      <c r="C442" s="70"/>
      <c r="G442" s="30"/>
      <c r="H442" s="77"/>
      <c r="I442" s="77"/>
      <c r="J442" s="58"/>
      <c r="K442" s="58"/>
    </row>
    <row r="443" spans="1:11" s="71" customFormat="1">
      <c r="A443" s="87"/>
      <c r="B443" s="30"/>
      <c r="C443" s="70"/>
      <c r="G443" s="30"/>
      <c r="H443" s="77"/>
      <c r="I443" s="77"/>
      <c r="J443" s="58"/>
      <c r="K443" s="58"/>
    </row>
    <row r="444" spans="1:11" s="71" customFormat="1">
      <c r="A444" s="87"/>
      <c r="B444" s="30"/>
      <c r="C444" s="70"/>
      <c r="G444" s="30"/>
      <c r="H444" s="77"/>
      <c r="I444" s="77"/>
      <c r="J444" s="58"/>
      <c r="K444" s="58"/>
    </row>
    <row r="445" spans="1:11" s="71" customFormat="1">
      <c r="A445" s="87"/>
      <c r="B445" s="30"/>
      <c r="C445" s="70"/>
      <c r="G445" s="30"/>
      <c r="H445" s="77"/>
      <c r="I445" s="77"/>
      <c r="J445" s="58"/>
      <c r="K445" s="58"/>
    </row>
    <row r="446" spans="1:11" s="71" customFormat="1">
      <c r="A446" s="87"/>
      <c r="B446" s="30"/>
      <c r="C446" s="70"/>
      <c r="G446" s="30"/>
      <c r="H446" s="77"/>
      <c r="I446" s="77"/>
      <c r="J446" s="58"/>
      <c r="K446" s="58"/>
    </row>
    <row r="447" spans="1:11" s="71" customFormat="1">
      <c r="A447" s="87"/>
      <c r="B447" s="30"/>
      <c r="C447" s="70"/>
      <c r="G447" s="30"/>
      <c r="H447" s="77"/>
      <c r="I447" s="77"/>
      <c r="J447" s="58"/>
      <c r="K447" s="58"/>
    </row>
    <row r="448" spans="1:11" s="71" customFormat="1">
      <c r="A448" s="87"/>
      <c r="B448" s="30"/>
      <c r="C448" s="70"/>
      <c r="G448" s="30"/>
      <c r="H448" s="77"/>
      <c r="I448" s="77"/>
      <c r="J448" s="58"/>
      <c r="K448" s="58"/>
    </row>
    <row r="449" spans="1:11" s="71" customFormat="1">
      <c r="A449" s="87"/>
      <c r="B449" s="30"/>
      <c r="C449" s="70"/>
      <c r="G449" s="30"/>
      <c r="H449" s="77"/>
      <c r="I449" s="77"/>
      <c r="J449" s="58"/>
      <c r="K449" s="58"/>
    </row>
    <row r="450" spans="1:11" s="71" customFormat="1">
      <c r="A450" s="87"/>
      <c r="B450" s="30"/>
      <c r="C450" s="70"/>
      <c r="G450" s="30"/>
      <c r="H450" s="77"/>
      <c r="I450" s="77"/>
      <c r="J450" s="58"/>
      <c r="K450" s="58"/>
    </row>
    <row r="451" spans="1:11" s="71" customFormat="1">
      <c r="A451" s="87"/>
      <c r="B451" s="30"/>
      <c r="C451" s="70"/>
      <c r="G451" s="30"/>
      <c r="H451" s="77"/>
      <c r="I451" s="77"/>
      <c r="J451" s="58"/>
      <c r="K451" s="58"/>
    </row>
    <row r="452" spans="1:11" s="71" customFormat="1">
      <c r="A452" s="87"/>
      <c r="B452" s="30"/>
      <c r="C452" s="70"/>
      <c r="G452" s="30"/>
      <c r="H452" s="77"/>
      <c r="I452" s="77"/>
      <c r="J452" s="58"/>
      <c r="K452" s="58"/>
    </row>
    <row r="453" spans="1:11" s="71" customFormat="1">
      <c r="A453" s="87"/>
      <c r="B453" s="30"/>
      <c r="C453" s="70"/>
      <c r="G453" s="30"/>
      <c r="H453" s="77"/>
      <c r="I453" s="77"/>
      <c r="J453" s="58"/>
      <c r="K453" s="58"/>
    </row>
    <row r="454" spans="1:11" s="71" customFormat="1">
      <c r="A454" s="87"/>
      <c r="B454" s="30"/>
      <c r="C454" s="70"/>
      <c r="G454" s="30"/>
      <c r="H454" s="77"/>
      <c r="I454" s="77"/>
      <c r="J454" s="58"/>
      <c r="K454" s="58"/>
    </row>
    <row r="455" spans="1:11" s="71" customFormat="1">
      <c r="A455" s="87"/>
      <c r="B455" s="30"/>
      <c r="C455" s="70"/>
      <c r="G455" s="30"/>
      <c r="H455" s="77"/>
      <c r="I455" s="77"/>
      <c r="J455" s="58"/>
      <c r="K455" s="58"/>
    </row>
    <row r="456" spans="1:11" s="71" customFormat="1">
      <c r="A456" s="87"/>
      <c r="B456" s="30"/>
      <c r="C456" s="70"/>
      <c r="G456" s="30"/>
      <c r="H456" s="77"/>
      <c r="I456" s="77"/>
      <c r="J456" s="58"/>
      <c r="K456" s="58"/>
    </row>
    <row r="457" spans="1:11" s="71" customFormat="1">
      <c r="A457" s="87"/>
      <c r="B457" s="30"/>
      <c r="C457" s="70"/>
      <c r="G457" s="30"/>
      <c r="H457" s="77"/>
      <c r="I457" s="77"/>
      <c r="J457" s="58"/>
      <c r="K457" s="58"/>
    </row>
    <row r="458" spans="1:11" s="71" customFormat="1">
      <c r="A458" s="87"/>
      <c r="B458" s="30"/>
      <c r="C458" s="70"/>
      <c r="G458" s="30"/>
      <c r="H458" s="77"/>
      <c r="I458" s="77"/>
      <c r="J458" s="58"/>
      <c r="K458" s="58"/>
    </row>
    <row r="459" spans="1:11" s="71" customFormat="1">
      <c r="A459" s="87"/>
      <c r="B459" s="30"/>
      <c r="C459" s="70"/>
      <c r="G459" s="30"/>
      <c r="H459" s="77"/>
      <c r="I459" s="77"/>
      <c r="J459" s="58"/>
      <c r="K459" s="58"/>
    </row>
    <row r="460" spans="1:11" s="71" customFormat="1">
      <c r="A460" s="87"/>
      <c r="B460" s="30"/>
      <c r="C460" s="70"/>
      <c r="G460" s="30"/>
      <c r="H460" s="77"/>
      <c r="I460" s="77"/>
      <c r="J460" s="58"/>
      <c r="K460" s="58"/>
    </row>
    <row r="461" spans="1:11" s="71" customFormat="1">
      <c r="A461" s="87"/>
      <c r="B461" s="30"/>
      <c r="C461" s="70"/>
      <c r="G461" s="30"/>
      <c r="H461" s="77"/>
      <c r="I461" s="77"/>
      <c r="J461" s="58"/>
      <c r="K461" s="58"/>
    </row>
    <row r="462" spans="1:11" s="71" customFormat="1">
      <c r="A462" s="87"/>
      <c r="B462" s="30"/>
      <c r="C462" s="70"/>
      <c r="G462" s="30"/>
      <c r="H462" s="77"/>
      <c r="I462" s="77"/>
      <c r="J462" s="58"/>
      <c r="K462" s="58"/>
    </row>
    <row r="463" spans="1:11" s="71" customFormat="1">
      <c r="A463" s="87"/>
      <c r="B463" s="30"/>
      <c r="C463" s="70"/>
      <c r="G463" s="30"/>
      <c r="H463" s="77"/>
      <c r="I463" s="77"/>
      <c r="J463" s="58"/>
      <c r="K463" s="58"/>
    </row>
    <row r="464" spans="1:11" s="71" customFormat="1">
      <c r="A464" s="87"/>
      <c r="B464" s="30"/>
      <c r="C464" s="70"/>
      <c r="G464" s="30"/>
      <c r="H464" s="77"/>
      <c r="I464" s="77"/>
      <c r="J464" s="58"/>
      <c r="K464" s="58"/>
    </row>
    <row r="465" spans="1:11" s="71" customFormat="1">
      <c r="A465" s="87"/>
      <c r="B465" s="30"/>
      <c r="C465" s="70"/>
      <c r="G465" s="30"/>
      <c r="H465" s="77"/>
      <c r="I465" s="77"/>
      <c r="J465" s="58"/>
      <c r="K465" s="58"/>
    </row>
    <row r="466" spans="1:11" s="71" customFormat="1">
      <c r="A466" s="87"/>
      <c r="B466" s="30"/>
      <c r="C466" s="70"/>
      <c r="G466" s="30"/>
      <c r="H466" s="77"/>
      <c r="I466" s="77"/>
      <c r="J466" s="58"/>
      <c r="K466" s="58"/>
    </row>
    <row r="467" spans="1:11" s="71" customFormat="1">
      <c r="A467" s="87"/>
      <c r="B467" s="30"/>
      <c r="C467" s="70"/>
      <c r="G467" s="30"/>
      <c r="H467" s="77"/>
      <c r="I467" s="77"/>
      <c r="J467" s="58"/>
      <c r="K467" s="58"/>
    </row>
    <row r="468" spans="1:11" s="71" customFormat="1">
      <c r="A468" s="87"/>
      <c r="B468" s="30"/>
      <c r="C468" s="70"/>
      <c r="G468" s="30"/>
      <c r="H468" s="77"/>
      <c r="I468" s="77"/>
      <c r="J468" s="58"/>
      <c r="K468" s="58"/>
    </row>
    <row r="469" spans="1:11" s="71" customFormat="1">
      <c r="A469" s="87"/>
      <c r="B469" s="30"/>
      <c r="C469" s="70"/>
      <c r="G469" s="30"/>
      <c r="H469" s="77"/>
      <c r="I469" s="77"/>
      <c r="J469" s="58"/>
      <c r="K469" s="58"/>
    </row>
    <row r="470" spans="1:11" s="71" customFormat="1">
      <c r="A470" s="87"/>
      <c r="B470" s="30"/>
      <c r="C470" s="70"/>
      <c r="G470" s="30"/>
      <c r="H470" s="77"/>
      <c r="I470" s="77"/>
      <c r="J470" s="58"/>
      <c r="K470" s="58"/>
    </row>
    <row r="471" spans="1:11" s="71" customFormat="1">
      <c r="A471" s="87"/>
      <c r="B471" s="30"/>
      <c r="C471" s="70"/>
      <c r="G471" s="30"/>
      <c r="H471" s="77"/>
      <c r="I471" s="77"/>
      <c r="J471" s="58"/>
      <c r="K471" s="58"/>
    </row>
    <row r="472" spans="1:11" s="71" customFormat="1">
      <c r="A472" s="87"/>
      <c r="B472" s="30"/>
      <c r="C472" s="70"/>
      <c r="G472" s="30"/>
      <c r="H472" s="77"/>
      <c r="I472" s="77"/>
      <c r="J472" s="58"/>
      <c r="K472" s="58"/>
    </row>
    <row r="473" spans="1:11" s="71" customFormat="1">
      <c r="A473" s="87"/>
      <c r="B473" s="30"/>
      <c r="C473" s="70"/>
      <c r="G473" s="30"/>
      <c r="H473" s="77"/>
      <c r="I473" s="77"/>
      <c r="J473" s="58"/>
      <c r="K473" s="58"/>
    </row>
    <row r="474" spans="1:11" s="71" customFormat="1">
      <c r="A474" s="87"/>
      <c r="B474" s="30"/>
      <c r="C474" s="70"/>
      <c r="G474" s="30"/>
      <c r="H474" s="77"/>
      <c r="I474" s="77"/>
      <c r="J474" s="58"/>
      <c r="K474" s="58"/>
    </row>
    <row r="475" spans="1:11" s="71" customFormat="1">
      <c r="A475" s="87"/>
      <c r="B475" s="30"/>
      <c r="C475" s="70"/>
      <c r="G475" s="30"/>
      <c r="H475" s="77"/>
      <c r="I475" s="77"/>
      <c r="J475" s="58"/>
      <c r="K475" s="58"/>
    </row>
    <row r="476" spans="1:11" s="71" customFormat="1">
      <c r="A476" s="87"/>
      <c r="B476" s="30"/>
      <c r="C476" s="70"/>
      <c r="G476" s="30"/>
      <c r="H476" s="77"/>
      <c r="I476" s="77"/>
      <c r="J476" s="58"/>
      <c r="K476" s="58"/>
    </row>
    <row r="477" spans="1:11" s="71" customFormat="1">
      <c r="A477" s="87"/>
      <c r="B477" s="30"/>
      <c r="C477" s="70"/>
      <c r="G477" s="30"/>
      <c r="H477" s="77"/>
      <c r="I477" s="77"/>
      <c r="J477" s="58"/>
      <c r="K477" s="58"/>
    </row>
    <row r="478" spans="1:11" s="71" customFormat="1">
      <c r="A478" s="87"/>
      <c r="B478" s="30"/>
      <c r="C478" s="70"/>
      <c r="G478" s="30"/>
      <c r="H478" s="77"/>
      <c r="I478" s="77"/>
      <c r="J478" s="58"/>
      <c r="K478" s="58"/>
    </row>
    <row r="479" spans="1:11" s="71" customFormat="1">
      <c r="A479" s="87"/>
      <c r="B479" s="30"/>
      <c r="C479" s="70"/>
      <c r="G479" s="30"/>
      <c r="H479" s="77"/>
      <c r="I479" s="77"/>
      <c r="J479" s="58"/>
      <c r="K479" s="58"/>
    </row>
    <row r="480" spans="1:11" s="71" customFormat="1">
      <c r="A480" s="87"/>
      <c r="B480" s="30"/>
      <c r="C480" s="70"/>
      <c r="G480" s="30"/>
      <c r="H480" s="77"/>
      <c r="I480" s="77"/>
      <c r="J480" s="58"/>
      <c r="K480" s="58"/>
    </row>
    <row r="481" spans="1:11" s="71" customFormat="1">
      <c r="A481" s="87"/>
      <c r="B481" s="30"/>
      <c r="C481" s="70"/>
      <c r="G481" s="30"/>
      <c r="H481" s="77"/>
      <c r="I481" s="77"/>
      <c r="J481" s="58"/>
      <c r="K481" s="58"/>
    </row>
    <row r="482" spans="1:11" s="71" customFormat="1">
      <c r="A482" s="87"/>
      <c r="B482" s="30"/>
      <c r="C482" s="70"/>
      <c r="G482" s="30"/>
      <c r="H482" s="77"/>
      <c r="I482" s="77"/>
      <c r="J482" s="58"/>
      <c r="K482" s="58"/>
    </row>
    <row r="483" spans="1:11" s="71" customFormat="1">
      <c r="A483" s="87"/>
      <c r="B483" s="30"/>
      <c r="C483" s="70"/>
      <c r="G483" s="30"/>
      <c r="H483" s="77"/>
      <c r="I483" s="77"/>
      <c r="J483" s="58"/>
      <c r="K483" s="58"/>
    </row>
    <row r="484" spans="1:11" s="71" customFormat="1">
      <c r="A484" s="87"/>
      <c r="B484" s="30"/>
      <c r="C484" s="70"/>
      <c r="G484" s="30"/>
      <c r="H484" s="77"/>
      <c r="I484" s="77"/>
      <c r="J484" s="58"/>
      <c r="K484" s="58"/>
    </row>
    <row r="485" spans="1:11" s="71" customFormat="1">
      <c r="A485" s="87"/>
      <c r="B485" s="30"/>
      <c r="C485" s="70"/>
      <c r="G485" s="30"/>
      <c r="H485" s="77"/>
      <c r="I485" s="77"/>
      <c r="J485" s="58"/>
      <c r="K485" s="58"/>
    </row>
    <row r="486" spans="1:11" s="71" customFormat="1">
      <c r="A486" s="87"/>
      <c r="B486" s="30"/>
      <c r="C486" s="70"/>
      <c r="G486" s="30"/>
      <c r="H486" s="77"/>
      <c r="I486" s="77"/>
      <c r="J486" s="58"/>
      <c r="K486" s="58"/>
    </row>
    <row r="487" spans="1:11" s="71" customFormat="1">
      <c r="A487" s="87"/>
      <c r="B487" s="30"/>
      <c r="C487" s="70"/>
      <c r="G487" s="30"/>
      <c r="H487" s="77"/>
      <c r="I487" s="77"/>
      <c r="J487" s="58"/>
      <c r="K487" s="58"/>
    </row>
    <row r="488" spans="1:11" s="71" customFormat="1">
      <c r="A488" s="87"/>
      <c r="B488" s="30"/>
      <c r="C488" s="70"/>
      <c r="G488" s="30"/>
      <c r="H488" s="77"/>
      <c r="I488" s="77"/>
      <c r="J488" s="58"/>
      <c r="K488" s="58"/>
    </row>
    <row r="489" spans="1:11" s="71" customFormat="1">
      <c r="A489" s="87"/>
      <c r="B489" s="30"/>
      <c r="C489" s="70"/>
      <c r="G489" s="30"/>
      <c r="H489" s="77"/>
      <c r="I489" s="77"/>
      <c r="J489" s="58"/>
      <c r="K489" s="58"/>
    </row>
    <row r="490" spans="1:11" s="71" customFormat="1">
      <c r="A490" s="87"/>
      <c r="B490" s="30"/>
      <c r="C490" s="70"/>
      <c r="G490" s="30"/>
      <c r="H490" s="77"/>
      <c r="I490" s="77"/>
      <c r="J490" s="58"/>
      <c r="K490" s="58"/>
    </row>
    <row r="491" spans="1:11" s="71" customFormat="1">
      <c r="A491" s="87"/>
      <c r="B491" s="30"/>
      <c r="C491" s="70"/>
      <c r="G491" s="30"/>
      <c r="H491" s="77"/>
      <c r="I491" s="77"/>
      <c r="J491" s="58"/>
      <c r="K491" s="58"/>
    </row>
    <row r="492" spans="1:11" s="71" customFormat="1">
      <c r="A492" s="87"/>
      <c r="B492" s="30"/>
      <c r="C492" s="70"/>
      <c r="G492" s="30"/>
      <c r="H492" s="77"/>
      <c r="I492" s="77"/>
      <c r="J492" s="58"/>
      <c r="K492" s="58"/>
    </row>
    <row r="493" spans="1:11" s="71" customFormat="1">
      <c r="A493" s="87"/>
      <c r="B493" s="30"/>
      <c r="C493" s="70"/>
      <c r="G493" s="30"/>
      <c r="H493" s="77"/>
      <c r="I493" s="77"/>
      <c r="J493" s="58"/>
      <c r="K493" s="58"/>
    </row>
    <row r="494" spans="1:11" s="71" customFormat="1">
      <c r="A494" s="87"/>
      <c r="B494" s="30"/>
      <c r="C494" s="70"/>
      <c r="G494" s="30"/>
      <c r="H494" s="77"/>
      <c r="I494" s="77"/>
      <c r="J494" s="58"/>
      <c r="K494" s="58"/>
    </row>
    <row r="495" spans="1:11" s="71" customFormat="1">
      <c r="A495" s="87"/>
      <c r="B495" s="30"/>
      <c r="C495" s="70"/>
      <c r="G495" s="30"/>
      <c r="H495" s="77"/>
      <c r="I495" s="77"/>
      <c r="J495" s="58"/>
      <c r="K495" s="58"/>
    </row>
    <row r="496" spans="1:11" s="71" customFormat="1">
      <c r="A496" s="87"/>
      <c r="B496" s="30"/>
      <c r="C496" s="70"/>
      <c r="G496" s="30"/>
      <c r="H496" s="77"/>
      <c r="I496" s="77"/>
      <c r="J496" s="58"/>
      <c r="K496" s="58"/>
    </row>
    <row r="497" spans="1:11" s="71" customFormat="1">
      <c r="A497" s="87"/>
      <c r="B497" s="30"/>
      <c r="C497" s="70"/>
      <c r="G497" s="30"/>
      <c r="H497" s="77"/>
      <c r="I497" s="77"/>
      <c r="J497" s="58"/>
      <c r="K497" s="58"/>
    </row>
    <row r="498" spans="1:11" s="71" customFormat="1">
      <c r="A498" s="87"/>
      <c r="B498" s="30"/>
      <c r="C498" s="70"/>
      <c r="G498" s="30"/>
      <c r="H498" s="77"/>
      <c r="I498" s="77"/>
      <c r="J498" s="58"/>
      <c r="K498" s="58"/>
    </row>
    <row r="499" spans="1:11" s="71" customFormat="1">
      <c r="A499" s="87"/>
      <c r="B499" s="30"/>
      <c r="C499" s="70"/>
      <c r="G499" s="30"/>
      <c r="H499" s="77"/>
      <c r="I499" s="77"/>
      <c r="J499" s="58"/>
      <c r="K499" s="58"/>
    </row>
    <row r="500" spans="1:11" s="71" customFormat="1">
      <c r="A500" s="87"/>
      <c r="B500" s="30"/>
      <c r="C500" s="70"/>
      <c r="G500" s="30"/>
      <c r="H500" s="77"/>
      <c r="I500" s="77"/>
      <c r="J500" s="58"/>
      <c r="K500" s="58"/>
    </row>
    <row r="501" spans="1:11" s="71" customFormat="1">
      <c r="A501" s="87"/>
      <c r="B501" s="30"/>
      <c r="C501" s="70"/>
      <c r="G501" s="30"/>
      <c r="H501" s="77"/>
      <c r="I501" s="77"/>
      <c r="J501" s="58"/>
      <c r="K501" s="58"/>
    </row>
    <row r="502" spans="1:11" s="71" customFormat="1">
      <c r="A502" s="87"/>
      <c r="B502" s="30"/>
      <c r="C502" s="70"/>
      <c r="G502" s="30"/>
      <c r="H502" s="77"/>
      <c r="I502" s="77"/>
      <c r="J502" s="58"/>
      <c r="K502" s="58"/>
    </row>
    <row r="503" spans="1:11" s="71" customFormat="1">
      <c r="A503" s="87"/>
      <c r="B503" s="30"/>
      <c r="C503" s="70"/>
      <c r="G503" s="30"/>
      <c r="H503" s="77"/>
      <c r="I503" s="77"/>
      <c r="J503" s="58"/>
      <c r="K503" s="58"/>
    </row>
    <row r="504" spans="1:11" s="71" customFormat="1">
      <c r="A504" s="87"/>
      <c r="B504" s="30"/>
      <c r="C504" s="70"/>
      <c r="G504" s="30"/>
      <c r="H504" s="77"/>
      <c r="I504" s="77"/>
      <c r="J504" s="58"/>
      <c r="K504" s="58"/>
    </row>
    <row r="505" spans="1:11" s="71" customFormat="1">
      <c r="A505" s="87"/>
      <c r="B505" s="30"/>
      <c r="C505" s="70"/>
      <c r="G505" s="30"/>
      <c r="H505" s="77"/>
      <c r="I505" s="77"/>
      <c r="J505" s="58"/>
      <c r="K505" s="58"/>
    </row>
    <row r="506" spans="1:11" s="71" customFormat="1">
      <c r="A506" s="87"/>
      <c r="B506" s="30"/>
      <c r="C506" s="70"/>
      <c r="G506" s="30"/>
      <c r="H506" s="77"/>
      <c r="I506" s="77"/>
      <c r="J506" s="58"/>
      <c r="K506" s="58"/>
    </row>
    <row r="507" spans="1:11" s="71" customFormat="1">
      <c r="A507" s="87"/>
      <c r="B507" s="30"/>
      <c r="C507" s="70"/>
      <c r="G507" s="30"/>
      <c r="H507" s="77"/>
      <c r="I507" s="77"/>
      <c r="J507" s="58"/>
      <c r="K507" s="58"/>
    </row>
    <row r="508" spans="1:11" s="71" customFormat="1">
      <c r="A508" s="87"/>
      <c r="B508" s="30"/>
      <c r="C508" s="70"/>
      <c r="G508" s="30"/>
      <c r="H508" s="77"/>
      <c r="I508" s="77"/>
      <c r="J508" s="58"/>
      <c r="K508" s="58"/>
    </row>
    <row r="509" spans="1:11" s="71" customFormat="1">
      <c r="A509" s="87"/>
      <c r="B509" s="30"/>
      <c r="C509" s="70"/>
      <c r="G509" s="30"/>
      <c r="H509" s="77"/>
      <c r="I509" s="77"/>
      <c r="J509" s="58"/>
      <c r="K509" s="58"/>
    </row>
    <row r="510" spans="1:11" s="71" customFormat="1">
      <c r="A510" s="87"/>
      <c r="B510" s="30"/>
      <c r="C510" s="70"/>
      <c r="G510" s="30"/>
      <c r="H510" s="77"/>
      <c r="I510" s="77"/>
      <c r="J510" s="58"/>
      <c r="K510" s="58"/>
    </row>
    <row r="511" spans="1:11" s="71" customFormat="1">
      <c r="A511" s="87"/>
      <c r="B511" s="30"/>
      <c r="C511" s="70"/>
      <c r="G511" s="30"/>
      <c r="H511" s="77"/>
      <c r="I511" s="77"/>
      <c r="J511" s="58"/>
      <c r="K511" s="58"/>
    </row>
    <row r="512" spans="1:11" s="71" customFormat="1">
      <c r="A512" s="87"/>
      <c r="B512" s="30"/>
      <c r="C512" s="70"/>
      <c r="G512" s="30"/>
      <c r="H512" s="77"/>
      <c r="I512" s="77"/>
      <c r="J512" s="58"/>
      <c r="K512" s="58"/>
    </row>
    <row r="513" spans="1:11" s="71" customFormat="1">
      <c r="A513" s="87"/>
      <c r="B513" s="30"/>
      <c r="C513" s="70"/>
      <c r="G513" s="30"/>
      <c r="H513" s="77"/>
      <c r="I513" s="77"/>
      <c r="J513" s="58"/>
      <c r="K513" s="58"/>
    </row>
    <row r="514" spans="1:11" s="71" customFormat="1">
      <c r="A514" s="87"/>
      <c r="B514" s="30"/>
      <c r="C514" s="70"/>
      <c r="G514" s="30"/>
      <c r="H514" s="77"/>
      <c r="I514" s="77"/>
      <c r="J514" s="58"/>
      <c r="K514" s="58"/>
    </row>
    <row r="515" spans="1:11" s="71" customFormat="1">
      <c r="A515" s="87"/>
      <c r="B515" s="30"/>
      <c r="C515" s="70"/>
      <c r="G515" s="30"/>
      <c r="H515" s="77"/>
      <c r="I515" s="77"/>
      <c r="J515" s="58"/>
      <c r="K515" s="58"/>
    </row>
    <row r="516" spans="1:11" s="71" customFormat="1">
      <c r="A516" s="87"/>
      <c r="B516" s="30"/>
      <c r="C516" s="70"/>
      <c r="G516" s="30"/>
      <c r="H516" s="77"/>
      <c r="I516" s="77"/>
      <c r="J516" s="58"/>
      <c r="K516" s="58"/>
    </row>
    <row r="517" spans="1:11" s="71" customFormat="1">
      <c r="A517" s="87"/>
      <c r="B517" s="30"/>
      <c r="C517" s="70"/>
      <c r="G517" s="30"/>
      <c r="H517" s="77"/>
      <c r="I517" s="77"/>
      <c r="J517" s="58"/>
      <c r="K517" s="58"/>
    </row>
    <row r="518" spans="1:11" s="71" customFormat="1">
      <c r="A518" s="87"/>
      <c r="B518" s="30"/>
      <c r="C518" s="70"/>
      <c r="G518" s="30"/>
      <c r="H518" s="77"/>
      <c r="I518" s="77"/>
      <c r="J518" s="58"/>
      <c r="K518" s="58"/>
    </row>
    <row r="519" spans="1:11" s="71" customFormat="1">
      <c r="A519" s="87"/>
      <c r="B519" s="30"/>
      <c r="C519" s="70"/>
      <c r="G519" s="30"/>
      <c r="H519" s="77"/>
      <c r="I519" s="77"/>
      <c r="J519" s="58"/>
      <c r="K519" s="58"/>
    </row>
    <row r="520" spans="1:11" s="71" customFormat="1">
      <c r="A520" s="87"/>
      <c r="B520" s="30"/>
      <c r="C520" s="70"/>
      <c r="G520" s="30"/>
      <c r="H520" s="77"/>
      <c r="I520" s="77"/>
      <c r="J520" s="58"/>
      <c r="K520" s="58"/>
    </row>
    <row r="521" spans="1:11" s="71" customFormat="1">
      <c r="A521" s="87"/>
      <c r="B521" s="30"/>
      <c r="C521" s="70"/>
      <c r="G521" s="30"/>
      <c r="H521" s="77"/>
      <c r="I521" s="77"/>
      <c r="J521" s="58"/>
      <c r="K521" s="58"/>
    </row>
    <row r="522" spans="1:11" s="71" customFormat="1">
      <c r="A522" s="87"/>
      <c r="B522" s="30"/>
      <c r="C522" s="70"/>
      <c r="G522" s="30"/>
      <c r="H522" s="77"/>
      <c r="I522" s="77"/>
      <c r="J522" s="58"/>
      <c r="K522" s="58"/>
    </row>
    <row r="523" spans="1:11" s="71" customFormat="1">
      <c r="A523" s="87"/>
      <c r="B523" s="30"/>
      <c r="C523" s="70"/>
      <c r="G523" s="30"/>
      <c r="H523" s="77"/>
      <c r="I523" s="77"/>
      <c r="J523" s="58"/>
      <c r="K523" s="58"/>
    </row>
    <row r="524" spans="1:11" s="71" customFormat="1">
      <c r="A524" s="87"/>
      <c r="B524" s="30"/>
      <c r="C524" s="70"/>
      <c r="G524" s="30"/>
      <c r="H524" s="77"/>
      <c r="I524" s="77"/>
      <c r="J524" s="58"/>
      <c r="K524" s="58"/>
    </row>
    <row r="525" spans="1:11" s="71" customFormat="1">
      <c r="A525" s="87"/>
      <c r="B525" s="30"/>
      <c r="C525" s="70"/>
      <c r="G525" s="30"/>
      <c r="H525" s="77"/>
      <c r="I525" s="77"/>
      <c r="J525" s="58"/>
      <c r="K525" s="58"/>
    </row>
    <row r="526" spans="1:11" s="71" customFormat="1">
      <c r="A526" s="87"/>
      <c r="B526" s="30"/>
      <c r="C526" s="70"/>
      <c r="G526" s="30"/>
      <c r="H526" s="77"/>
      <c r="I526" s="77"/>
      <c r="J526" s="58"/>
      <c r="K526" s="58"/>
    </row>
    <row r="527" spans="1:11" s="71" customFormat="1">
      <c r="A527" s="87"/>
      <c r="B527" s="30"/>
      <c r="C527" s="70"/>
      <c r="G527" s="30"/>
      <c r="H527" s="77"/>
      <c r="I527" s="77"/>
      <c r="J527" s="58"/>
      <c r="K527" s="58"/>
    </row>
    <row r="528" spans="1:11" s="71" customFormat="1">
      <c r="A528" s="87"/>
      <c r="B528" s="30"/>
      <c r="C528" s="70"/>
      <c r="G528" s="30"/>
      <c r="H528" s="77"/>
      <c r="I528" s="77"/>
      <c r="J528" s="58"/>
      <c r="K528" s="58"/>
    </row>
    <row r="529" spans="1:11" s="71" customFormat="1">
      <c r="A529" s="87"/>
      <c r="B529" s="30"/>
      <c r="C529" s="70"/>
      <c r="G529" s="30"/>
      <c r="H529" s="77"/>
      <c r="I529" s="77"/>
      <c r="J529" s="58"/>
      <c r="K529" s="58"/>
    </row>
    <row r="530" spans="1:11" s="71" customFormat="1">
      <c r="A530" s="87"/>
      <c r="B530" s="30"/>
      <c r="C530" s="70"/>
      <c r="G530" s="30"/>
      <c r="H530" s="77"/>
      <c r="I530" s="77"/>
      <c r="J530" s="58"/>
      <c r="K530" s="58"/>
    </row>
    <row r="531" spans="1:11" s="71" customFormat="1">
      <c r="A531" s="87"/>
      <c r="B531" s="30"/>
      <c r="C531" s="70"/>
      <c r="G531" s="30"/>
      <c r="H531" s="77"/>
      <c r="I531" s="77"/>
      <c r="J531" s="58"/>
      <c r="K531" s="58"/>
    </row>
    <row r="532" spans="1:11" s="71" customFormat="1">
      <c r="A532" s="87"/>
      <c r="B532" s="30"/>
      <c r="C532" s="70"/>
      <c r="G532" s="30"/>
      <c r="H532" s="77"/>
      <c r="I532" s="77"/>
      <c r="J532" s="58"/>
      <c r="K532" s="58"/>
    </row>
    <row r="533" spans="1:11" s="71" customFormat="1">
      <c r="A533" s="87"/>
      <c r="B533" s="30"/>
      <c r="C533" s="70"/>
      <c r="G533" s="30"/>
      <c r="H533" s="77"/>
      <c r="I533" s="77"/>
      <c r="J533" s="58"/>
      <c r="K533" s="58"/>
    </row>
    <row r="534" spans="1:11" s="71" customFormat="1">
      <c r="A534" s="87"/>
      <c r="B534" s="30"/>
      <c r="C534" s="70"/>
      <c r="G534" s="30"/>
      <c r="H534" s="77"/>
      <c r="I534" s="77"/>
      <c r="J534" s="58"/>
      <c r="K534" s="58"/>
    </row>
    <row r="535" spans="1:11" s="71" customFormat="1">
      <c r="A535" s="87"/>
      <c r="B535" s="30"/>
      <c r="C535" s="70"/>
      <c r="G535" s="30"/>
      <c r="H535" s="77"/>
      <c r="I535" s="77"/>
      <c r="J535" s="58"/>
      <c r="K535" s="58"/>
    </row>
    <row r="536" spans="1:11" s="71" customFormat="1">
      <c r="A536" s="87"/>
      <c r="B536" s="30"/>
      <c r="C536" s="70"/>
      <c r="G536" s="30"/>
      <c r="H536" s="77"/>
      <c r="I536" s="77"/>
      <c r="J536" s="58"/>
      <c r="K536" s="58"/>
    </row>
    <row r="537" spans="1:11" s="71" customFormat="1">
      <c r="A537" s="87"/>
      <c r="B537" s="30"/>
      <c r="C537" s="70"/>
      <c r="G537" s="30"/>
      <c r="H537" s="77"/>
      <c r="I537" s="77"/>
      <c r="J537" s="58"/>
      <c r="K537" s="58"/>
    </row>
    <row r="538" spans="1:11" s="71" customFormat="1">
      <c r="A538" s="87"/>
      <c r="B538" s="30"/>
      <c r="C538" s="70"/>
      <c r="G538" s="30"/>
      <c r="H538" s="77"/>
      <c r="I538" s="77"/>
      <c r="J538" s="58"/>
      <c r="K538" s="58"/>
    </row>
    <row r="539" spans="1:11" s="71" customFormat="1">
      <c r="A539" s="87"/>
      <c r="B539" s="30"/>
      <c r="C539" s="70"/>
      <c r="G539" s="30"/>
      <c r="H539" s="77"/>
      <c r="I539" s="77"/>
      <c r="J539" s="58"/>
      <c r="K539" s="58"/>
    </row>
    <row r="540" spans="1:11" s="71" customFormat="1">
      <c r="A540" s="87"/>
      <c r="B540" s="30"/>
      <c r="C540" s="70"/>
      <c r="G540" s="30"/>
      <c r="H540" s="77"/>
      <c r="I540" s="77"/>
      <c r="J540" s="58"/>
      <c r="K540" s="58"/>
    </row>
    <row r="541" spans="1:11" s="71" customFormat="1">
      <c r="A541" s="87"/>
      <c r="B541" s="30"/>
      <c r="C541" s="70"/>
      <c r="G541" s="30"/>
      <c r="H541" s="77"/>
      <c r="I541" s="77"/>
      <c r="J541" s="58"/>
      <c r="K541" s="58"/>
    </row>
    <row r="542" spans="1:11" s="71" customFormat="1">
      <c r="A542" s="87"/>
      <c r="B542" s="30"/>
      <c r="C542" s="70"/>
      <c r="G542" s="30"/>
      <c r="H542" s="77"/>
      <c r="I542" s="77"/>
      <c r="J542" s="58"/>
      <c r="K542" s="58"/>
    </row>
    <row r="543" spans="1:11" s="71" customFormat="1">
      <c r="A543" s="87"/>
      <c r="B543" s="30"/>
      <c r="C543" s="70"/>
      <c r="G543" s="30"/>
      <c r="H543" s="77"/>
      <c r="I543" s="77"/>
      <c r="J543" s="58"/>
      <c r="K543" s="58"/>
    </row>
    <row r="544" spans="1:11" s="71" customFormat="1">
      <c r="A544" s="87"/>
      <c r="B544" s="30"/>
      <c r="C544" s="70"/>
      <c r="G544" s="30"/>
      <c r="H544" s="77"/>
      <c r="I544" s="77"/>
      <c r="J544" s="58"/>
      <c r="K544" s="58"/>
    </row>
    <row r="545" spans="1:11" s="71" customFormat="1">
      <c r="A545" s="87"/>
      <c r="B545" s="30"/>
      <c r="C545" s="70"/>
      <c r="G545" s="30"/>
      <c r="H545" s="77"/>
      <c r="I545" s="77"/>
      <c r="J545" s="58"/>
      <c r="K545" s="58"/>
    </row>
    <row r="546" spans="1:11" s="71" customFormat="1">
      <c r="A546" s="87"/>
      <c r="B546" s="30"/>
      <c r="C546" s="70"/>
      <c r="G546" s="30"/>
      <c r="H546" s="77"/>
      <c r="I546" s="77"/>
      <c r="J546" s="58"/>
      <c r="K546" s="58"/>
    </row>
    <row r="547" spans="1:11" s="71" customFormat="1">
      <c r="A547" s="87"/>
      <c r="B547" s="30"/>
      <c r="C547" s="70"/>
      <c r="G547" s="30"/>
      <c r="H547" s="77"/>
      <c r="I547" s="77"/>
      <c r="J547" s="58"/>
      <c r="K547" s="58"/>
    </row>
    <row r="548" spans="1:11" s="71" customFormat="1">
      <c r="A548" s="87"/>
      <c r="B548" s="30"/>
      <c r="C548" s="70"/>
      <c r="G548" s="30"/>
      <c r="H548" s="77"/>
      <c r="I548" s="77"/>
      <c r="J548" s="58"/>
      <c r="K548" s="58"/>
    </row>
    <row r="549" spans="1:11" s="71" customFormat="1">
      <c r="A549" s="87"/>
      <c r="B549" s="30"/>
      <c r="C549" s="70"/>
      <c r="G549" s="30"/>
      <c r="H549" s="77"/>
      <c r="I549" s="77"/>
      <c r="J549" s="58"/>
      <c r="K549" s="58"/>
    </row>
    <row r="550" spans="1:11" s="71" customFormat="1">
      <c r="A550" s="87"/>
      <c r="B550" s="30"/>
      <c r="C550" s="70"/>
      <c r="G550" s="30"/>
      <c r="H550" s="77"/>
      <c r="I550" s="77"/>
      <c r="J550" s="58"/>
      <c r="K550" s="58"/>
    </row>
    <row r="551" spans="1:11" s="71" customFormat="1">
      <c r="A551" s="87"/>
      <c r="B551" s="30"/>
      <c r="C551" s="70"/>
      <c r="G551" s="30"/>
      <c r="H551" s="77"/>
      <c r="I551" s="77"/>
      <c r="J551" s="58"/>
      <c r="K551" s="58"/>
    </row>
    <row r="552" spans="1:11" s="71" customFormat="1">
      <c r="A552" s="87"/>
      <c r="B552" s="30"/>
      <c r="C552" s="70"/>
      <c r="G552" s="30"/>
      <c r="H552" s="77"/>
      <c r="I552" s="77"/>
      <c r="J552" s="58"/>
      <c r="K552" s="58"/>
    </row>
    <row r="553" spans="1:11" s="71" customFormat="1">
      <c r="A553" s="87"/>
      <c r="B553" s="30"/>
      <c r="C553" s="70"/>
      <c r="G553" s="30"/>
      <c r="H553" s="77"/>
      <c r="I553" s="77"/>
      <c r="J553" s="58"/>
      <c r="K553" s="58"/>
    </row>
    <row r="554" spans="1:11" s="71" customFormat="1">
      <c r="A554" s="87"/>
      <c r="B554" s="30"/>
      <c r="C554" s="70"/>
      <c r="G554" s="30"/>
      <c r="H554" s="77"/>
      <c r="I554" s="77"/>
      <c r="J554" s="58"/>
      <c r="K554" s="58"/>
    </row>
    <row r="555" spans="1:11" s="71" customFormat="1">
      <c r="A555" s="87"/>
      <c r="B555" s="30"/>
      <c r="C555" s="70"/>
      <c r="G555" s="30"/>
      <c r="H555" s="77"/>
      <c r="I555" s="77"/>
      <c r="J555" s="58"/>
      <c r="K555" s="58"/>
    </row>
    <row r="556" spans="1:11" s="71" customFormat="1">
      <c r="A556" s="87"/>
      <c r="B556" s="30"/>
      <c r="C556" s="70"/>
      <c r="G556" s="30"/>
      <c r="H556" s="77"/>
      <c r="I556" s="77"/>
      <c r="J556" s="58"/>
      <c r="K556" s="58"/>
    </row>
    <row r="557" spans="1:11" s="71" customFormat="1">
      <c r="A557" s="87"/>
      <c r="B557" s="30"/>
      <c r="C557" s="70"/>
      <c r="G557" s="30"/>
      <c r="H557" s="77"/>
      <c r="I557" s="77"/>
      <c r="J557" s="58"/>
      <c r="K557" s="58"/>
    </row>
    <row r="558" spans="1:11" s="71" customFormat="1">
      <c r="A558" s="87"/>
      <c r="B558" s="30"/>
      <c r="C558" s="70"/>
      <c r="G558" s="30"/>
      <c r="H558" s="77"/>
      <c r="I558" s="77"/>
      <c r="J558" s="58"/>
      <c r="K558" s="58"/>
    </row>
    <row r="559" spans="1:11" s="71" customFormat="1">
      <c r="A559" s="87"/>
      <c r="B559" s="30"/>
      <c r="C559" s="70"/>
      <c r="G559" s="30"/>
      <c r="H559" s="77"/>
      <c r="I559" s="77"/>
      <c r="J559" s="58"/>
      <c r="K559" s="58"/>
    </row>
    <row r="560" spans="1:11" s="71" customFormat="1">
      <c r="A560" s="87"/>
      <c r="B560" s="30"/>
      <c r="C560" s="70"/>
      <c r="G560" s="30"/>
      <c r="H560" s="77"/>
      <c r="I560" s="77"/>
      <c r="J560" s="58"/>
      <c r="K560" s="58"/>
    </row>
    <row r="561" spans="1:11" s="71" customFormat="1">
      <c r="A561" s="87"/>
      <c r="B561" s="30"/>
      <c r="C561" s="70"/>
      <c r="G561" s="30"/>
      <c r="H561" s="77"/>
      <c r="I561" s="77"/>
      <c r="J561" s="58"/>
      <c r="K561" s="58"/>
    </row>
    <row r="562" spans="1:11" s="71" customFormat="1">
      <c r="A562" s="87"/>
      <c r="B562" s="30"/>
      <c r="C562" s="70"/>
      <c r="G562" s="30"/>
      <c r="H562" s="77"/>
      <c r="I562" s="77"/>
      <c r="J562" s="58"/>
      <c r="K562" s="58"/>
    </row>
    <row r="563" spans="1:11" s="71" customFormat="1">
      <c r="A563" s="87"/>
      <c r="B563" s="30"/>
      <c r="C563" s="70"/>
      <c r="G563" s="30"/>
      <c r="H563" s="77"/>
      <c r="I563" s="77"/>
      <c r="J563" s="58"/>
      <c r="K563" s="58"/>
    </row>
    <row r="564" spans="1:11" s="71" customFormat="1">
      <c r="A564" s="87"/>
      <c r="B564" s="30"/>
      <c r="C564" s="70"/>
      <c r="G564" s="30"/>
      <c r="H564" s="77"/>
      <c r="I564" s="77"/>
      <c r="J564" s="58"/>
      <c r="K564" s="58"/>
    </row>
    <row r="565" spans="1:11" s="71" customFormat="1">
      <c r="A565" s="87"/>
      <c r="B565" s="30"/>
      <c r="C565" s="70"/>
      <c r="G565" s="30"/>
      <c r="H565" s="77"/>
      <c r="I565" s="77"/>
      <c r="J565" s="58"/>
      <c r="K565" s="58"/>
    </row>
    <row r="566" spans="1:11" s="71" customFormat="1">
      <c r="A566" s="87"/>
      <c r="B566" s="30"/>
      <c r="C566" s="70"/>
      <c r="G566" s="30"/>
      <c r="H566" s="77"/>
      <c r="I566" s="77"/>
      <c r="J566" s="58"/>
      <c r="K566" s="58"/>
    </row>
    <row r="567" spans="1:11" s="71" customFormat="1">
      <c r="A567" s="87"/>
      <c r="B567" s="30"/>
      <c r="C567" s="70"/>
      <c r="G567" s="30"/>
      <c r="H567" s="77"/>
      <c r="I567" s="77"/>
      <c r="J567" s="58"/>
      <c r="K567" s="58"/>
    </row>
    <row r="568" spans="1:11" s="71" customFormat="1">
      <c r="A568" s="87"/>
      <c r="B568" s="30"/>
      <c r="C568" s="70"/>
      <c r="G568" s="30"/>
      <c r="H568" s="77"/>
      <c r="I568" s="77"/>
      <c r="J568" s="58"/>
      <c r="K568" s="58"/>
    </row>
    <row r="569" spans="1:11" s="71" customFormat="1">
      <c r="A569" s="87"/>
      <c r="B569" s="30"/>
      <c r="C569" s="70"/>
      <c r="G569" s="30"/>
      <c r="H569" s="77"/>
      <c r="I569" s="77"/>
      <c r="J569" s="58"/>
      <c r="K569" s="58"/>
    </row>
    <row r="570" spans="1:11" s="71" customFormat="1">
      <c r="A570" s="87"/>
      <c r="B570" s="30"/>
      <c r="C570" s="70"/>
      <c r="G570" s="30"/>
      <c r="H570" s="77"/>
      <c r="I570" s="77"/>
      <c r="J570" s="58"/>
      <c r="K570" s="58"/>
    </row>
    <row r="571" spans="1:11" s="71" customFormat="1">
      <c r="A571" s="87"/>
      <c r="B571" s="30"/>
      <c r="C571" s="70"/>
      <c r="G571" s="30"/>
      <c r="H571" s="77"/>
      <c r="I571" s="77"/>
      <c r="J571" s="58"/>
      <c r="K571" s="58"/>
    </row>
    <row r="572" spans="1:11" s="71" customFormat="1">
      <c r="A572" s="87"/>
      <c r="B572" s="30"/>
      <c r="C572" s="70"/>
      <c r="G572" s="30"/>
      <c r="H572" s="77"/>
      <c r="I572" s="77"/>
      <c r="J572" s="58"/>
      <c r="K572" s="58"/>
    </row>
    <row r="573" spans="1:11" s="71" customFormat="1">
      <c r="A573" s="87"/>
      <c r="B573" s="30"/>
      <c r="C573" s="70"/>
      <c r="G573" s="30"/>
      <c r="H573" s="77"/>
      <c r="I573" s="77"/>
      <c r="J573" s="58"/>
      <c r="K573" s="58"/>
    </row>
    <row r="574" spans="1:11" s="71" customFormat="1">
      <c r="A574" s="87"/>
      <c r="B574" s="30"/>
      <c r="C574" s="70"/>
      <c r="G574" s="30"/>
      <c r="H574" s="77"/>
      <c r="I574" s="77"/>
      <c r="J574" s="58"/>
      <c r="K574" s="58"/>
    </row>
    <row r="575" spans="1:11" s="71" customFormat="1">
      <c r="A575" s="87"/>
      <c r="B575" s="30"/>
      <c r="C575" s="70"/>
      <c r="G575" s="30"/>
      <c r="H575" s="77"/>
      <c r="I575" s="77"/>
      <c r="J575" s="58"/>
      <c r="K575" s="58"/>
    </row>
    <row r="576" spans="1:11" s="71" customFormat="1">
      <c r="A576" s="87"/>
      <c r="B576" s="30"/>
      <c r="C576" s="70"/>
      <c r="G576" s="30"/>
      <c r="H576" s="77"/>
      <c r="I576" s="77"/>
      <c r="J576" s="58"/>
      <c r="K576" s="58"/>
    </row>
    <row r="577" spans="1:11" s="71" customFormat="1">
      <c r="A577" s="87"/>
      <c r="B577" s="30"/>
      <c r="C577" s="70"/>
      <c r="G577" s="30"/>
      <c r="H577" s="77"/>
      <c r="I577" s="77"/>
      <c r="J577" s="58"/>
      <c r="K577" s="58"/>
    </row>
    <row r="578" spans="1:11" s="71" customFormat="1">
      <c r="A578" s="87"/>
      <c r="B578" s="30"/>
      <c r="C578" s="70"/>
      <c r="G578" s="30"/>
      <c r="H578" s="77"/>
      <c r="I578" s="77"/>
      <c r="J578" s="58"/>
      <c r="K578" s="58"/>
    </row>
    <row r="579" spans="1:11" s="71" customFormat="1">
      <c r="A579" s="87"/>
      <c r="B579" s="30"/>
      <c r="C579" s="70"/>
      <c r="G579" s="30"/>
      <c r="H579" s="77"/>
      <c r="I579" s="77"/>
      <c r="J579" s="58"/>
      <c r="K579" s="58"/>
    </row>
    <row r="580" spans="1:11" s="71" customFormat="1">
      <c r="A580" s="87"/>
      <c r="B580" s="30"/>
      <c r="C580" s="70"/>
      <c r="G580" s="30"/>
      <c r="H580" s="77"/>
      <c r="I580" s="77"/>
      <c r="J580" s="58"/>
      <c r="K580" s="58"/>
    </row>
    <row r="581" spans="1:11" s="71" customFormat="1">
      <c r="A581" s="87"/>
      <c r="B581" s="30"/>
      <c r="C581" s="70"/>
      <c r="G581" s="30"/>
      <c r="H581" s="77"/>
      <c r="I581" s="77"/>
      <c r="J581" s="58"/>
      <c r="K581" s="58"/>
    </row>
    <row r="582" spans="1:11" s="71" customFormat="1">
      <c r="A582" s="87"/>
      <c r="B582" s="30"/>
      <c r="C582" s="70"/>
      <c r="G582" s="30"/>
      <c r="H582" s="77"/>
      <c r="I582" s="77"/>
      <c r="J582" s="58"/>
      <c r="K582" s="58"/>
    </row>
    <row r="583" spans="1:11" s="71" customFormat="1">
      <c r="A583" s="87"/>
      <c r="B583" s="30"/>
      <c r="C583" s="70"/>
      <c r="G583" s="30"/>
      <c r="H583" s="77"/>
      <c r="I583" s="77"/>
      <c r="J583" s="58"/>
      <c r="K583" s="58"/>
    </row>
    <row r="584" spans="1:11" s="71" customFormat="1">
      <c r="A584" s="87"/>
      <c r="B584" s="30"/>
      <c r="C584" s="70"/>
      <c r="G584" s="30"/>
      <c r="H584" s="77"/>
      <c r="I584" s="77"/>
      <c r="J584" s="58"/>
      <c r="K584" s="58"/>
    </row>
    <row r="585" spans="1:11" s="71" customFormat="1">
      <c r="A585" s="87"/>
      <c r="B585" s="30"/>
      <c r="C585" s="70"/>
      <c r="G585" s="30"/>
      <c r="H585" s="77"/>
      <c r="I585" s="77"/>
      <c r="J585" s="58"/>
      <c r="K585" s="58"/>
    </row>
    <row r="586" spans="1:11" s="71" customFormat="1">
      <c r="A586" s="87"/>
      <c r="B586" s="30"/>
      <c r="C586" s="70"/>
      <c r="G586" s="30"/>
      <c r="H586" s="77"/>
      <c r="I586" s="77"/>
      <c r="J586" s="58"/>
      <c r="K586" s="58"/>
    </row>
    <row r="587" spans="1:11" s="71" customFormat="1">
      <c r="A587" s="87"/>
      <c r="B587" s="30"/>
      <c r="C587" s="70"/>
      <c r="G587" s="30"/>
      <c r="H587" s="77"/>
      <c r="I587" s="77"/>
      <c r="J587" s="58"/>
      <c r="K587" s="58"/>
    </row>
    <row r="588" spans="1:11" s="71" customFormat="1">
      <c r="A588" s="87"/>
      <c r="B588" s="30"/>
      <c r="C588" s="70"/>
      <c r="G588" s="30"/>
      <c r="H588" s="77"/>
      <c r="I588" s="77"/>
      <c r="J588" s="58"/>
      <c r="K588" s="58"/>
    </row>
    <row r="589" spans="1:11" s="71" customFormat="1">
      <c r="A589" s="87"/>
      <c r="B589" s="30"/>
      <c r="C589" s="70"/>
      <c r="G589" s="30"/>
      <c r="H589" s="77"/>
      <c r="I589" s="77"/>
      <c r="J589" s="58"/>
      <c r="K589" s="58"/>
    </row>
    <row r="590" spans="1:11" s="71" customFormat="1">
      <c r="A590" s="87"/>
      <c r="B590" s="30"/>
      <c r="C590" s="70"/>
      <c r="G590" s="30"/>
      <c r="H590" s="77"/>
      <c r="I590" s="77"/>
      <c r="J590" s="58"/>
      <c r="K590" s="58"/>
    </row>
    <row r="591" spans="1:11" s="71" customFormat="1">
      <c r="A591" s="87"/>
      <c r="B591" s="30"/>
      <c r="C591" s="70"/>
      <c r="G591" s="30"/>
      <c r="H591" s="77"/>
      <c r="I591" s="77"/>
      <c r="J591" s="58"/>
      <c r="K591" s="58"/>
    </row>
    <row r="592" spans="1:11" s="71" customFormat="1">
      <c r="A592" s="87"/>
      <c r="B592" s="30"/>
      <c r="C592" s="70"/>
      <c r="G592" s="30"/>
      <c r="H592" s="77"/>
      <c r="I592" s="77"/>
      <c r="J592" s="58"/>
      <c r="K592" s="58"/>
    </row>
    <row r="593" spans="1:11" s="71" customFormat="1">
      <c r="A593" s="87"/>
      <c r="B593" s="30"/>
      <c r="C593" s="70"/>
      <c r="G593" s="30"/>
      <c r="H593" s="77"/>
      <c r="I593" s="77"/>
      <c r="J593" s="58"/>
      <c r="K593" s="58"/>
    </row>
    <row r="594" spans="1:11" s="71" customFormat="1">
      <c r="A594" s="87"/>
      <c r="B594" s="30"/>
      <c r="C594" s="70"/>
      <c r="G594" s="30"/>
      <c r="H594" s="77"/>
      <c r="I594" s="77"/>
      <c r="J594" s="58"/>
      <c r="K594" s="58"/>
    </row>
    <row r="595" spans="1:11" s="71" customFormat="1">
      <c r="A595" s="87"/>
      <c r="B595" s="30"/>
      <c r="C595" s="70"/>
      <c r="G595" s="30"/>
      <c r="H595" s="77"/>
      <c r="I595" s="77"/>
      <c r="J595" s="58"/>
      <c r="K595" s="58"/>
    </row>
    <row r="596" spans="1:11" s="71" customFormat="1">
      <c r="A596" s="87"/>
      <c r="B596" s="30"/>
      <c r="C596" s="70"/>
      <c r="G596" s="30"/>
      <c r="H596" s="77"/>
      <c r="I596" s="77"/>
      <c r="J596" s="58"/>
      <c r="K596" s="58"/>
    </row>
    <row r="597" spans="1:11" s="71" customFormat="1">
      <c r="A597" s="87"/>
      <c r="B597" s="30"/>
      <c r="C597" s="70"/>
      <c r="G597" s="30"/>
      <c r="H597" s="77"/>
      <c r="I597" s="77"/>
      <c r="J597" s="58"/>
      <c r="K597" s="58"/>
    </row>
    <row r="598" spans="1:11" s="71" customFormat="1">
      <c r="A598" s="87"/>
      <c r="B598" s="30"/>
      <c r="C598" s="70"/>
      <c r="G598" s="30"/>
      <c r="H598" s="77"/>
      <c r="I598" s="77"/>
      <c r="J598" s="58"/>
      <c r="K598" s="58"/>
    </row>
    <row r="599" spans="1:11" s="71" customFormat="1">
      <c r="A599" s="87"/>
      <c r="B599" s="30"/>
      <c r="C599" s="70"/>
      <c r="G599" s="30"/>
      <c r="H599" s="77"/>
      <c r="I599" s="77"/>
      <c r="J599" s="58"/>
      <c r="K599" s="58"/>
    </row>
    <row r="600" spans="1:11" s="71" customFormat="1">
      <c r="A600" s="87"/>
      <c r="B600" s="30"/>
      <c r="C600" s="70"/>
      <c r="G600" s="30"/>
      <c r="H600" s="77"/>
      <c r="I600" s="77"/>
      <c r="J600" s="58"/>
      <c r="K600" s="58"/>
    </row>
    <row r="601" spans="1:11" s="71" customFormat="1">
      <c r="A601" s="87"/>
      <c r="B601" s="30"/>
      <c r="C601" s="70"/>
      <c r="G601" s="30"/>
      <c r="H601" s="77"/>
      <c r="I601" s="77"/>
      <c r="J601" s="58"/>
      <c r="K601" s="58"/>
    </row>
    <row r="602" spans="1:11" s="71" customFormat="1">
      <c r="A602" s="87"/>
      <c r="B602" s="30"/>
      <c r="C602" s="70"/>
      <c r="G602" s="30"/>
      <c r="H602" s="77"/>
      <c r="I602" s="77"/>
      <c r="J602" s="58"/>
      <c r="K602" s="58"/>
    </row>
    <row r="603" spans="1:11" s="71" customFormat="1">
      <c r="A603" s="87"/>
      <c r="B603" s="30"/>
      <c r="C603" s="70"/>
      <c r="G603" s="30"/>
      <c r="H603" s="77"/>
      <c r="I603" s="77"/>
      <c r="J603" s="58"/>
      <c r="K603" s="58"/>
    </row>
    <row r="604" spans="1:11" s="71" customFormat="1">
      <c r="A604" s="87"/>
      <c r="B604" s="30"/>
      <c r="C604" s="70"/>
      <c r="G604" s="30"/>
      <c r="H604" s="77"/>
      <c r="I604" s="77"/>
      <c r="J604" s="58"/>
      <c r="K604" s="58"/>
    </row>
    <row r="605" spans="1:11" s="71" customFormat="1">
      <c r="A605" s="87"/>
      <c r="B605" s="30"/>
      <c r="C605" s="70"/>
      <c r="G605" s="30"/>
      <c r="H605" s="77"/>
      <c r="I605" s="77"/>
      <c r="J605" s="58"/>
      <c r="K605" s="58"/>
    </row>
    <row r="606" spans="1:11" s="71" customFormat="1">
      <c r="A606" s="87"/>
      <c r="B606" s="30"/>
      <c r="C606" s="70"/>
      <c r="G606" s="30"/>
      <c r="H606" s="77"/>
      <c r="I606" s="77"/>
      <c r="J606" s="58"/>
      <c r="K606" s="58"/>
    </row>
    <row r="607" spans="1:11" s="71" customFormat="1">
      <c r="A607" s="87"/>
      <c r="B607" s="30"/>
      <c r="C607" s="70"/>
      <c r="G607" s="30"/>
      <c r="H607" s="77"/>
      <c r="I607" s="77"/>
      <c r="J607" s="58"/>
      <c r="K607" s="58"/>
    </row>
    <row r="608" spans="1:11" s="71" customFormat="1">
      <c r="A608" s="87"/>
      <c r="B608" s="30"/>
      <c r="C608" s="70"/>
      <c r="G608" s="30"/>
      <c r="H608" s="77"/>
      <c r="I608" s="77"/>
      <c r="J608" s="58"/>
      <c r="K608" s="58"/>
    </row>
    <row r="609" spans="1:11" s="71" customFormat="1">
      <c r="A609" s="87"/>
      <c r="B609" s="30"/>
      <c r="C609" s="70"/>
      <c r="G609" s="30"/>
      <c r="H609" s="77"/>
      <c r="I609" s="77"/>
      <c r="J609" s="58"/>
      <c r="K609" s="58"/>
    </row>
    <row r="610" spans="1:11" s="71" customFormat="1">
      <c r="A610" s="87"/>
      <c r="B610" s="30"/>
      <c r="C610" s="70"/>
      <c r="G610" s="30"/>
      <c r="H610" s="77"/>
      <c r="I610" s="77"/>
      <c r="J610" s="58"/>
      <c r="K610" s="58"/>
    </row>
    <row r="611" spans="1:11" s="71" customFormat="1">
      <c r="A611" s="87"/>
      <c r="B611" s="30"/>
      <c r="C611" s="70"/>
      <c r="G611" s="30"/>
      <c r="H611" s="77"/>
      <c r="I611" s="77"/>
      <c r="J611" s="58"/>
      <c r="K611" s="58"/>
    </row>
    <row r="612" spans="1:11" s="71" customFormat="1">
      <c r="A612" s="87"/>
      <c r="B612" s="30"/>
      <c r="C612" s="70"/>
      <c r="G612" s="30"/>
      <c r="H612" s="77"/>
      <c r="I612" s="77"/>
      <c r="J612" s="58"/>
      <c r="K612" s="58"/>
    </row>
    <row r="613" spans="1:11" s="71" customFormat="1">
      <c r="A613" s="87"/>
      <c r="B613" s="30"/>
      <c r="C613" s="70"/>
      <c r="G613" s="30"/>
      <c r="H613" s="77"/>
      <c r="I613" s="77"/>
      <c r="J613" s="58"/>
      <c r="K613" s="58"/>
    </row>
    <row r="614" spans="1:11" s="71" customFormat="1">
      <c r="A614" s="87"/>
      <c r="B614" s="30"/>
      <c r="C614" s="70"/>
      <c r="G614" s="30"/>
      <c r="H614" s="77"/>
      <c r="I614" s="77"/>
      <c r="J614" s="58"/>
      <c r="K614" s="58"/>
    </row>
    <row r="615" spans="1:11" s="71" customFormat="1">
      <c r="A615" s="87"/>
      <c r="B615" s="30"/>
      <c r="C615" s="70"/>
      <c r="G615" s="30"/>
      <c r="H615" s="77"/>
      <c r="I615" s="77"/>
      <c r="J615" s="58"/>
      <c r="K615" s="58"/>
    </row>
    <row r="616" spans="1:11" s="71" customFormat="1">
      <c r="A616" s="87"/>
      <c r="B616" s="30"/>
      <c r="C616" s="70"/>
      <c r="G616" s="30"/>
      <c r="H616" s="77"/>
      <c r="I616" s="77"/>
      <c r="J616" s="58"/>
      <c r="K616" s="58"/>
    </row>
    <row r="617" spans="1:11" s="71" customFormat="1">
      <c r="A617" s="87"/>
      <c r="B617" s="30"/>
      <c r="C617" s="70"/>
      <c r="G617" s="30"/>
      <c r="H617" s="77"/>
      <c r="I617" s="77"/>
      <c r="J617" s="58"/>
      <c r="K617" s="58"/>
    </row>
    <row r="618" spans="1:11" s="71" customFormat="1">
      <c r="A618" s="87"/>
      <c r="B618" s="30"/>
      <c r="C618" s="70"/>
      <c r="G618" s="30"/>
      <c r="H618" s="77"/>
      <c r="I618" s="77"/>
      <c r="J618" s="58"/>
      <c r="K618" s="58"/>
    </row>
    <row r="619" spans="1:11" s="71" customFormat="1">
      <c r="A619" s="87"/>
      <c r="B619" s="30"/>
      <c r="C619" s="70"/>
      <c r="G619" s="30"/>
      <c r="H619" s="77"/>
      <c r="I619" s="77"/>
      <c r="J619" s="58"/>
      <c r="K619" s="58"/>
    </row>
    <row r="620" spans="1:11" s="71" customFormat="1">
      <c r="A620" s="87"/>
      <c r="B620" s="30"/>
      <c r="C620" s="70"/>
      <c r="G620" s="30"/>
      <c r="H620" s="77"/>
      <c r="I620" s="77"/>
      <c r="J620" s="58"/>
      <c r="K620" s="58"/>
    </row>
    <row r="621" spans="1:11" s="71" customFormat="1">
      <c r="A621" s="87"/>
      <c r="B621" s="30"/>
      <c r="C621" s="70"/>
      <c r="G621" s="30"/>
      <c r="H621" s="77"/>
      <c r="I621" s="77"/>
      <c r="J621" s="58"/>
      <c r="K621" s="58"/>
    </row>
    <row r="622" spans="1:11" s="71" customFormat="1">
      <c r="A622" s="87"/>
      <c r="B622" s="30"/>
      <c r="C622" s="70"/>
      <c r="G622" s="30"/>
      <c r="H622" s="77"/>
      <c r="I622" s="77"/>
      <c r="J622" s="58"/>
      <c r="K622" s="58"/>
    </row>
    <row r="623" spans="1:11" s="71" customFormat="1">
      <c r="A623" s="87"/>
      <c r="B623" s="30"/>
      <c r="C623" s="70"/>
      <c r="G623" s="30"/>
      <c r="H623" s="77"/>
      <c r="I623" s="77"/>
      <c r="J623" s="58"/>
      <c r="K623" s="58"/>
    </row>
    <row r="624" spans="1:11" s="71" customFormat="1">
      <c r="A624" s="87"/>
      <c r="B624" s="30"/>
      <c r="C624" s="70"/>
      <c r="G624" s="30"/>
      <c r="H624" s="77"/>
      <c r="I624" s="77"/>
      <c r="J624" s="58"/>
      <c r="K624" s="58"/>
    </row>
    <row r="625" spans="1:11" s="71" customFormat="1">
      <c r="A625" s="87"/>
      <c r="B625" s="30"/>
      <c r="C625" s="70"/>
      <c r="G625" s="30"/>
      <c r="H625" s="77"/>
      <c r="I625" s="77"/>
      <c r="J625" s="58"/>
      <c r="K625" s="58"/>
    </row>
    <row r="626" spans="1:11" s="71" customFormat="1">
      <c r="A626" s="87"/>
      <c r="B626" s="30"/>
      <c r="C626" s="70"/>
      <c r="G626" s="30"/>
      <c r="H626" s="77"/>
      <c r="I626" s="77"/>
      <c r="J626" s="58"/>
      <c r="K626" s="58"/>
    </row>
    <row r="627" spans="1:11" s="71" customFormat="1">
      <c r="A627" s="87"/>
      <c r="B627" s="30"/>
      <c r="C627" s="70"/>
      <c r="G627" s="30"/>
      <c r="H627" s="77"/>
      <c r="I627" s="77"/>
      <c r="J627" s="58"/>
      <c r="K627" s="58"/>
    </row>
    <row r="628" spans="1:11" s="71" customFormat="1">
      <c r="A628" s="87"/>
      <c r="B628" s="30"/>
      <c r="C628" s="70"/>
      <c r="G628" s="30"/>
      <c r="H628" s="77"/>
      <c r="I628" s="77"/>
      <c r="J628" s="58"/>
      <c r="K628" s="58"/>
    </row>
    <row r="629" spans="1:11" s="71" customFormat="1">
      <c r="A629" s="87"/>
      <c r="B629" s="30"/>
      <c r="C629" s="70"/>
      <c r="G629" s="30"/>
      <c r="H629" s="77"/>
      <c r="I629" s="77"/>
      <c r="J629" s="58"/>
      <c r="K629" s="58"/>
    </row>
    <row r="630" spans="1:11" s="71" customFormat="1">
      <c r="A630" s="87"/>
      <c r="B630" s="30"/>
      <c r="C630" s="70"/>
      <c r="G630" s="30"/>
      <c r="H630" s="77"/>
      <c r="I630" s="77"/>
      <c r="J630" s="58"/>
      <c r="K630" s="58"/>
    </row>
    <row r="631" spans="1:11" s="71" customFormat="1">
      <c r="A631" s="87"/>
      <c r="B631" s="30"/>
      <c r="C631" s="70"/>
      <c r="G631" s="30"/>
      <c r="H631" s="77"/>
      <c r="I631" s="77"/>
      <c r="J631" s="58"/>
      <c r="K631" s="58"/>
    </row>
    <row r="632" spans="1:11" s="71" customFormat="1">
      <c r="A632" s="87"/>
      <c r="B632" s="30"/>
      <c r="C632" s="70"/>
      <c r="G632" s="30"/>
      <c r="H632" s="77"/>
      <c r="I632" s="77"/>
      <c r="J632" s="58"/>
      <c r="K632" s="58"/>
    </row>
    <row r="633" spans="1:11" s="71" customFormat="1">
      <c r="A633" s="87"/>
      <c r="B633" s="30"/>
      <c r="C633" s="70"/>
      <c r="G633" s="30"/>
      <c r="H633" s="77"/>
      <c r="I633" s="77"/>
      <c r="J633" s="58"/>
      <c r="K633" s="58"/>
    </row>
    <row r="634" spans="1:11" s="71" customFormat="1">
      <c r="A634" s="87"/>
      <c r="B634" s="30"/>
      <c r="C634" s="70"/>
      <c r="G634" s="30"/>
      <c r="H634" s="77"/>
      <c r="I634" s="77"/>
      <c r="J634" s="58"/>
      <c r="K634" s="58"/>
    </row>
    <row r="635" spans="1:11" s="71" customFormat="1">
      <c r="A635" s="87"/>
      <c r="B635" s="30"/>
      <c r="C635" s="70"/>
      <c r="G635" s="30"/>
      <c r="H635" s="77"/>
      <c r="I635" s="77"/>
      <c r="J635" s="58"/>
      <c r="K635" s="58"/>
    </row>
    <row r="636" spans="1:11" s="71" customFormat="1">
      <c r="A636" s="87"/>
      <c r="B636" s="30"/>
      <c r="C636" s="70"/>
      <c r="G636" s="30"/>
      <c r="H636" s="77"/>
      <c r="I636" s="77"/>
      <c r="J636" s="58"/>
      <c r="K636" s="58"/>
    </row>
    <row r="637" spans="1:11" s="71" customFormat="1">
      <c r="A637" s="87"/>
      <c r="B637" s="30"/>
      <c r="C637" s="70"/>
      <c r="G637" s="30"/>
      <c r="H637" s="77"/>
      <c r="I637" s="77"/>
      <c r="J637" s="58"/>
      <c r="K637" s="58"/>
    </row>
    <row r="638" spans="1:11" s="71" customFormat="1">
      <c r="A638" s="87"/>
      <c r="B638" s="30"/>
      <c r="C638" s="70"/>
      <c r="G638" s="30"/>
      <c r="H638" s="77"/>
      <c r="I638" s="77"/>
      <c r="J638" s="58"/>
      <c r="K638" s="58"/>
    </row>
    <row r="639" spans="1:11" s="71" customFormat="1">
      <c r="A639" s="87"/>
      <c r="B639" s="30"/>
      <c r="C639" s="70"/>
      <c r="G639" s="30"/>
      <c r="H639" s="77"/>
      <c r="I639" s="77"/>
      <c r="J639" s="58"/>
      <c r="K639" s="58"/>
    </row>
    <row r="640" spans="1:11" s="71" customFormat="1">
      <c r="A640" s="87"/>
      <c r="B640" s="30"/>
      <c r="C640" s="70"/>
      <c r="G640" s="30"/>
      <c r="H640" s="77"/>
      <c r="I640" s="77"/>
      <c r="J640" s="58"/>
      <c r="K640" s="58"/>
    </row>
    <row r="641" spans="1:11" s="71" customFormat="1">
      <c r="A641" s="87"/>
      <c r="B641" s="30"/>
      <c r="C641" s="70"/>
      <c r="G641" s="30"/>
      <c r="H641" s="77"/>
      <c r="I641" s="77"/>
      <c r="J641" s="58"/>
      <c r="K641" s="58"/>
    </row>
    <row r="642" spans="1:11" s="71" customFormat="1">
      <c r="A642" s="87"/>
      <c r="B642" s="30"/>
      <c r="C642" s="70"/>
      <c r="G642" s="30"/>
      <c r="H642" s="77"/>
      <c r="I642" s="77"/>
      <c r="J642" s="58"/>
      <c r="K642" s="58"/>
    </row>
    <row r="643" spans="1:11" s="71" customFormat="1">
      <c r="A643" s="87"/>
      <c r="B643" s="30"/>
      <c r="C643" s="70"/>
      <c r="G643" s="30"/>
      <c r="H643" s="77"/>
      <c r="I643" s="77"/>
      <c r="J643" s="58"/>
      <c r="K643" s="58"/>
    </row>
    <row r="644" spans="1:11" s="71" customFormat="1">
      <c r="A644" s="87"/>
      <c r="B644" s="30"/>
      <c r="C644" s="70"/>
      <c r="G644" s="30"/>
      <c r="H644" s="77"/>
      <c r="I644" s="77"/>
      <c r="J644" s="58"/>
      <c r="K644" s="58"/>
    </row>
    <row r="645" spans="1:11" s="71" customFormat="1">
      <c r="A645" s="87"/>
      <c r="B645" s="30"/>
      <c r="C645" s="70"/>
      <c r="G645" s="30"/>
      <c r="H645" s="77"/>
      <c r="I645" s="77"/>
      <c r="J645" s="58"/>
      <c r="K645" s="58"/>
    </row>
    <row r="646" spans="1:11" s="71" customFormat="1">
      <c r="A646" s="87"/>
      <c r="B646" s="30"/>
      <c r="C646" s="70"/>
      <c r="G646" s="30"/>
      <c r="H646" s="77"/>
      <c r="I646" s="77"/>
      <c r="J646" s="58"/>
      <c r="K646" s="58"/>
    </row>
    <row r="647" spans="1:11" s="71" customFormat="1">
      <c r="A647" s="87"/>
      <c r="B647" s="30"/>
      <c r="C647" s="70"/>
      <c r="G647" s="30"/>
      <c r="H647" s="77"/>
      <c r="I647" s="77"/>
      <c r="J647" s="58"/>
      <c r="K647" s="58"/>
    </row>
    <row r="648" spans="1:11" s="71" customFormat="1">
      <c r="A648" s="87"/>
      <c r="B648" s="30"/>
      <c r="C648" s="70"/>
      <c r="G648" s="30"/>
      <c r="H648" s="77"/>
      <c r="I648" s="77"/>
      <c r="J648" s="58"/>
      <c r="K648" s="58"/>
    </row>
    <row r="649" spans="1:11" s="71" customFormat="1">
      <c r="A649" s="87"/>
      <c r="B649" s="30"/>
      <c r="C649" s="70"/>
      <c r="G649" s="30"/>
      <c r="H649" s="77"/>
      <c r="I649" s="77"/>
      <c r="J649" s="58"/>
      <c r="K649" s="58"/>
    </row>
    <row r="650" spans="1:11" s="71" customFormat="1">
      <c r="A650" s="87"/>
      <c r="B650" s="30"/>
      <c r="C650" s="70"/>
      <c r="G650" s="30"/>
      <c r="H650" s="77"/>
      <c r="I650" s="77"/>
      <c r="J650" s="58"/>
      <c r="K650" s="58"/>
    </row>
    <row r="651" spans="1:11" s="71" customFormat="1">
      <c r="A651" s="87"/>
      <c r="B651" s="30"/>
      <c r="C651" s="70"/>
      <c r="G651" s="30"/>
      <c r="H651" s="77"/>
      <c r="I651" s="77"/>
      <c r="J651" s="58"/>
      <c r="K651" s="58"/>
    </row>
    <row r="652" spans="1:11" s="71" customFormat="1">
      <c r="A652" s="87"/>
      <c r="B652" s="30"/>
      <c r="C652" s="70"/>
      <c r="G652" s="30"/>
      <c r="H652" s="77"/>
      <c r="I652" s="77"/>
      <c r="J652" s="58"/>
      <c r="K652" s="58"/>
    </row>
    <row r="653" spans="1:11" s="71" customFormat="1">
      <c r="A653" s="87"/>
      <c r="B653" s="30"/>
      <c r="C653" s="70"/>
      <c r="G653" s="30"/>
      <c r="H653" s="77"/>
      <c r="I653" s="77"/>
      <c r="J653" s="58"/>
      <c r="K653" s="58"/>
    </row>
    <row r="654" spans="1:11" s="71" customFormat="1">
      <c r="A654" s="87"/>
      <c r="B654" s="30"/>
      <c r="C654" s="70"/>
      <c r="G654" s="30"/>
      <c r="H654" s="77"/>
      <c r="I654" s="77"/>
      <c r="J654" s="58"/>
      <c r="K654" s="58"/>
    </row>
    <row r="655" spans="1:11" s="71" customFormat="1">
      <c r="A655" s="87"/>
      <c r="B655" s="30"/>
      <c r="C655" s="70"/>
      <c r="G655" s="30"/>
      <c r="H655" s="77"/>
      <c r="I655" s="77"/>
      <c r="J655" s="58"/>
      <c r="K655" s="58"/>
    </row>
    <row r="656" spans="1:11" s="71" customFormat="1">
      <c r="A656" s="87"/>
      <c r="B656" s="30"/>
      <c r="C656" s="70"/>
      <c r="G656" s="30"/>
      <c r="H656" s="77"/>
      <c r="I656" s="77"/>
      <c r="J656" s="58"/>
      <c r="K656" s="58"/>
    </row>
    <row r="657" spans="1:11" s="71" customFormat="1">
      <c r="A657" s="87"/>
      <c r="B657" s="30"/>
      <c r="C657" s="70"/>
      <c r="G657" s="30"/>
      <c r="H657" s="77"/>
      <c r="I657" s="77"/>
      <c r="J657" s="58"/>
      <c r="K657" s="58"/>
    </row>
    <row r="658" spans="1:11" s="71" customFormat="1">
      <c r="A658" s="87"/>
      <c r="B658" s="30"/>
      <c r="C658" s="70"/>
      <c r="G658" s="30"/>
      <c r="H658" s="77"/>
      <c r="I658" s="77"/>
      <c r="J658" s="58"/>
      <c r="K658" s="58"/>
    </row>
    <row r="659" spans="1:11" s="71" customFormat="1">
      <c r="A659" s="87"/>
      <c r="B659" s="30"/>
      <c r="C659" s="70"/>
      <c r="G659" s="30"/>
      <c r="H659" s="77"/>
      <c r="I659" s="77"/>
      <c r="J659" s="58"/>
      <c r="K659" s="58"/>
    </row>
    <row r="660" spans="1:11" s="71" customFormat="1">
      <c r="A660" s="87"/>
      <c r="B660" s="30"/>
      <c r="C660" s="70"/>
      <c r="G660" s="30"/>
      <c r="H660" s="77"/>
      <c r="I660" s="77"/>
      <c r="J660" s="58"/>
      <c r="K660" s="58"/>
    </row>
    <row r="661" spans="1:11" s="71" customFormat="1">
      <c r="A661" s="87"/>
      <c r="B661" s="30"/>
      <c r="C661" s="70"/>
      <c r="G661" s="30"/>
      <c r="H661" s="77"/>
      <c r="I661" s="77"/>
      <c r="J661" s="58"/>
      <c r="K661" s="58"/>
    </row>
    <row r="662" spans="1:11" s="71" customFormat="1">
      <c r="A662" s="87"/>
      <c r="B662" s="30"/>
      <c r="C662" s="70"/>
      <c r="G662" s="30"/>
      <c r="H662" s="77"/>
      <c r="I662" s="77"/>
      <c r="J662" s="58"/>
      <c r="K662" s="58"/>
    </row>
    <row r="663" spans="1:11" s="71" customFormat="1">
      <c r="A663" s="87"/>
      <c r="B663" s="30"/>
      <c r="C663" s="70"/>
      <c r="G663" s="30"/>
      <c r="H663" s="77"/>
      <c r="I663" s="77"/>
      <c r="J663" s="58"/>
      <c r="K663" s="58"/>
    </row>
    <row r="664" spans="1:11" s="71" customFormat="1">
      <c r="A664" s="87"/>
      <c r="B664" s="30"/>
      <c r="C664" s="70"/>
      <c r="G664" s="30"/>
      <c r="H664" s="77"/>
      <c r="I664" s="77"/>
      <c r="J664" s="58"/>
      <c r="K664" s="58"/>
    </row>
    <row r="665" spans="1:11" s="71" customFormat="1">
      <c r="A665" s="87"/>
      <c r="B665" s="30"/>
      <c r="C665" s="70"/>
      <c r="G665" s="30"/>
      <c r="H665" s="77"/>
      <c r="I665" s="77"/>
      <c r="J665" s="58"/>
      <c r="K665" s="58"/>
    </row>
    <row r="666" spans="1:11" s="71" customFormat="1">
      <c r="A666" s="87"/>
      <c r="B666" s="30"/>
      <c r="C666" s="70"/>
      <c r="G666" s="30"/>
      <c r="H666" s="77"/>
      <c r="I666" s="77"/>
      <c r="J666" s="58"/>
      <c r="K666" s="58"/>
    </row>
    <row r="667" spans="1:11" s="71" customFormat="1">
      <c r="A667" s="87"/>
      <c r="B667" s="30"/>
      <c r="C667" s="70"/>
      <c r="G667" s="30"/>
      <c r="H667" s="77"/>
      <c r="I667" s="77"/>
      <c r="J667" s="58"/>
      <c r="K667" s="58"/>
    </row>
    <row r="668" spans="1:11" s="71" customFormat="1">
      <c r="A668" s="87"/>
      <c r="B668" s="30"/>
      <c r="C668" s="70"/>
      <c r="G668" s="30"/>
      <c r="H668" s="77"/>
      <c r="I668" s="77"/>
      <c r="J668" s="58"/>
      <c r="K668" s="58"/>
    </row>
    <row r="669" spans="1:11" s="71" customFormat="1">
      <c r="A669" s="87"/>
      <c r="B669" s="30"/>
      <c r="C669" s="70"/>
      <c r="G669" s="30"/>
      <c r="H669" s="77"/>
      <c r="I669" s="77"/>
      <c r="J669" s="58"/>
      <c r="K669" s="58"/>
    </row>
    <row r="670" spans="1:11" s="71" customFormat="1">
      <c r="A670" s="87"/>
      <c r="B670" s="30"/>
      <c r="C670" s="70"/>
      <c r="G670" s="30"/>
      <c r="H670" s="77"/>
      <c r="I670" s="77"/>
      <c r="J670" s="58"/>
      <c r="K670" s="58"/>
    </row>
    <row r="671" spans="1:11" s="71" customFormat="1">
      <c r="A671" s="87"/>
      <c r="B671" s="30"/>
      <c r="C671" s="70"/>
      <c r="G671" s="30"/>
      <c r="H671" s="77"/>
      <c r="I671" s="77"/>
      <c r="J671" s="58"/>
      <c r="K671" s="58"/>
    </row>
    <row r="672" spans="1:11" s="71" customFormat="1">
      <c r="A672" s="87"/>
      <c r="B672" s="30"/>
      <c r="C672" s="70"/>
      <c r="G672" s="30"/>
      <c r="H672" s="77"/>
      <c r="I672" s="77"/>
      <c r="J672" s="58"/>
      <c r="K672" s="58"/>
    </row>
    <row r="673" spans="1:11" s="71" customFormat="1">
      <c r="A673" s="87"/>
      <c r="B673" s="30"/>
      <c r="C673" s="70"/>
      <c r="G673" s="30"/>
      <c r="H673" s="77"/>
      <c r="I673" s="77"/>
      <c r="J673" s="58"/>
      <c r="K673" s="58"/>
    </row>
    <row r="674" spans="1:11" s="71" customFormat="1">
      <c r="A674" s="87"/>
      <c r="B674" s="30"/>
      <c r="C674" s="70"/>
      <c r="G674" s="30"/>
      <c r="H674" s="77"/>
      <c r="I674" s="77"/>
      <c r="J674" s="58"/>
      <c r="K674" s="58"/>
    </row>
    <row r="675" spans="1:11" s="71" customFormat="1">
      <c r="A675" s="87"/>
      <c r="B675" s="30"/>
      <c r="C675" s="70"/>
      <c r="G675" s="30"/>
      <c r="H675" s="77"/>
      <c r="I675" s="77"/>
      <c r="J675" s="58"/>
      <c r="K675" s="58"/>
    </row>
    <row r="676" spans="1:11" s="71" customFormat="1">
      <c r="A676" s="87"/>
      <c r="B676" s="30"/>
      <c r="C676" s="70"/>
      <c r="G676" s="30"/>
      <c r="H676" s="77"/>
      <c r="I676" s="77"/>
      <c r="J676" s="58"/>
      <c r="K676" s="58"/>
    </row>
    <row r="677" spans="1:11" s="71" customFormat="1">
      <c r="A677" s="87"/>
      <c r="B677" s="30"/>
      <c r="C677" s="70"/>
      <c r="G677" s="30"/>
      <c r="H677" s="77"/>
      <c r="I677" s="77"/>
      <c r="J677" s="58"/>
      <c r="K677" s="58"/>
    </row>
    <row r="678" spans="1:11" s="71" customFormat="1">
      <c r="A678" s="87"/>
      <c r="B678" s="30"/>
      <c r="C678" s="70"/>
      <c r="G678" s="30"/>
      <c r="H678" s="77"/>
      <c r="I678" s="77"/>
      <c r="J678" s="58"/>
      <c r="K678" s="58"/>
    </row>
    <row r="679" spans="1:11" s="71" customFormat="1">
      <c r="A679" s="87"/>
      <c r="B679" s="30"/>
      <c r="C679" s="70"/>
      <c r="G679" s="30"/>
      <c r="H679" s="77"/>
      <c r="I679" s="77"/>
      <c r="J679" s="58"/>
      <c r="K679" s="58"/>
    </row>
    <row r="680" spans="1:11" s="71" customFormat="1">
      <c r="A680" s="87"/>
      <c r="B680" s="30"/>
      <c r="C680" s="70"/>
      <c r="G680" s="30"/>
      <c r="H680" s="77"/>
      <c r="I680" s="77"/>
      <c r="J680" s="58"/>
      <c r="K680" s="58"/>
    </row>
    <row r="681" spans="1:11" s="71" customFormat="1">
      <c r="A681" s="87"/>
      <c r="B681" s="30"/>
      <c r="C681" s="70"/>
      <c r="G681" s="30"/>
      <c r="H681" s="77"/>
      <c r="I681" s="77"/>
      <c r="J681" s="58"/>
      <c r="K681" s="58"/>
    </row>
    <row r="682" spans="1:11" s="71" customFormat="1">
      <c r="A682" s="87"/>
      <c r="B682" s="30"/>
      <c r="C682" s="70"/>
      <c r="G682" s="30"/>
      <c r="H682" s="77"/>
      <c r="I682" s="77"/>
      <c r="J682" s="58"/>
      <c r="K682" s="58"/>
    </row>
    <row r="683" spans="1:11" s="71" customFormat="1">
      <c r="A683" s="87"/>
      <c r="B683" s="30"/>
      <c r="C683" s="70"/>
      <c r="G683" s="30"/>
      <c r="H683" s="77"/>
      <c r="I683" s="77"/>
      <c r="J683" s="58"/>
      <c r="K683" s="58"/>
    </row>
    <row r="684" spans="1:11" s="71" customFormat="1">
      <c r="A684" s="87"/>
      <c r="B684" s="30"/>
      <c r="C684" s="70"/>
      <c r="G684" s="30"/>
      <c r="H684" s="77"/>
      <c r="I684" s="77"/>
      <c r="J684" s="58"/>
      <c r="K684" s="58"/>
    </row>
    <row r="685" spans="1:11" s="71" customFormat="1">
      <c r="A685" s="87"/>
      <c r="B685" s="30"/>
      <c r="C685" s="70"/>
      <c r="G685" s="30"/>
      <c r="H685" s="77"/>
      <c r="I685" s="77"/>
      <c r="J685" s="58"/>
      <c r="K685" s="58"/>
    </row>
    <row r="686" spans="1:11" s="71" customFormat="1">
      <c r="A686" s="87"/>
      <c r="B686" s="30"/>
      <c r="C686" s="70"/>
      <c r="G686" s="30"/>
      <c r="H686" s="77"/>
      <c r="I686" s="77"/>
      <c r="J686" s="58"/>
      <c r="K686" s="58"/>
    </row>
    <row r="687" spans="1:11" s="71" customFormat="1">
      <c r="A687" s="87"/>
      <c r="B687" s="30"/>
      <c r="C687" s="70"/>
      <c r="G687" s="30"/>
      <c r="H687" s="77"/>
      <c r="I687" s="77"/>
      <c r="J687" s="58"/>
      <c r="K687" s="58"/>
    </row>
    <row r="688" spans="1:11" s="71" customFormat="1">
      <c r="A688" s="87"/>
      <c r="B688" s="30"/>
      <c r="C688" s="70"/>
      <c r="G688" s="30"/>
      <c r="H688" s="77"/>
      <c r="I688" s="77"/>
      <c r="J688" s="58"/>
      <c r="K688" s="58"/>
    </row>
    <row r="689" spans="1:11" s="71" customFormat="1">
      <c r="A689" s="87"/>
      <c r="B689" s="30"/>
      <c r="C689" s="70"/>
      <c r="G689" s="30"/>
      <c r="H689" s="77"/>
      <c r="I689" s="77"/>
      <c r="J689" s="58"/>
      <c r="K689" s="58"/>
    </row>
    <row r="690" spans="1:11" s="71" customFormat="1">
      <c r="A690" s="87"/>
      <c r="B690" s="30"/>
      <c r="C690" s="70"/>
      <c r="G690" s="30"/>
      <c r="H690" s="77"/>
      <c r="I690" s="77"/>
      <c r="J690" s="58"/>
      <c r="K690" s="58"/>
    </row>
    <row r="691" spans="1:11" s="71" customFormat="1">
      <c r="A691" s="87"/>
      <c r="B691" s="30"/>
      <c r="C691" s="70"/>
      <c r="G691" s="30"/>
      <c r="H691" s="77"/>
      <c r="I691" s="77"/>
      <c r="J691" s="58"/>
      <c r="K691" s="58"/>
    </row>
    <row r="692" spans="1:11" s="71" customFormat="1">
      <c r="A692" s="87"/>
      <c r="B692" s="30"/>
      <c r="C692" s="70"/>
      <c r="G692" s="30"/>
      <c r="H692" s="77"/>
      <c r="I692" s="77"/>
      <c r="J692" s="58"/>
      <c r="K692" s="58"/>
    </row>
    <row r="693" spans="1:11" s="71" customFormat="1">
      <c r="A693" s="87"/>
      <c r="B693" s="30"/>
      <c r="C693" s="70"/>
      <c r="G693" s="30"/>
      <c r="H693" s="77"/>
      <c r="I693" s="77"/>
      <c r="J693" s="58"/>
      <c r="K693" s="58"/>
    </row>
    <row r="694" spans="1:11" s="71" customFormat="1">
      <c r="A694" s="87"/>
      <c r="B694" s="30"/>
      <c r="C694" s="70"/>
      <c r="G694" s="30"/>
      <c r="H694" s="77"/>
      <c r="I694" s="77"/>
      <c r="J694" s="58"/>
      <c r="K694" s="58"/>
    </row>
    <row r="695" spans="1:11" s="71" customFormat="1">
      <c r="A695" s="87"/>
      <c r="B695" s="30"/>
      <c r="C695" s="70"/>
      <c r="G695" s="30"/>
      <c r="H695" s="77"/>
      <c r="I695" s="77"/>
      <c r="J695" s="58"/>
      <c r="K695" s="58"/>
    </row>
    <row r="696" spans="1:11" s="71" customFormat="1">
      <c r="A696" s="87"/>
      <c r="B696" s="30"/>
      <c r="C696" s="70"/>
      <c r="G696" s="30"/>
      <c r="H696" s="77"/>
      <c r="I696" s="77"/>
      <c r="J696" s="58"/>
      <c r="K696" s="58"/>
    </row>
    <row r="697" spans="1:11" s="71" customFormat="1">
      <c r="A697" s="87"/>
      <c r="B697" s="30"/>
      <c r="C697" s="70"/>
      <c r="G697" s="30"/>
      <c r="H697" s="77"/>
      <c r="I697" s="77"/>
      <c r="J697" s="58"/>
      <c r="K697" s="58"/>
    </row>
    <row r="698" spans="1:11" s="71" customFormat="1">
      <c r="A698" s="87"/>
      <c r="B698" s="30"/>
      <c r="C698" s="70"/>
      <c r="G698" s="30"/>
      <c r="H698" s="77"/>
      <c r="I698" s="77"/>
      <c r="J698" s="58"/>
      <c r="K698" s="58"/>
    </row>
    <row r="699" spans="1:11" s="71" customFormat="1">
      <c r="A699" s="87"/>
      <c r="B699" s="30"/>
      <c r="C699" s="70"/>
      <c r="G699" s="30"/>
      <c r="H699" s="77"/>
      <c r="I699" s="77"/>
      <c r="J699" s="58"/>
      <c r="K699" s="58"/>
    </row>
    <row r="700" spans="1:11" s="71" customFormat="1">
      <c r="A700" s="87"/>
      <c r="B700" s="30"/>
      <c r="C700" s="70"/>
      <c r="G700" s="30"/>
      <c r="H700" s="77"/>
      <c r="I700" s="77"/>
      <c r="J700" s="58"/>
      <c r="K700" s="58"/>
    </row>
    <row r="701" spans="1:11" s="71" customFormat="1">
      <c r="A701" s="87"/>
      <c r="B701" s="30"/>
      <c r="C701" s="70"/>
      <c r="G701" s="30"/>
      <c r="H701" s="77"/>
      <c r="I701" s="77"/>
      <c r="J701" s="58"/>
      <c r="K701" s="58"/>
    </row>
    <row r="702" spans="1:11" s="71" customFormat="1">
      <c r="A702" s="87"/>
      <c r="B702" s="30"/>
      <c r="C702" s="70"/>
      <c r="G702" s="30"/>
      <c r="H702" s="77"/>
      <c r="I702" s="77"/>
      <c r="J702" s="58"/>
      <c r="K702" s="58"/>
    </row>
    <row r="703" spans="1:11" s="71" customFormat="1">
      <c r="A703" s="87"/>
      <c r="B703" s="30"/>
      <c r="C703" s="70"/>
      <c r="G703" s="30"/>
      <c r="H703" s="77"/>
      <c r="I703" s="77"/>
      <c r="J703" s="58"/>
      <c r="K703" s="58"/>
    </row>
    <row r="704" spans="1:11" s="71" customFormat="1">
      <c r="A704" s="87"/>
      <c r="B704" s="30"/>
      <c r="C704" s="70"/>
      <c r="G704" s="30"/>
      <c r="H704" s="77"/>
      <c r="I704" s="77"/>
      <c r="J704" s="58"/>
      <c r="K704" s="58"/>
    </row>
    <row r="705" spans="1:11" s="71" customFormat="1">
      <c r="A705" s="87"/>
      <c r="B705" s="30"/>
      <c r="C705" s="70"/>
      <c r="G705" s="30"/>
      <c r="H705" s="77"/>
      <c r="I705" s="77"/>
      <c r="J705" s="58"/>
      <c r="K705" s="58"/>
    </row>
    <row r="706" spans="1:11" s="71" customFormat="1">
      <c r="A706" s="87"/>
      <c r="B706" s="30"/>
      <c r="C706" s="70"/>
      <c r="G706" s="30"/>
      <c r="H706" s="77"/>
      <c r="I706" s="77"/>
      <c r="J706" s="58"/>
      <c r="K706" s="58"/>
    </row>
    <row r="707" spans="1:11" s="71" customFormat="1">
      <c r="A707" s="87"/>
      <c r="B707" s="30"/>
      <c r="C707" s="70"/>
      <c r="G707" s="30"/>
      <c r="H707" s="77"/>
      <c r="I707" s="77"/>
      <c r="J707" s="58"/>
      <c r="K707" s="58"/>
    </row>
    <row r="708" spans="1:11" s="71" customFormat="1">
      <c r="A708" s="87"/>
      <c r="B708" s="30"/>
      <c r="C708" s="70"/>
      <c r="G708" s="30"/>
      <c r="H708" s="77"/>
      <c r="I708" s="77"/>
      <c r="J708" s="58"/>
      <c r="K708" s="58"/>
    </row>
    <row r="709" spans="1:11" s="71" customFormat="1">
      <c r="A709" s="87"/>
      <c r="B709" s="30"/>
      <c r="C709" s="70"/>
      <c r="G709" s="30"/>
      <c r="H709" s="77"/>
      <c r="I709" s="77"/>
      <c r="J709" s="58"/>
      <c r="K709" s="58"/>
    </row>
    <row r="710" spans="1:11" s="71" customFormat="1">
      <c r="A710" s="87"/>
      <c r="B710" s="30"/>
      <c r="C710" s="70"/>
      <c r="G710" s="30"/>
      <c r="H710" s="77"/>
      <c r="I710" s="77"/>
      <c r="J710" s="58"/>
      <c r="K710" s="58"/>
    </row>
    <row r="711" spans="1:11" s="71" customFormat="1">
      <c r="A711" s="87"/>
      <c r="B711" s="30"/>
      <c r="C711" s="70"/>
      <c r="G711" s="30"/>
      <c r="H711" s="77"/>
      <c r="I711" s="77"/>
      <c r="J711" s="58"/>
      <c r="K711" s="58"/>
    </row>
    <row r="712" spans="1:11" s="71" customFormat="1">
      <c r="A712" s="87"/>
      <c r="B712" s="30"/>
      <c r="C712" s="70"/>
      <c r="G712" s="30"/>
      <c r="H712" s="77"/>
      <c r="I712" s="77"/>
      <c r="J712" s="58"/>
      <c r="K712" s="58"/>
    </row>
    <row r="713" spans="1:11" s="71" customFormat="1">
      <c r="A713" s="87"/>
      <c r="B713" s="30"/>
      <c r="C713" s="70"/>
      <c r="G713" s="30"/>
      <c r="H713" s="77"/>
      <c r="I713" s="77"/>
      <c r="J713" s="58"/>
      <c r="K713" s="58"/>
    </row>
    <row r="714" spans="1:11" s="71" customFormat="1">
      <c r="A714" s="87"/>
      <c r="B714" s="30"/>
      <c r="C714" s="70"/>
      <c r="G714" s="30"/>
      <c r="H714" s="77"/>
      <c r="I714" s="77"/>
      <c r="J714" s="58"/>
      <c r="K714" s="58"/>
    </row>
    <row r="715" spans="1:11" s="71" customFormat="1">
      <c r="A715" s="87"/>
      <c r="B715" s="30"/>
      <c r="C715" s="70"/>
      <c r="G715" s="30"/>
      <c r="H715" s="77"/>
      <c r="I715" s="77"/>
      <c r="J715" s="58"/>
      <c r="K715" s="58"/>
    </row>
    <row r="716" spans="1:11" s="71" customFormat="1">
      <c r="A716" s="87"/>
      <c r="B716" s="30"/>
      <c r="C716" s="70"/>
      <c r="G716" s="30"/>
      <c r="H716" s="77"/>
      <c r="I716" s="77"/>
      <c r="J716" s="58"/>
      <c r="K716" s="58"/>
    </row>
    <row r="717" spans="1:11" s="71" customFormat="1">
      <c r="A717" s="87"/>
      <c r="B717" s="30"/>
      <c r="C717" s="70"/>
      <c r="G717" s="30"/>
      <c r="H717" s="77"/>
      <c r="I717" s="77"/>
      <c r="J717" s="58"/>
      <c r="K717" s="58"/>
    </row>
    <row r="718" spans="1:11" s="71" customFormat="1">
      <c r="A718" s="87"/>
      <c r="B718" s="30"/>
      <c r="C718" s="70"/>
      <c r="G718" s="30"/>
      <c r="H718" s="77"/>
      <c r="I718" s="77"/>
      <c r="J718" s="58"/>
      <c r="K718" s="58"/>
    </row>
    <row r="719" spans="1:11" s="71" customFormat="1">
      <c r="A719" s="87"/>
      <c r="B719" s="30"/>
      <c r="C719" s="70"/>
      <c r="G719" s="30"/>
      <c r="H719" s="77"/>
      <c r="I719" s="77"/>
      <c r="J719" s="58"/>
      <c r="K719" s="58"/>
    </row>
    <row r="720" spans="1:11" s="71" customFormat="1">
      <c r="A720" s="87"/>
      <c r="B720" s="30"/>
      <c r="C720" s="70"/>
      <c r="G720" s="30"/>
      <c r="H720" s="77"/>
      <c r="I720" s="77"/>
      <c r="J720" s="58"/>
      <c r="K720" s="58"/>
    </row>
    <row r="721" spans="1:11" s="71" customFormat="1">
      <c r="A721" s="87"/>
      <c r="B721" s="30"/>
      <c r="C721" s="70"/>
      <c r="G721" s="30"/>
      <c r="H721" s="77"/>
      <c r="I721" s="77"/>
      <c r="J721" s="58"/>
      <c r="K721" s="58"/>
    </row>
    <row r="722" spans="1:11" s="71" customFormat="1">
      <c r="A722" s="87"/>
      <c r="B722" s="30"/>
      <c r="C722" s="70"/>
      <c r="G722" s="30"/>
      <c r="H722" s="77"/>
      <c r="I722" s="77"/>
      <c r="J722" s="58"/>
      <c r="K722" s="58"/>
    </row>
    <row r="723" spans="1:11" s="71" customFormat="1">
      <c r="A723" s="87"/>
      <c r="B723" s="30"/>
      <c r="C723" s="70"/>
      <c r="G723" s="30"/>
      <c r="H723" s="77"/>
      <c r="I723" s="77"/>
      <c r="J723" s="58"/>
      <c r="K723" s="58"/>
    </row>
    <row r="724" spans="1:11" s="71" customFormat="1">
      <c r="A724" s="87"/>
      <c r="B724" s="30"/>
      <c r="C724" s="70"/>
      <c r="G724" s="30"/>
      <c r="H724" s="77"/>
      <c r="I724" s="77"/>
      <c r="J724" s="58"/>
      <c r="K724" s="58"/>
    </row>
    <row r="725" spans="1:11" s="71" customFormat="1">
      <c r="A725" s="87"/>
      <c r="B725" s="30"/>
      <c r="C725" s="70"/>
      <c r="G725" s="30"/>
      <c r="H725" s="77"/>
      <c r="I725" s="77"/>
      <c r="J725" s="58"/>
      <c r="K725" s="58"/>
    </row>
    <row r="726" spans="1:11" s="71" customFormat="1">
      <c r="A726" s="87"/>
      <c r="B726" s="30"/>
      <c r="C726" s="70"/>
      <c r="G726" s="30"/>
      <c r="H726" s="77"/>
      <c r="I726" s="77"/>
      <c r="J726" s="58"/>
      <c r="K726" s="58"/>
    </row>
    <row r="727" spans="1:11" s="71" customFormat="1">
      <c r="A727" s="87"/>
      <c r="B727" s="30"/>
      <c r="C727" s="70"/>
      <c r="G727" s="30"/>
      <c r="H727" s="77"/>
      <c r="I727" s="77"/>
      <c r="J727" s="58"/>
      <c r="K727" s="58"/>
    </row>
    <row r="728" spans="1:11" s="71" customFormat="1">
      <c r="A728" s="87"/>
      <c r="B728" s="30"/>
      <c r="C728" s="70"/>
      <c r="G728" s="30"/>
      <c r="H728" s="77"/>
      <c r="I728" s="77"/>
      <c r="J728" s="58"/>
      <c r="K728" s="58"/>
    </row>
    <row r="729" spans="1:11" s="71" customFormat="1">
      <c r="A729" s="87"/>
      <c r="B729" s="30"/>
      <c r="C729" s="70"/>
      <c r="G729" s="30"/>
      <c r="H729" s="77"/>
      <c r="I729" s="77"/>
      <c r="J729" s="58"/>
      <c r="K729" s="58"/>
    </row>
    <row r="730" spans="1:11" s="71" customFormat="1">
      <c r="A730" s="87"/>
      <c r="B730" s="30"/>
      <c r="C730" s="70"/>
      <c r="G730" s="30"/>
      <c r="H730" s="77"/>
      <c r="I730" s="77"/>
      <c r="J730" s="58"/>
      <c r="K730" s="58"/>
    </row>
    <row r="731" spans="1:11" s="71" customFormat="1">
      <c r="A731" s="87"/>
      <c r="B731" s="30"/>
      <c r="C731" s="70"/>
      <c r="G731" s="30"/>
      <c r="H731" s="77"/>
      <c r="I731" s="77"/>
      <c r="J731" s="58"/>
      <c r="K731" s="58"/>
    </row>
    <row r="732" spans="1:11" s="71" customFormat="1">
      <c r="A732" s="87"/>
      <c r="B732" s="30"/>
      <c r="C732" s="70"/>
      <c r="G732" s="30"/>
      <c r="H732" s="77"/>
      <c r="I732" s="77"/>
      <c r="J732" s="58"/>
      <c r="K732" s="58"/>
    </row>
    <row r="733" spans="1:11" s="71" customFormat="1">
      <c r="A733" s="87"/>
      <c r="B733" s="30"/>
      <c r="C733" s="70"/>
      <c r="G733" s="30"/>
      <c r="H733" s="77"/>
      <c r="I733" s="77"/>
      <c r="J733" s="58"/>
      <c r="K733" s="58"/>
    </row>
    <row r="734" spans="1:11" s="71" customFormat="1">
      <c r="A734" s="87"/>
      <c r="B734" s="30"/>
      <c r="C734" s="70"/>
      <c r="G734" s="30"/>
      <c r="H734" s="77"/>
      <c r="I734" s="77"/>
      <c r="J734" s="58"/>
      <c r="K734" s="58"/>
    </row>
    <row r="735" spans="1:11" s="71" customFormat="1">
      <c r="A735" s="87"/>
      <c r="B735" s="30"/>
      <c r="C735" s="70"/>
      <c r="G735" s="30"/>
      <c r="H735" s="77"/>
      <c r="I735" s="77"/>
      <c r="J735" s="58"/>
      <c r="K735" s="58"/>
    </row>
    <row r="736" spans="1:11" s="71" customFormat="1">
      <c r="A736" s="87"/>
      <c r="B736" s="30"/>
      <c r="C736" s="70"/>
      <c r="G736" s="30"/>
      <c r="H736" s="77"/>
      <c r="I736" s="77"/>
      <c r="J736" s="58"/>
      <c r="K736" s="58"/>
    </row>
    <row r="737" spans="1:11" s="71" customFormat="1">
      <c r="A737" s="87"/>
      <c r="B737" s="30"/>
      <c r="C737" s="70"/>
      <c r="G737" s="30"/>
      <c r="H737" s="77"/>
      <c r="I737" s="77"/>
      <c r="J737" s="58"/>
      <c r="K737" s="58"/>
    </row>
    <row r="738" spans="1:11" s="71" customFormat="1">
      <c r="A738" s="87"/>
      <c r="B738" s="30"/>
      <c r="C738" s="70"/>
      <c r="G738" s="30"/>
      <c r="H738" s="77"/>
      <c r="I738" s="77"/>
      <c r="J738" s="58"/>
      <c r="K738" s="58"/>
    </row>
    <row r="739" spans="1:11" s="71" customFormat="1">
      <c r="A739" s="87"/>
      <c r="B739" s="30"/>
      <c r="C739" s="70"/>
      <c r="G739" s="30"/>
      <c r="H739" s="77"/>
      <c r="I739" s="77"/>
      <c r="J739" s="58"/>
      <c r="K739" s="58"/>
    </row>
    <row r="740" spans="1:11" s="71" customFormat="1">
      <c r="A740" s="87"/>
      <c r="B740" s="30"/>
      <c r="C740" s="70"/>
      <c r="G740" s="30"/>
      <c r="H740" s="77"/>
      <c r="I740" s="77"/>
      <c r="J740" s="58"/>
      <c r="K740" s="58"/>
    </row>
    <row r="741" spans="1:11" s="71" customFormat="1">
      <c r="A741" s="87"/>
      <c r="B741" s="30"/>
      <c r="C741" s="70"/>
      <c r="G741" s="30"/>
      <c r="H741" s="77"/>
      <c r="I741" s="77"/>
      <c r="J741" s="58"/>
      <c r="K741" s="58"/>
    </row>
    <row r="742" spans="1:11" s="71" customFormat="1">
      <c r="A742" s="87"/>
      <c r="B742" s="30"/>
      <c r="C742" s="70"/>
      <c r="G742" s="30"/>
      <c r="H742" s="77"/>
      <c r="I742" s="77"/>
      <c r="J742" s="58"/>
      <c r="K742" s="58"/>
    </row>
    <row r="743" spans="1:11" s="71" customFormat="1">
      <c r="A743" s="87"/>
      <c r="B743" s="30"/>
      <c r="C743" s="70"/>
      <c r="G743" s="30"/>
      <c r="H743" s="77"/>
      <c r="I743" s="77"/>
      <c r="J743" s="58"/>
      <c r="K743" s="58"/>
    </row>
    <row r="744" spans="1:11" s="71" customFormat="1">
      <c r="A744" s="87"/>
      <c r="B744" s="30"/>
      <c r="C744" s="70"/>
      <c r="G744" s="30"/>
      <c r="H744" s="77"/>
      <c r="I744" s="77"/>
      <c r="J744" s="58"/>
      <c r="K744" s="58"/>
    </row>
    <row r="745" spans="1:11" s="71" customFormat="1">
      <c r="A745" s="87"/>
      <c r="B745" s="30"/>
      <c r="C745" s="70"/>
      <c r="G745" s="30"/>
      <c r="H745" s="77"/>
      <c r="I745" s="77"/>
      <c r="J745" s="58"/>
      <c r="K745" s="58"/>
    </row>
    <row r="746" spans="1:11" s="71" customFormat="1">
      <c r="A746" s="87"/>
      <c r="B746" s="30"/>
      <c r="C746" s="70"/>
      <c r="G746" s="30"/>
      <c r="H746" s="77"/>
      <c r="I746" s="77"/>
      <c r="J746" s="58"/>
      <c r="K746" s="58"/>
    </row>
    <row r="747" spans="1:11" s="71" customFormat="1">
      <c r="A747" s="87"/>
      <c r="B747" s="30"/>
      <c r="C747" s="70"/>
      <c r="G747" s="30"/>
      <c r="H747" s="77"/>
      <c r="I747" s="77"/>
      <c r="J747" s="58"/>
      <c r="K747" s="58"/>
    </row>
    <row r="748" spans="1:11" s="71" customFormat="1">
      <c r="A748" s="87"/>
      <c r="B748" s="30"/>
      <c r="C748" s="70"/>
      <c r="G748" s="30"/>
      <c r="H748" s="77"/>
      <c r="I748" s="77"/>
      <c r="J748" s="58"/>
      <c r="K748" s="58"/>
    </row>
    <row r="749" spans="1:11" s="71" customFormat="1">
      <c r="A749" s="87"/>
      <c r="B749" s="30"/>
      <c r="C749" s="70"/>
      <c r="G749" s="30"/>
      <c r="H749" s="77"/>
      <c r="I749" s="77"/>
      <c r="J749" s="58"/>
      <c r="K749" s="58"/>
    </row>
    <row r="750" spans="1:11" s="71" customFormat="1">
      <c r="A750" s="87"/>
      <c r="B750" s="30"/>
      <c r="C750" s="70"/>
      <c r="G750" s="30"/>
      <c r="H750" s="77"/>
      <c r="I750" s="77"/>
      <c r="J750" s="58"/>
      <c r="K750" s="58"/>
    </row>
    <row r="751" spans="1:11" s="71" customFormat="1">
      <c r="A751" s="87"/>
      <c r="B751" s="30"/>
      <c r="C751" s="70"/>
      <c r="G751" s="30"/>
      <c r="H751" s="77"/>
      <c r="I751" s="77"/>
      <c r="J751" s="58"/>
      <c r="K751" s="58"/>
    </row>
    <row r="752" spans="1:11" s="71" customFormat="1">
      <c r="A752" s="87"/>
      <c r="B752" s="30"/>
      <c r="C752" s="70"/>
      <c r="G752" s="30"/>
      <c r="H752" s="77"/>
      <c r="I752" s="77"/>
      <c r="J752" s="58"/>
      <c r="K752" s="58"/>
    </row>
    <row r="753" spans="1:11" s="71" customFormat="1">
      <c r="A753" s="87"/>
      <c r="B753" s="30"/>
      <c r="C753" s="70"/>
      <c r="G753" s="30"/>
      <c r="H753" s="77"/>
      <c r="I753" s="77"/>
      <c r="J753" s="58"/>
      <c r="K753" s="58"/>
    </row>
    <row r="754" spans="1:11" s="71" customFormat="1">
      <c r="A754" s="87"/>
      <c r="B754" s="30"/>
      <c r="C754" s="70"/>
      <c r="G754" s="30"/>
      <c r="H754" s="77"/>
      <c r="I754" s="77"/>
      <c r="J754" s="58"/>
      <c r="K754" s="58"/>
    </row>
    <row r="755" spans="1:11" s="71" customFormat="1">
      <c r="A755" s="87"/>
      <c r="B755" s="30"/>
      <c r="C755" s="70"/>
      <c r="G755" s="30"/>
      <c r="H755" s="77"/>
      <c r="I755" s="77"/>
      <c r="J755" s="58"/>
      <c r="K755" s="58"/>
    </row>
    <row r="756" spans="1:11" s="71" customFormat="1">
      <c r="A756" s="87"/>
      <c r="B756" s="30"/>
      <c r="C756" s="70"/>
      <c r="G756" s="30"/>
      <c r="H756" s="77"/>
      <c r="I756" s="77"/>
      <c r="J756" s="58"/>
      <c r="K756" s="58"/>
    </row>
    <row r="757" spans="1:11" s="71" customFormat="1">
      <c r="A757" s="87"/>
      <c r="B757" s="30"/>
      <c r="C757" s="70"/>
      <c r="G757" s="30"/>
      <c r="H757" s="77"/>
      <c r="I757" s="77"/>
      <c r="J757" s="58"/>
      <c r="K757" s="58"/>
    </row>
    <row r="758" spans="1:11" s="71" customFormat="1">
      <c r="A758" s="87"/>
      <c r="B758" s="30"/>
      <c r="C758" s="70"/>
      <c r="G758" s="30"/>
      <c r="H758" s="77"/>
      <c r="I758" s="77"/>
      <c r="J758" s="58"/>
      <c r="K758" s="58"/>
    </row>
    <row r="759" spans="1:11" s="71" customFormat="1">
      <c r="A759" s="87"/>
      <c r="B759" s="30"/>
      <c r="C759" s="70"/>
      <c r="G759" s="30"/>
      <c r="H759" s="77"/>
      <c r="I759" s="77"/>
      <c r="J759" s="58"/>
      <c r="K759" s="58"/>
    </row>
    <row r="760" spans="1:11" s="71" customFormat="1">
      <c r="A760" s="87"/>
      <c r="B760" s="30"/>
      <c r="C760" s="70"/>
      <c r="G760" s="30"/>
      <c r="H760" s="77"/>
      <c r="I760" s="77"/>
      <c r="J760" s="58"/>
      <c r="K760" s="58"/>
    </row>
    <row r="761" spans="1:11" s="71" customFormat="1">
      <c r="A761" s="87"/>
      <c r="B761" s="30"/>
      <c r="C761" s="70"/>
      <c r="G761" s="30"/>
      <c r="H761" s="77"/>
      <c r="I761" s="77"/>
      <c r="J761" s="58"/>
      <c r="K761" s="58"/>
    </row>
    <row r="762" spans="1:11" s="71" customFormat="1">
      <c r="A762" s="87"/>
      <c r="B762" s="30"/>
      <c r="C762" s="70"/>
      <c r="G762" s="30"/>
      <c r="H762" s="77"/>
      <c r="I762" s="77"/>
      <c r="J762" s="58"/>
      <c r="K762" s="58"/>
    </row>
    <row r="763" spans="1:11" s="71" customFormat="1">
      <c r="A763" s="87"/>
      <c r="B763" s="30"/>
      <c r="C763" s="70"/>
      <c r="G763" s="30"/>
      <c r="H763" s="77"/>
      <c r="I763" s="77"/>
      <c r="J763" s="58"/>
      <c r="K763" s="58"/>
    </row>
    <row r="764" spans="1:11" s="71" customFormat="1">
      <c r="A764" s="87"/>
      <c r="B764" s="30"/>
      <c r="C764" s="70"/>
      <c r="G764" s="30"/>
      <c r="H764" s="77"/>
      <c r="I764" s="77"/>
      <c r="J764" s="58"/>
      <c r="K764" s="58"/>
    </row>
    <row r="765" spans="1:11" s="71" customFormat="1">
      <c r="A765" s="87"/>
      <c r="B765" s="30"/>
      <c r="C765" s="70"/>
      <c r="G765" s="30"/>
      <c r="H765" s="77"/>
      <c r="I765" s="77"/>
      <c r="J765" s="58"/>
      <c r="K765" s="58"/>
    </row>
    <row r="766" spans="1:11" s="71" customFormat="1">
      <c r="A766" s="87"/>
      <c r="B766" s="30"/>
      <c r="C766" s="70"/>
      <c r="G766" s="30"/>
      <c r="H766" s="77"/>
      <c r="I766" s="77"/>
      <c r="J766" s="58"/>
      <c r="K766" s="58"/>
    </row>
    <row r="767" spans="1:11" s="71" customFormat="1">
      <c r="A767" s="87"/>
      <c r="B767" s="30"/>
      <c r="C767" s="70"/>
      <c r="G767" s="30"/>
      <c r="H767" s="77"/>
      <c r="I767" s="77"/>
      <c r="J767" s="58"/>
      <c r="K767" s="58"/>
    </row>
    <row r="768" spans="1:11" s="71" customFormat="1">
      <c r="A768" s="87"/>
      <c r="B768" s="30"/>
      <c r="C768" s="70"/>
      <c r="G768" s="30"/>
      <c r="H768" s="77"/>
      <c r="I768" s="77"/>
      <c r="J768" s="58"/>
      <c r="K768" s="58"/>
    </row>
    <row r="769" spans="1:11" s="71" customFormat="1">
      <c r="A769" s="87"/>
      <c r="B769" s="30"/>
      <c r="C769" s="70"/>
      <c r="G769" s="30"/>
      <c r="H769" s="77"/>
      <c r="I769" s="77"/>
      <c r="J769" s="58"/>
      <c r="K769" s="58"/>
    </row>
    <row r="770" spans="1:11" s="71" customFormat="1">
      <c r="A770" s="87"/>
      <c r="B770" s="30"/>
      <c r="C770" s="70"/>
      <c r="G770" s="30"/>
      <c r="H770" s="77"/>
      <c r="I770" s="77"/>
      <c r="J770" s="58"/>
      <c r="K770" s="58"/>
    </row>
    <row r="771" spans="1:11" s="71" customFormat="1">
      <c r="A771" s="87"/>
      <c r="B771" s="30"/>
      <c r="C771" s="70"/>
      <c r="G771" s="30"/>
      <c r="H771" s="77"/>
      <c r="I771" s="77"/>
      <c r="J771" s="58"/>
      <c r="K771" s="58"/>
    </row>
    <row r="772" spans="1:11" s="71" customFormat="1">
      <c r="A772" s="87"/>
      <c r="B772" s="30"/>
      <c r="C772" s="70"/>
      <c r="G772" s="30"/>
      <c r="H772" s="77"/>
      <c r="I772" s="77"/>
      <c r="J772" s="58"/>
      <c r="K772" s="58"/>
    </row>
    <row r="773" spans="1:11" s="71" customFormat="1">
      <c r="A773" s="87"/>
      <c r="B773" s="30"/>
      <c r="C773" s="70"/>
      <c r="G773" s="30"/>
      <c r="H773" s="77"/>
      <c r="I773" s="77"/>
      <c r="J773" s="58"/>
      <c r="K773" s="58"/>
    </row>
    <row r="774" spans="1:11" s="71" customFormat="1">
      <c r="A774" s="87"/>
      <c r="B774" s="30"/>
      <c r="C774" s="70"/>
      <c r="G774" s="30"/>
      <c r="H774" s="77"/>
      <c r="I774" s="77"/>
      <c r="J774" s="58"/>
      <c r="K774" s="58"/>
    </row>
    <row r="775" spans="1:11" s="71" customFormat="1">
      <c r="A775" s="87"/>
      <c r="B775" s="30"/>
      <c r="C775" s="70"/>
      <c r="G775" s="30"/>
      <c r="H775" s="77"/>
      <c r="I775" s="77"/>
      <c r="J775" s="58"/>
      <c r="K775" s="58"/>
    </row>
    <row r="776" spans="1:11" s="71" customFormat="1">
      <c r="A776" s="87"/>
      <c r="B776" s="30"/>
      <c r="C776" s="70"/>
      <c r="G776" s="30"/>
      <c r="H776" s="77"/>
      <c r="I776" s="77"/>
      <c r="J776" s="58"/>
      <c r="K776" s="58"/>
    </row>
    <row r="777" spans="1:11" s="71" customFormat="1">
      <c r="A777" s="87"/>
      <c r="B777" s="30"/>
      <c r="C777" s="70"/>
      <c r="G777" s="30"/>
      <c r="H777" s="77"/>
      <c r="I777" s="77"/>
      <c r="J777" s="58"/>
      <c r="K777" s="58"/>
    </row>
    <row r="778" spans="1:11" s="71" customFormat="1">
      <c r="A778" s="87"/>
      <c r="B778" s="30"/>
      <c r="C778" s="70"/>
      <c r="G778" s="30"/>
      <c r="H778" s="77"/>
      <c r="I778" s="77"/>
      <c r="J778" s="58"/>
      <c r="K778" s="58"/>
    </row>
    <row r="779" spans="1:11" s="71" customFormat="1">
      <c r="A779" s="87"/>
      <c r="B779" s="30"/>
      <c r="C779" s="70"/>
      <c r="G779" s="30"/>
      <c r="H779" s="77"/>
      <c r="I779" s="77"/>
      <c r="J779" s="58"/>
      <c r="K779" s="58"/>
    </row>
    <row r="780" spans="1:11" s="71" customFormat="1">
      <c r="A780" s="87"/>
      <c r="B780" s="30"/>
      <c r="C780" s="70"/>
      <c r="G780" s="30"/>
      <c r="H780" s="77"/>
      <c r="I780" s="77"/>
      <c r="J780" s="58"/>
      <c r="K780" s="58"/>
    </row>
    <row r="781" spans="1:11" s="71" customFormat="1">
      <c r="A781" s="87"/>
      <c r="B781" s="30"/>
      <c r="C781" s="70"/>
      <c r="G781" s="30"/>
      <c r="H781" s="77"/>
      <c r="I781" s="77"/>
      <c r="J781" s="58"/>
      <c r="K781" s="58"/>
    </row>
    <row r="782" spans="1:11" s="71" customFormat="1">
      <c r="A782" s="87"/>
      <c r="B782" s="30"/>
      <c r="C782" s="70"/>
      <c r="G782" s="30"/>
      <c r="H782" s="77"/>
      <c r="I782" s="77"/>
      <c r="J782" s="58"/>
      <c r="K782" s="58"/>
    </row>
    <row r="783" spans="1:11" s="71" customFormat="1">
      <c r="A783" s="87"/>
      <c r="B783" s="30"/>
      <c r="C783" s="70"/>
      <c r="G783" s="30"/>
      <c r="H783" s="77"/>
      <c r="I783" s="77"/>
      <c r="J783" s="58"/>
      <c r="K783" s="58"/>
    </row>
    <row r="784" spans="1:11" s="71" customFormat="1">
      <c r="A784" s="87"/>
      <c r="B784" s="30"/>
      <c r="C784" s="70"/>
      <c r="G784" s="30"/>
      <c r="H784" s="77"/>
      <c r="I784" s="77"/>
      <c r="J784" s="58"/>
      <c r="K784" s="58"/>
    </row>
    <row r="785" spans="1:11" s="71" customFormat="1">
      <c r="A785" s="87"/>
      <c r="B785" s="30"/>
      <c r="C785" s="70"/>
      <c r="G785" s="30"/>
      <c r="H785" s="77"/>
      <c r="I785" s="77"/>
      <c r="J785" s="58"/>
      <c r="K785" s="58"/>
    </row>
    <row r="786" spans="1:11" s="71" customFormat="1">
      <c r="A786" s="87"/>
      <c r="B786" s="30"/>
      <c r="C786" s="70"/>
      <c r="G786" s="30"/>
      <c r="H786" s="77"/>
      <c r="I786" s="77"/>
      <c r="J786" s="58"/>
      <c r="K786" s="58"/>
    </row>
    <row r="787" spans="1:11" s="71" customFormat="1">
      <c r="A787" s="87"/>
      <c r="B787" s="30"/>
      <c r="C787" s="70"/>
      <c r="G787" s="30"/>
      <c r="H787" s="77"/>
      <c r="I787" s="77"/>
      <c r="J787" s="58"/>
      <c r="K787" s="58"/>
    </row>
    <row r="788" spans="1:11" s="71" customFormat="1">
      <c r="A788" s="87"/>
      <c r="B788" s="30"/>
      <c r="C788" s="70"/>
      <c r="G788" s="30"/>
      <c r="H788" s="77"/>
      <c r="I788" s="77"/>
      <c r="J788" s="58"/>
      <c r="K788" s="58"/>
    </row>
    <row r="789" spans="1:11" s="71" customFormat="1">
      <c r="A789" s="87"/>
      <c r="B789" s="30"/>
      <c r="C789" s="70"/>
      <c r="G789" s="30"/>
      <c r="H789" s="77"/>
      <c r="I789" s="77"/>
      <c r="J789" s="58"/>
      <c r="K789" s="58"/>
    </row>
    <row r="790" spans="1:11" s="71" customFormat="1">
      <c r="A790" s="87"/>
      <c r="B790" s="30"/>
      <c r="C790" s="70"/>
      <c r="G790" s="30"/>
      <c r="H790" s="77"/>
      <c r="I790" s="77"/>
      <c r="J790" s="58"/>
      <c r="K790" s="58"/>
    </row>
    <row r="791" spans="1:11" s="71" customFormat="1">
      <c r="A791" s="87"/>
      <c r="B791" s="30"/>
      <c r="C791" s="70"/>
      <c r="G791" s="30"/>
      <c r="H791" s="77"/>
      <c r="I791" s="77"/>
      <c r="J791" s="58"/>
      <c r="K791" s="58"/>
    </row>
    <row r="792" spans="1:11" s="71" customFormat="1">
      <c r="A792" s="87"/>
      <c r="B792" s="30"/>
      <c r="C792" s="70"/>
      <c r="G792" s="30"/>
      <c r="H792" s="77"/>
      <c r="I792" s="77"/>
      <c r="J792" s="58"/>
      <c r="K792" s="58"/>
    </row>
    <row r="793" spans="1:11" s="71" customFormat="1">
      <c r="A793" s="87"/>
      <c r="B793" s="30"/>
      <c r="C793" s="70"/>
      <c r="G793" s="30"/>
      <c r="H793" s="77"/>
      <c r="I793" s="77"/>
      <c r="J793" s="58"/>
      <c r="K793" s="58"/>
    </row>
    <row r="794" spans="1:11" s="71" customFormat="1">
      <c r="A794" s="87"/>
      <c r="B794" s="30"/>
      <c r="C794" s="70"/>
      <c r="G794" s="30"/>
      <c r="H794" s="77"/>
      <c r="I794" s="77"/>
      <c r="J794" s="58"/>
      <c r="K794" s="58"/>
    </row>
    <row r="795" spans="1:11" s="71" customFormat="1">
      <c r="A795" s="87"/>
      <c r="B795" s="30"/>
      <c r="C795" s="70"/>
      <c r="G795" s="30"/>
      <c r="H795" s="77"/>
      <c r="I795" s="77"/>
      <c r="J795" s="58"/>
      <c r="K795" s="58"/>
    </row>
    <row r="796" spans="1:11" s="71" customFormat="1">
      <c r="A796" s="87"/>
      <c r="B796" s="30"/>
      <c r="C796" s="70"/>
      <c r="G796" s="30"/>
      <c r="H796" s="77"/>
      <c r="I796" s="77"/>
      <c r="J796" s="58"/>
      <c r="K796" s="58"/>
    </row>
    <row r="797" spans="1:11" s="71" customFormat="1">
      <c r="A797" s="87"/>
      <c r="B797" s="30"/>
      <c r="C797" s="70"/>
      <c r="G797" s="30"/>
      <c r="H797" s="77"/>
      <c r="I797" s="77"/>
      <c r="J797" s="58"/>
      <c r="K797" s="58"/>
    </row>
    <row r="798" spans="1:11" s="71" customFormat="1">
      <c r="A798" s="87"/>
      <c r="B798" s="30"/>
      <c r="C798" s="70"/>
      <c r="G798" s="30"/>
      <c r="H798" s="77"/>
      <c r="I798" s="77"/>
      <c r="J798" s="58"/>
      <c r="K798" s="58"/>
    </row>
    <row r="799" spans="1:11" s="71" customFormat="1">
      <c r="A799" s="87"/>
      <c r="B799" s="30"/>
      <c r="C799" s="70"/>
      <c r="G799" s="30"/>
      <c r="H799" s="77"/>
      <c r="I799" s="77"/>
      <c r="J799" s="58"/>
      <c r="K799" s="58"/>
    </row>
    <row r="800" spans="1:11" s="71" customFormat="1">
      <c r="A800" s="87"/>
      <c r="B800" s="30"/>
      <c r="C800" s="70"/>
      <c r="G800" s="30"/>
      <c r="H800" s="77"/>
      <c r="I800" s="77"/>
      <c r="J800" s="58"/>
      <c r="K800" s="58"/>
    </row>
    <row r="801" spans="1:11" s="71" customFormat="1">
      <c r="A801" s="87"/>
      <c r="B801" s="30"/>
      <c r="C801" s="70"/>
      <c r="G801" s="30"/>
      <c r="H801" s="77"/>
      <c r="I801" s="77"/>
      <c r="J801" s="58"/>
      <c r="K801" s="58"/>
    </row>
    <row r="802" spans="1:11" s="71" customFormat="1">
      <c r="A802" s="87"/>
      <c r="B802" s="30"/>
      <c r="C802" s="70"/>
      <c r="G802" s="30"/>
      <c r="H802" s="77"/>
      <c r="I802" s="77"/>
      <c r="J802" s="58"/>
      <c r="K802" s="58"/>
    </row>
    <row r="803" spans="1:11" s="71" customFormat="1">
      <c r="A803" s="87"/>
      <c r="B803" s="30"/>
      <c r="C803" s="70"/>
      <c r="G803" s="30"/>
      <c r="H803" s="77"/>
      <c r="I803" s="77"/>
      <c r="J803" s="58"/>
      <c r="K803" s="58"/>
    </row>
    <row r="804" spans="1:11" s="71" customFormat="1">
      <c r="A804" s="87"/>
      <c r="B804" s="30"/>
      <c r="C804" s="70"/>
      <c r="G804" s="30"/>
      <c r="H804" s="77"/>
      <c r="I804" s="77"/>
      <c r="J804" s="58"/>
      <c r="K804" s="58"/>
    </row>
    <row r="805" spans="1:11" s="71" customFormat="1">
      <c r="A805" s="87"/>
      <c r="B805" s="30"/>
      <c r="C805" s="70"/>
      <c r="G805" s="30"/>
      <c r="H805" s="77"/>
      <c r="I805" s="77"/>
      <c r="J805" s="58"/>
      <c r="K805" s="58"/>
    </row>
    <row r="806" spans="1:11" s="71" customFormat="1">
      <c r="A806" s="87"/>
      <c r="B806" s="30"/>
      <c r="C806" s="70"/>
      <c r="G806" s="30"/>
      <c r="H806" s="77"/>
      <c r="I806" s="77"/>
      <c r="J806" s="58"/>
      <c r="K806" s="58"/>
    </row>
    <row r="807" spans="1:11" s="71" customFormat="1">
      <c r="A807" s="87"/>
      <c r="B807" s="30"/>
      <c r="C807" s="70"/>
      <c r="G807" s="30"/>
      <c r="H807" s="77"/>
      <c r="I807" s="77"/>
      <c r="J807" s="58"/>
      <c r="K807" s="58"/>
    </row>
    <row r="808" spans="1:11" s="71" customFormat="1">
      <c r="A808" s="87"/>
      <c r="B808" s="30"/>
      <c r="C808" s="70"/>
      <c r="G808" s="30"/>
      <c r="H808" s="77"/>
      <c r="I808" s="77"/>
      <c r="J808" s="58"/>
      <c r="K808" s="58"/>
    </row>
    <row r="809" spans="1:11" s="71" customFormat="1">
      <c r="A809" s="87"/>
      <c r="B809" s="30"/>
      <c r="C809" s="70"/>
      <c r="G809" s="30"/>
      <c r="H809" s="77"/>
      <c r="I809" s="77"/>
      <c r="J809" s="58"/>
      <c r="K809" s="58"/>
    </row>
    <row r="810" spans="1:11" s="71" customFormat="1">
      <c r="A810" s="87"/>
      <c r="B810" s="30"/>
      <c r="C810" s="70"/>
      <c r="G810" s="30"/>
      <c r="H810" s="77"/>
      <c r="I810" s="77"/>
      <c r="J810" s="58"/>
      <c r="K810" s="58"/>
    </row>
    <row r="811" spans="1:11" s="71" customFormat="1">
      <c r="A811" s="87"/>
      <c r="B811" s="30"/>
      <c r="C811" s="70"/>
      <c r="G811" s="30"/>
      <c r="H811" s="77"/>
      <c r="I811" s="77"/>
      <c r="J811" s="58"/>
      <c r="K811" s="58"/>
    </row>
    <row r="812" spans="1:11" s="71" customFormat="1">
      <c r="A812" s="87"/>
      <c r="B812" s="30"/>
      <c r="C812" s="70"/>
      <c r="G812" s="30"/>
      <c r="H812" s="77"/>
      <c r="I812" s="77"/>
      <c r="J812" s="58"/>
      <c r="K812" s="58"/>
    </row>
    <row r="813" spans="1:11" s="71" customFormat="1">
      <c r="A813" s="87"/>
      <c r="B813" s="30"/>
      <c r="C813" s="70"/>
      <c r="G813" s="30"/>
      <c r="H813" s="77"/>
      <c r="I813" s="77"/>
      <c r="J813" s="58"/>
      <c r="K813" s="58"/>
    </row>
    <row r="814" spans="1:11" s="71" customFormat="1">
      <c r="A814" s="87"/>
      <c r="B814" s="30"/>
      <c r="C814" s="70"/>
      <c r="G814" s="30"/>
      <c r="H814" s="77"/>
      <c r="I814" s="77"/>
      <c r="J814" s="58"/>
      <c r="K814" s="58"/>
    </row>
    <row r="815" spans="1:11" s="71" customFormat="1">
      <c r="A815" s="87"/>
      <c r="B815" s="30"/>
      <c r="C815" s="70"/>
      <c r="G815" s="30"/>
      <c r="H815" s="77"/>
      <c r="I815" s="77"/>
      <c r="J815" s="58"/>
      <c r="K815" s="58"/>
    </row>
    <row r="816" spans="1:11" s="71" customFormat="1">
      <c r="A816" s="87"/>
      <c r="B816" s="30"/>
      <c r="C816" s="70"/>
      <c r="G816" s="30"/>
      <c r="H816" s="77"/>
      <c r="I816" s="77"/>
      <c r="J816" s="58"/>
      <c r="K816" s="58"/>
    </row>
    <row r="817" spans="1:11" s="71" customFormat="1">
      <c r="A817" s="87"/>
      <c r="B817" s="30"/>
      <c r="C817" s="70"/>
      <c r="G817" s="30"/>
      <c r="H817" s="77"/>
      <c r="I817" s="77"/>
      <c r="J817" s="58"/>
      <c r="K817" s="58"/>
    </row>
    <row r="818" spans="1:11" s="71" customFormat="1">
      <c r="A818" s="87"/>
      <c r="B818" s="30"/>
      <c r="C818" s="70"/>
      <c r="G818" s="30"/>
      <c r="H818" s="77"/>
      <c r="I818" s="77"/>
      <c r="J818" s="58"/>
      <c r="K818" s="58"/>
    </row>
    <row r="819" spans="1:11" s="71" customFormat="1">
      <c r="A819" s="87"/>
      <c r="B819" s="30"/>
      <c r="C819" s="70"/>
      <c r="G819" s="30"/>
      <c r="H819" s="77"/>
      <c r="I819" s="77"/>
      <c r="J819" s="58"/>
      <c r="K819" s="58"/>
    </row>
    <row r="820" spans="1:11" s="71" customFormat="1">
      <c r="A820" s="87"/>
      <c r="B820" s="30"/>
      <c r="C820" s="70"/>
      <c r="G820" s="30"/>
      <c r="H820" s="77"/>
      <c r="I820" s="77"/>
      <c r="J820" s="58"/>
      <c r="K820" s="58"/>
    </row>
    <row r="821" spans="1:11" s="71" customFormat="1">
      <c r="A821" s="87"/>
      <c r="B821" s="30"/>
      <c r="C821" s="70"/>
      <c r="G821" s="30"/>
      <c r="H821" s="77"/>
      <c r="I821" s="77"/>
      <c r="J821" s="58"/>
      <c r="K821" s="58"/>
    </row>
    <row r="822" spans="1:11" s="71" customFormat="1">
      <c r="A822" s="87"/>
      <c r="B822" s="30"/>
      <c r="C822" s="70"/>
      <c r="G822" s="30"/>
      <c r="H822" s="77"/>
      <c r="I822" s="77"/>
      <c r="J822" s="58"/>
      <c r="K822" s="58"/>
    </row>
    <row r="823" spans="1:11" s="71" customFormat="1">
      <c r="A823" s="87"/>
      <c r="B823" s="30"/>
      <c r="C823" s="70"/>
      <c r="G823" s="30"/>
      <c r="H823" s="77"/>
      <c r="I823" s="77"/>
      <c r="J823" s="58"/>
      <c r="K823" s="58"/>
    </row>
    <row r="824" spans="1:11" s="71" customFormat="1">
      <c r="A824" s="87"/>
      <c r="B824" s="30"/>
      <c r="C824" s="70"/>
      <c r="G824" s="30"/>
      <c r="H824" s="77"/>
      <c r="I824" s="77"/>
      <c r="J824" s="58"/>
      <c r="K824" s="58"/>
    </row>
    <row r="825" spans="1:11" s="71" customFormat="1">
      <c r="A825" s="87"/>
      <c r="B825" s="30"/>
      <c r="C825" s="70"/>
      <c r="G825" s="30"/>
      <c r="H825" s="77"/>
      <c r="I825" s="77"/>
      <c r="J825" s="58"/>
      <c r="K825" s="58"/>
    </row>
    <row r="826" spans="1:11" s="71" customFormat="1">
      <c r="A826" s="87"/>
      <c r="B826" s="30"/>
      <c r="C826" s="70"/>
      <c r="G826" s="30"/>
      <c r="H826" s="77"/>
      <c r="I826" s="77"/>
      <c r="J826" s="58"/>
      <c r="K826" s="58"/>
    </row>
    <row r="827" spans="1:11" s="71" customFormat="1">
      <c r="A827" s="87"/>
      <c r="B827" s="30"/>
      <c r="C827" s="70"/>
      <c r="G827" s="30"/>
      <c r="H827" s="77"/>
      <c r="I827" s="77"/>
      <c r="J827" s="58"/>
      <c r="K827" s="58"/>
    </row>
    <row r="828" spans="1:11" s="71" customFormat="1">
      <c r="A828" s="87"/>
      <c r="B828" s="30"/>
      <c r="C828" s="70"/>
      <c r="G828" s="30"/>
      <c r="H828" s="77"/>
      <c r="I828" s="77"/>
      <c r="J828" s="58"/>
      <c r="K828" s="58"/>
    </row>
    <row r="829" spans="1:11" s="71" customFormat="1">
      <c r="A829" s="87"/>
      <c r="B829" s="30"/>
      <c r="C829" s="70"/>
      <c r="G829" s="30"/>
      <c r="H829" s="77"/>
      <c r="I829" s="77"/>
      <c r="J829" s="58"/>
      <c r="K829" s="58"/>
    </row>
    <row r="830" spans="1:11" s="71" customFormat="1">
      <c r="A830" s="87"/>
      <c r="B830" s="30"/>
      <c r="C830" s="70"/>
      <c r="G830" s="30"/>
      <c r="H830" s="77"/>
      <c r="I830" s="77"/>
      <c r="J830" s="58"/>
      <c r="K830" s="58"/>
    </row>
    <row r="831" spans="1:11" s="71" customFormat="1">
      <c r="A831" s="87"/>
      <c r="B831" s="30"/>
      <c r="C831" s="70"/>
      <c r="G831" s="30"/>
      <c r="H831" s="77"/>
      <c r="I831" s="77"/>
      <c r="J831" s="58"/>
      <c r="K831" s="58"/>
    </row>
    <row r="832" spans="1:11" s="71" customFormat="1">
      <c r="A832" s="87"/>
      <c r="B832" s="30"/>
      <c r="C832" s="70"/>
      <c r="G832" s="30"/>
      <c r="H832" s="77"/>
      <c r="I832" s="77"/>
      <c r="J832" s="58"/>
      <c r="K832" s="58"/>
    </row>
    <row r="833" spans="1:11" s="71" customFormat="1">
      <c r="A833" s="87"/>
      <c r="B833" s="30"/>
      <c r="C833" s="70"/>
      <c r="G833" s="30"/>
      <c r="H833" s="77"/>
      <c r="I833" s="77"/>
      <c r="J833" s="58"/>
      <c r="K833" s="58"/>
    </row>
    <row r="834" spans="1:11" s="71" customFormat="1">
      <c r="A834" s="87"/>
      <c r="B834" s="30"/>
      <c r="C834" s="70"/>
      <c r="G834" s="30"/>
      <c r="H834" s="77"/>
      <c r="I834" s="77"/>
      <c r="J834" s="58"/>
      <c r="K834" s="58"/>
    </row>
    <row r="835" spans="1:11" s="71" customFormat="1">
      <c r="A835" s="87"/>
      <c r="B835" s="30"/>
      <c r="C835" s="70"/>
      <c r="G835" s="30"/>
      <c r="H835" s="77"/>
      <c r="I835" s="77"/>
      <c r="J835" s="58"/>
      <c r="K835" s="58"/>
    </row>
    <row r="836" spans="1:11" s="71" customFormat="1">
      <c r="A836" s="87"/>
      <c r="B836" s="30"/>
      <c r="C836" s="70"/>
      <c r="G836" s="30"/>
      <c r="H836" s="77"/>
      <c r="I836" s="77"/>
      <c r="J836" s="58"/>
      <c r="K836" s="58"/>
    </row>
    <row r="837" spans="1:11" s="71" customFormat="1">
      <c r="A837" s="87"/>
      <c r="B837" s="30"/>
      <c r="C837" s="70"/>
      <c r="G837" s="30"/>
      <c r="H837" s="77"/>
      <c r="I837" s="77"/>
      <c r="J837" s="58"/>
      <c r="K837" s="58"/>
    </row>
    <row r="838" spans="1:11" s="71" customFormat="1">
      <c r="A838" s="87"/>
      <c r="B838" s="30"/>
      <c r="C838" s="70"/>
      <c r="G838" s="30"/>
      <c r="H838" s="77"/>
      <c r="I838" s="77"/>
      <c r="J838" s="58"/>
      <c r="K838" s="58"/>
    </row>
    <row r="839" spans="1:11" s="71" customFormat="1">
      <c r="A839" s="87"/>
      <c r="B839" s="30"/>
      <c r="C839" s="70"/>
      <c r="G839" s="30"/>
      <c r="H839" s="77"/>
      <c r="I839" s="77"/>
      <c r="J839" s="58"/>
      <c r="K839" s="58"/>
    </row>
    <row r="840" spans="1:11" s="71" customFormat="1">
      <c r="A840" s="87"/>
      <c r="B840" s="30"/>
      <c r="C840" s="70"/>
      <c r="G840" s="30"/>
      <c r="H840" s="77"/>
      <c r="I840" s="77"/>
      <c r="J840" s="58"/>
      <c r="K840" s="58"/>
    </row>
    <row r="841" spans="1:11" s="71" customFormat="1">
      <c r="A841" s="87"/>
      <c r="B841" s="30"/>
      <c r="C841" s="70"/>
      <c r="G841" s="30"/>
      <c r="H841" s="77"/>
      <c r="I841" s="77"/>
      <c r="J841" s="58"/>
      <c r="K841" s="58"/>
    </row>
    <row r="842" spans="1:11" s="71" customFormat="1">
      <c r="A842" s="87"/>
      <c r="B842" s="30"/>
      <c r="C842" s="70"/>
      <c r="G842" s="30"/>
      <c r="H842" s="77"/>
      <c r="I842" s="77"/>
      <c r="J842" s="58"/>
      <c r="K842" s="58"/>
    </row>
    <row r="843" spans="1:11" s="71" customFormat="1">
      <c r="A843" s="87"/>
      <c r="B843" s="30"/>
      <c r="C843" s="70"/>
      <c r="G843" s="30"/>
      <c r="H843" s="77"/>
      <c r="I843" s="77"/>
      <c r="J843" s="58"/>
      <c r="K843" s="58"/>
    </row>
    <row r="844" spans="1:11" s="71" customFormat="1">
      <c r="A844" s="87"/>
      <c r="B844" s="30"/>
      <c r="C844" s="70"/>
      <c r="G844" s="30"/>
      <c r="H844" s="77"/>
      <c r="I844" s="77"/>
      <c r="J844" s="58"/>
      <c r="K844" s="58"/>
    </row>
    <row r="845" spans="1:11" s="71" customFormat="1">
      <c r="A845" s="87"/>
      <c r="B845" s="30"/>
      <c r="C845" s="70"/>
      <c r="G845" s="30"/>
      <c r="H845" s="77"/>
      <c r="I845" s="77"/>
      <c r="J845" s="58"/>
      <c r="K845" s="58"/>
    </row>
    <row r="846" spans="1:11" s="71" customFormat="1">
      <c r="A846" s="87"/>
      <c r="B846" s="30"/>
      <c r="C846" s="70"/>
      <c r="G846" s="30"/>
      <c r="H846" s="77"/>
      <c r="I846" s="77"/>
      <c r="J846" s="58"/>
      <c r="K846" s="58"/>
    </row>
    <row r="847" spans="1:11" s="71" customFormat="1">
      <c r="A847" s="87"/>
      <c r="B847" s="30"/>
      <c r="C847" s="70"/>
      <c r="G847" s="30"/>
      <c r="H847" s="77"/>
      <c r="I847" s="77"/>
      <c r="J847" s="58"/>
      <c r="K847" s="58"/>
    </row>
    <row r="848" spans="1:11" s="71" customFormat="1">
      <c r="A848" s="87"/>
      <c r="B848" s="30"/>
      <c r="C848" s="70"/>
      <c r="G848" s="30"/>
      <c r="H848" s="77"/>
      <c r="I848" s="77"/>
      <c r="J848" s="58"/>
      <c r="K848" s="58"/>
    </row>
    <row r="849" spans="1:11" s="71" customFormat="1">
      <c r="A849" s="87"/>
      <c r="B849" s="30"/>
      <c r="C849" s="70"/>
      <c r="G849" s="30"/>
      <c r="H849" s="77"/>
      <c r="I849" s="77"/>
      <c r="J849" s="58"/>
      <c r="K849" s="58"/>
    </row>
    <row r="850" spans="1:11" s="71" customFormat="1">
      <c r="A850" s="87"/>
      <c r="B850" s="30"/>
      <c r="C850" s="70"/>
      <c r="G850" s="30"/>
      <c r="H850" s="77"/>
      <c r="I850" s="77"/>
      <c r="J850" s="58"/>
      <c r="K850" s="58"/>
    </row>
    <row r="851" spans="1:11" s="71" customFormat="1">
      <c r="A851" s="87"/>
      <c r="B851" s="30"/>
      <c r="C851" s="70"/>
      <c r="G851" s="30"/>
      <c r="H851" s="77"/>
      <c r="I851" s="77"/>
      <c r="J851" s="58"/>
      <c r="K851" s="58"/>
    </row>
    <row r="852" spans="1:11" s="71" customFormat="1">
      <c r="A852" s="87"/>
      <c r="B852" s="30"/>
      <c r="C852" s="70"/>
      <c r="G852" s="30"/>
      <c r="H852" s="77"/>
      <c r="I852" s="77"/>
      <c r="J852" s="58"/>
      <c r="K852" s="58"/>
    </row>
    <row r="853" spans="1:11" s="71" customFormat="1">
      <c r="A853" s="87"/>
      <c r="B853" s="30"/>
      <c r="C853" s="70"/>
      <c r="G853" s="30"/>
      <c r="H853" s="77"/>
      <c r="I853" s="77"/>
      <c r="J853" s="58"/>
      <c r="K853" s="58"/>
    </row>
    <row r="854" spans="1:11" s="71" customFormat="1">
      <c r="A854" s="87"/>
      <c r="B854" s="30"/>
      <c r="C854" s="70"/>
      <c r="G854" s="30"/>
      <c r="H854" s="77"/>
      <c r="I854" s="77"/>
      <c r="J854" s="58"/>
      <c r="K854" s="58"/>
    </row>
    <row r="855" spans="1:11" s="71" customFormat="1">
      <c r="A855" s="87"/>
      <c r="B855" s="30"/>
      <c r="C855" s="70"/>
      <c r="G855" s="30"/>
      <c r="H855" s="77"/>
      <c r="I855" s="77"/>
      <c r="J855" s="58"/>
      <c r="K855" s="58"/>
    </row>
    <row r="856" spans="1:11" s="71" customFormat="1">
      <c r="A856" s="87"/>
      <c r="B856" s="30"/>
      <c r="C856" s="70"/>
      <c r="G856" s="30"/>
      <c r="H856" s="77"/>
      <c r="I856" s="77"/>
      <c r="J856" s="58"/>
      <c r="K856" s="58"/>
    </row>
    <row r="857" spans="1:11" s="71" customFormat="1">
      <c r="A857" s="87"/>
      <c r="B857" s="30"/>
      <c r="C857" s="70"/>
      <c r="G857" s="30"/>
      <c r="H857" s="77"/>
      <c r="I857" s="77"/>
      <c r="J857" s="58"/>
      <c r="K857" s="58"/>
    </row>
    <row r="858" spans="1:11" s="71" customFormat="1">
      <c r="A858" s="87"/>
      <c r="B858" s="30"/>
      <c r="C858" s="70"/>
      <c r="G858" s="30"/>
      <c r="H858" s="77"/>
      <c r="I858" s="77"/>
      <c r="J858" s="58"/>
      <c r="K858" s="58"/>
    </row>
    <row r="859" spans="1:11" s="71" customFormat="1">
      <c r="A859" s="87"/>
      <c r="B859" s="30"/>
      <c r="C859" s="70"/>
      <c r="G859" s="30"/>
      <c r="H859" s="77"/>
      <c r="I859" s="77"/>
      <c r="J859" s="58"/>
      <c r="K859" s="58"/>
    </row>
    <row r="860" spans="1:11" s="71" customFormat="1">
      <c r="A860" s="87"/>
      <c r="B860" s="30"/>
      <c r="C860" s="70"/>
      <c r="G860" s="30"/>
      <c r="H860" s="77"/>
      <c r="I860" s="77"/>
      <c r="J860" s="58"/>
      <c r="K860" s="58"/>
    </row>
    <row r="861" spans="1:11" s="71" customFormat="1">
      <c r="A861" s="87"/>
      <c r="B861" s="30"/>
      <c r="C861" s="70"/>
      <c r="G861" s="30"/>
      <c r="H861" s="77"/>
      <c r="I861" s="77"/>
      <c r="J861" s="58"/>
      <c r="K861" s="58"/>
    </row>
    <row r="862" spans="1:11" s="71" customFormat="1">
      <c r="A862" s="87"/>
      <c r="B862" s="30"/>
      <c r="C862" s="70"/>
      <c r="G862" s="30"/>
      <c r="H862" s="77"/>
      <c r="I862" s="77"/>
      <c r="J862" s="58"/>
      <c r="K862" s="58"/>
    </row>
    <row r="863" spans="1:11" s="71" customFormat="1">
      <c r="A863" s="87"/>
      <c r="B863" s="30"/>
      <c r="C863" s="70"/>
      <c r="G863" s="30"/>
      <c r="H863" s="77"/>
      <c r="I863" s="77"/>
      <c r="J863" s="58"/>
      <c r="K863" s="58"/>
    </row>
    <row r="864" spans="1:11" s="71" customFormat="1">
      <c r="A864" s="87"/>
      <c r="B864" s="30"/>
      <c r="C864" s="70"/>
      <c r="G864" s="30"/>
      <c r="H864" s="77"/>
      <c r="I864" s="77"/>
      <c r="J864" s="58"/>
      <c r="K864" s="58"/>
    </row>
    <row r="865" spans="1:11" s="71" customFormat="1">
      <c r="A865" s="87"/>
      <c r="B865" s="30"/>
      <c r="C865" s="70"/>
      <c r="G865" s="30"/>
      <c r="H865" s="77"/>
      <c r="I865" s="77"/>
      <c r="J865" s="58"/>
      <c r="K865" s="58"/>
    </row>
    <row r="866" spans="1:11" s="71" customFormat="1">
      <c r="A866" s="87"/>
      <c r="B866" s="30"/>
      <c r="C866" s="70"/>
      <c r="G866" s="30"/>
      <c r="H866" s="77"/>
      <c r="I866" s="77"/>
      <c r="J866" s="58"/>
      <c r="K866" s="58"/>
    </row>
    <row r="867" spans="1:11" s="71" customFormat="1">
      <c r="A867" s="87"/>
      <c r="B867" s="30"/>
      <c r="C867" s="70"/>
      <c r="G867" s="30"/>
      <c r="H867" s="77"/>
      <c r="I867" s="77"/>
      <c r="J867" s="58"/>
      <c r="K867" s="58"/>
    </row>
    <row r="868" spans="1:11" s="71" customFormat="1">
      <c r="A868" s="87"/>
      <c r="B868" s="30"/>
      <c r="C868" s="70"/>
      <c r="G868" s="30"/>
      <c r="H868" s="77"/>
      <c r="I868" s="77"/>
      <c r="J868" s="58"/>
      <c r="K868" s="58"/>
    </row>
    <row r="869" spans="1:11" s="71" customFormat="1">
      <c r="A869" s="87"/>
      <c r="B869" s="30"/>
      <c r="C869" s="70"/>
      <c r="G869" s="30"/>
      <c r="H869" s="77"/>
      <c r="I869" s="77"/>
      <c r="J869" s="58"/>
      <c r="K869" s="58"/>
    </row>
    <row r="870" spans="1:11" s="71" customFormat="1">
      <c r="A870" s="87"/>
      <c r="B870" s="30"/>
      <c r="C870" s="70"/>
      <c r="G870" s="30"/>
      <c r="H870" s="77"/>
      <c r="I870" s="77"/>
      <c r="J870" s="58"/>
      <c r="K870" s="58"/>
    </row>
    <row r="871" spans="1:11" s="71" customFormat="1">
      <c r="A871" s="87"/>
      <c r="B871" s="30"/>
      <c r="C871" s="70"/>
      <c r="G871" s="30"/>
      <c r="H871" s="77"/>
      <c r="I871" s="77"/>
      <c r="J871" s="58"/>
      <c r="K871" s="58"/>
    </row>
    <row r="872" spans="1:11" s="71" customFormat="1">
      <c r="A872" s="87"/>
      <c r="B872" s="30"/>
      <c r="C872" s="70"/>
      <c r="G872" s="30"/>
      <c r="H872" s="77"/>
      <c r="I872" s="77"/>
      <c r="J872" s="58"/>
      <c r="K872" s="58"/>
    </row>
    <row r="873" spans="1:11" s="71" customFormat="1">
      <c r="A873" s="87"/>
      <c r="B873" s="30"/>
      <c r="C873" s="70"/>
      <c r="G873" s="30"/>
      <c r="H873" s="77"/>
      <c r="I873" s="77"/>
      <c r="J873" s="58"/>
      <c r="K873" s="58"/>
    </row>
    <row r="874" spans="1:11" s="71" customFormat="1">
      <c r="A874" s="87"/>
      <c r="B874" s="30"/>
      <c r="C874" s="70"/>
      <c r="G874" s="30"/>
      <c r="H874" s="77"/>
      <c r="I874" s="77"/>
      <c r="J874" s="58"/>
      <c r="K874" s="58"/>
    </row>
    <row r="875" spans="1:11" s="71" customFormat="1">
      <c r="A875" s="87"/>
      <c r="B875" s="30"/>
      <c r="C875" s="70"/>
      <c r="G875" s="30"/>
      <c r="H875" s="77"/>
      <c r="I875" s="77"/>
      <c r="J875" s="58"/>
      <c r="K875" s="58"/>
    </row>
    <row r="876" spans="1:11" s="71" customFormat="1">
      <c r="A876" s="87"/>
      <c r="B876" s="30"/>
      <c r="C876" s="70"/>
      <c r="G876" s="30"/>
      <c r="H876" s="77"/>
      <c r="I876" s="77"/>
      <c r="J876" s="58"/>
      <c r="K876" s="58"/>
    </row>
    <row r="877" spans="1:11" s="71" customFormat="1">
      <c r="A877" s="87"/>
      <c r="B877" s="30"/>
      <c r="C877" s="70"/>
      <c r="G877" s="30"/>
      <c r="H877" s="77"/>
      <c r="I877" s="77"/>
      <c r="J877" s="58"/>
      <c r="K877" s="58"/>
    </row>
    <row r="878" spans="1:11" s="71" customFormat="1">
      <c r="A878" s="87"/>
      <c r="B878" s="30"/>
      <c r="C878" s="70"/>
      <c r="G878" s="30"/>
      <c r="H878" s="77"/>
      <c r="I878" s="77"/>
      <c r="J878" s="58"/>
      <c r="K878" s="58"/>
    </row>
    <row r="879" spans="1:11" s="71" customFormat="1">
      <c r="A879" s="87"/>
      <c r="B879" s="30"/>
      <c r="C879" s="70"/>
      <c r="G879" s="30"/>
      <c r="H879" s="77"/>
      <c r="I879" s="77"/>
      <c r="J879" s="58"/>
      <c r="K879" s="58"/>
    </row>
    <row r="880" spans="1:11" s="71" customFormat="1">
      <c r="A880" s="87"/>
      <c r="B880" s="30"/>
      <c r="C880" s="70"/>
      <c r="G880" s="30"/>
      <c r="H880" s="77"/>
      <c r="I880" s="77"/>
      <c r="J880" s="58"/>
      <c r="K880" s="58"/>
    </row>
    <row r="881" spans="1:11" s="71" customFormat="1">
      <c r="A881" s="87"/>
      <c r="B881" s="30"/>
      <c r="C881" s="70"/>
      <c r="G881" s="30"/>
      <c r="H881" s="77"/>
      <c r="I881" s="77"/>
      <c r="J881" s="58"/>
      <c r="K881" s="58"/>
    </row>
    <row r="882" spans="1:11" s="71" customFormat="1">
      <c r="A882" s="87"/>
      <c r="B882" s="30"/>
      <c r="C882" s="70"/>
      <c r="G882" s="30"/>
      <c r="H882" s="77"/>
      <c r="I882" s="77"/>
      <c r="J882" s="58"/>
      <c r="K882" s="58"/>
    </row>
    <row r="883" spans="1:11" s="71" customFormat="1">
      <c r="A883" s="87"/>
      <c r="B883" s="30"/>
      <c r="C883" s="70"/>
      <c r="G883" s="30"/>
      <c r="H883" s="77"/>
      <c r="I883" s="77"/>
      <c r="J883" s="58"/>
      <c r="K883" s="58"/>
    </row>
    <row r="884" spans="1:11" s="71" customFormat="1">
      <c r="A884" s="87"/>
      <c r="B884" s="30"/>
      <c r="C884" s="70"/>
      <c r="G884" s="30"/>
      <c r="H884" s="77"/>
      <c r="I884" s="77"/>
      <c r="J884" s="58"/>
      <c r="K884" s="58"/>
    </row>
    <row r="885" spans="1:11" s="71" customFormat="1">
      <c r="A885" s="87"/>
      <c r="B885" s="30"/>
      <c r="C885" s="70"/>
      <c r="G885" s="30"/>
      <c r="H885" s="77"/>
      <c r="I885" s="77"/>
      <c r="J885" s="58"/>
      <c r="K885" s="58"/>
    </row>
    <row r="886" spans="1:11" s="71" customFormat="1">
      <c r="A886" s="87"/>
      <c r="B886" s="30"/>
      <c r="C886" s="70"/>
      <c r="G886" s="30"/>
      <c r="H886" s="77"/>
      <c r="I886" s="77"/>
      <c r="J886" s="58"/>
      <c r="K886" s="58"/>
    </row>
    <row r="887" spans="1:11" s="71" customFormat="1">
      <c r="A887" s="87"/>
      <c r="B887" s="30"/>
      <c r="C887" s="70"/>
      <c r="G887" s="30"/>
      <c r="H887" s="77"/>
      <c r="I887" s="77"/>
      <c r="J887" s="58"/>
      <c r="K887" s="58"/>
    </row>
    <row r="888" spans="1:11" s="71" customFormat="1">
      <c r="A888" s="87"/>
      <c r="B888" s="30"/>
      <c r="C888" s="70"/>
      <c r="G888" s="30"/>
      <c r="H888" s="77"/>
      <c r="I888" s="77"/>
      <c r="J888" s="58"/>
      <c r="K888" s="58"/>
    </row>
    <row r="889" spans="1:11" s="71" customFormat="1">
      <c r="A889" s="87"/>
      <c r="B889" s="30"/>
      <c r="C889" s="70"/>
      <c r="G889" s="30"/>
      <c r="H889" s="77"/>
      <c r="I889" s="77"/>
      <c r="J889" s="58"/>
      <c r="K889" s="58"/>
    </row>
    <row r="890" spans="1:11" s="71" customFormat="1">
      <c r="A890" s="87"/>
      <c r="B890" s="30"/>
      <c r="C890" s="70"/>
      <c r="G890" s="30"/>
      <c r="H890" s="77"/>
      <c r="I890" s="77"/>
      <c r="J890" s="58"/>
      <c r="K890" s="58"/>
    </row>
    <row r="891" spans="1:11" s="71" customFormat="1">
      <c r="A891" s="87"/>
      <c r="B891" s="30"/>
      <c r="C891" s="70"/>
      <c r="G891" s="30"/>
      <c r="H891" s="77"/>
      <c r="I891" s="77"/>
      <c r="J891" s="58"/>
      <c r="K891" s="58"/>
    </row>
    <row r="892" spans="1:11" s="71" customFormat="1">
      <c r="A892" s="87"/>
      <c r="B892" s="30"/>
      <c r="C892" s="70"/>
      <c r="G892" s="30"/>
      <c r="H892" s="77"/>
      <c r="I892" s="77"/>
      <c r="J892" s="58"/>
      <c r="K892" s="58"/>
    </row>
    <row r="893" spans="1:11" s="71" customFormat="1">
      <c r="A893" s="87"/>
      <c r="B893" s="30"/>
      <c r="C893" s="70"/>
      <c r="G893" s="30"/>
      <c r="H893" s="77"/>
      <c r="I893" s="77"/>
      <c r="J893" s="58"/>
      <c r="K893" s="58"/>
    </row>
    <row r="894" spans="1:11" s="71" customFormat="1">
      <c r="A894" s="87"/>
      <c r="B894" s="30"/>
      <c r="C894" s="70"/>
      <c r="G894" s="30"/>
      <c r="H894" s="77"/>
      <c r="I894" s="77"/>
      <c r="J894" s="58"/>
      <c r="K894" s="58"/>
    </row>
    <row r="895" spans="1:11" s="71" customFormat="1">
      <c r="A895" s="87"/>
      <c r="B895" s="30"/>
      <c r="C895" s="70"/>
      <c r="G895" s="30"/>
      <c r="H895" s="77"/>
      <c r="I895" s="77"/>
      <c r="J895" s="58"/>
      <c r="K895" s="58"/>
    </row>
    <row r="896" spans="1:11" s="71" customFormat="1">
      <c r="A896" s="87"/>
      <c r="B896" s="30"/>
      <c r="C896" s="70"/>
      <c r="G896" s="30"/>
      <c r="H896" s="77"/>
      <c r="I896" s="77"/>
      <c r="J896" s="58"/>
      <c r="K896" s="58"/>
    </row>
    <row r="897" spans="1:11" s="71" customFormat="1">
      <c r="A897" s="87"/>
      <c r="B897" s="30"/>
      <c r="C897" s="70"/>
      <c r="G897" s="30"/>
      <c r="H897" s="77"/>
      <c r="I897" s="77"/>
      <c r="J897" s="58"/>
      <c r="K897" s="58"/>
    </row>
    <row r="898" spans="1:11" s="71" customFormat="1">
      <c r="A898" s="87"/>
      <c r="B898" s="30"/>
      <c r="C898" s="70"/>
      <c r="G898" s="30"/>
      <c r="H898" s="77"/>
      <c r="I898" s="77"/>
      <c r="J898" s="58"/>
      <c r="K898" s="58"/>
    </row>
    <row r="899" spans="1:11" s="71" customFormat="1">
      <c r="A899" s="87"/>
      <c r="B899" s="30"/>
      <c r="C899" s="70"/>
      <c r="G899" s="30"/>
      <c r="H899" s="77"/>
      <c r="I899" s="77"/>
      <c r="J899" s="58"/>
      <c r="K899" s="58"/>
    </row>
    <row r="900" spans="1:11" s="71" customFormat="1">
      <c r="A900" s="87"/>
      <c r="B900" s="30"/>
      <c r="C900" s="70"/>
      <c r="G900" s="30"/>
      <c r="H900" s="77"/>
      <c r="I900" s="77"/>
      <c r="J900" s="58"/>
      <c r="K900" s="58"/>
    </row>
    <row r="901" spans="1:11" s="71" customFormat="1">
      <c r="A901" s="87"/>
      <c r="B901" s="30"/>
      <c r="C901" s="70"/>
      <c r="G901" s="30"/>
      <c r="H901" s="77"/>
      <c r="I901" s="77"/>
      <c r="J901" s="58"/>
      <c r="K901" s="58"/>
    </row>
    <row r="902" spans="1:11" s="71" customFormat="1">
      <c r="A902" s="87"/>
      <c r="B902" s="30"/>
      <c r="C902" s="70"/>
      <c r="G902" s="30"/>
      <c r="H902" s="77"/>
      <c r="I902" s="77"/>
      <c r="J902" s="58"/>
      <c r="K902" s="58"/>
    </row>
    <row r="903" spans="1:11" s="71" customFormat="1">
      <c r="A903" s="87"/>
      <c r="B903" s="30"/>
      <c r="C903" s="70"/>
      <c r="G903" s="30"/>
      <c r="H903" s="77"/>
      <c r="I903" s="77"/>
      <c r="J903" s="58"/>
      <c r="K903" s="58"/>
    </row>
    <row r="904" spans="1:11" s="71" customFormat="1">
      <c r="A904" s="87"/>
      <c r="B904" s="30"/>
      <c r="C904" s="70"/>
      <c r="G904" s="30"/>
      <c r="H904" s="77"/>
      <c r="I904" s="77"/>
      <c r="J904" s="58"/>
      <c r="K904" s="58"/>
    </row>
    <row r="905" spans="1:11" s="71" customFormat="1">
      <c r="A905" s="87"/>
      <c r="B905" s="30"/>
      <c r="C905" s="70"/>
      <c r="G905" s="30"/>
      <c r="H905" s="77"/>
      <c r="I905" s="77"/>
      <c r="J905" s="58"/>
      <c r="K905" s="58"/>
    </row>
    <row r="906" spans="1:11" s="71" customFormat="1">
      <c r="A906" s="87"/>
      <c r="B906" s="30"/>
      <c r="C906" s="70"/>
      <c r="G906" s="30"/>
      <c r="H906" s="77"/>
      <c r="I906" s="77"/>
      <c r="J906" s="58"/>
      <c r="K906" s="58"/>
    </row>
    <row r="907" spans="1:11" s="71" customFormat="1">
      <c r="A907" s="87"/>
      <c r="B907" s="30"/>
      <c r="C907" s="70"/>
      <c r="G907" s="30"/>
      <c r="H907" s="77"/>
      <c r="I907" s="77"/>
      <c r="J907" s="58"/>
      <c r="K907" s="58"/>
    </row>
    <row r="908" spans="1:11" s="71" customFormat="1">
      <c r="A908" s="87"/>
      <c r="B908" s="30"/>
      <c r="C908" s="70"/>
      <c r="G908" s="30"/>
      <c r="H908" s="77"/>
      <c r="I908" s="77"/>
      <c r="J908" s="58"/>
      <c r="K908" s="58"/>
    </row>
    <row r="909" spans="1:11" s="71" customFormat="1">
      <c r="A909" s="87"/>
      <c r="B909" s="30"/>
      <c r="C909" s="70"/>
      <c r="G909" s="30"/>
      <c r="H909" s="77"/>
      <c r="I909" s="77"/>
      <c r="J909" s="58"/>
      <c r="K909" s="58"/>
    </row>
    <row r="910" spans="1:11" s="71" customFormat="1">
      <c r="A910" s="87"/>
      <c r="B910" s="30"/>
      <c r="C910" s="70"/>
      <c r="G910" s="30"/>
      <c r="H910" s="77"/>
      <c r="I910" s="77"/>
      <c r="J910" s="58"/>
      <c r="K910" s="58"/>
    </row>
    <row r="911" spans="1:11" s="71" customFormat="1">
      <c r="A911" s="87"/>
      <c r="B911" s="30"/>
      <c r="C911" s="70"/>
      <c r="G911" s="30"/>
      <c r="H911" s="77"/>
      <c r="I911" s="77"/>
      <c r="J911" s="58"/>
      <c r="K911" s="58"/>
    </row>
    <row r="912" spans="1:11" s="71" customFormat="1">
      <c r="A912" s="87"/>
      <c r="B912" s="30"/>
      <c r="C912" s="70"/>
      <c r="G912" s="30"/>
      <c r="H912" s="77"/>
      <c r="I912" s="77"/>
      <c r="J912" s="58"/>
      <c r="K912" s="58"/>
    </row>
    <row r="913" spans="1:11" s="71" customFormat="1">
      <c r="A913" s="87"/>
      <c r="B913" s="30"/>
      <c r="C913" s="70"/>
      <c r="G913" s="30"/>
      <c r="H913" s="77"/>
      <c r="I913" s="77"/>
      <c r="J913" s="58"/>
      <c r="K913" s="58"/>
    </row>
    <row r="914" spans="1:11" s="71" customFormat="1">
      <c r="A914" s="87"/>
      <c r="B914" s="30"/>
      <c r="C914" s="70"/>
      <c r="G914" s="30"/>
      <c r="H914" s="77"/>
      <c r="I914" s="77"/>
      <c r="J914" s="58"/>
      <c r="K914" s="58"/>
    </row>
    <row r="915" spans="1:11" s="71" customFormat="1">
      <c r="A915" s="87"/>
      <c r="B915" s="30"/>
      <c r="C915" s="70"/>
      <c r="G915" s="30"/>
      <c r="H915" s="77"/>
      <c r="I915" s="77"/>
      <c r="J915" s="58"/>
      <c r="K915" s="58"/>
    </row>
    <row r="916" spans="1:11" s="71" customFormat="1">
      <c r="A916" s="87"/>
      <c r="B916" s="30"/>
      <c r="C916" s="70"/>
      <c r="G916" s="30"/>
      <c r="H916" s="77"/>
      <c r="I916" s="77"/>
      <c r="J916" s="58"/>
      <c r="K916" s="58"/>
    </row>
    <row r="917" spans="1:11" s="71" customFormat="1">
      <c r="A917" s="87"/>
      <c r="B917" s="30"/>
      <c r="C917" s="70"/>
      <c r="G917" s="30"/>
      <c r="H917" s="77"/>
      <c r="I917" s="77"/>
      <c r="J917" s="58"/>
      <c r="K917" s="58"/>
    </row>
    <row r="918" spans="1:11" s="71" customFormat="1">
      <c r="A918" s="87"/>
      <c r="B918" s="30"/>
      <c r="C918" s="70"/>
      <c r="G918" s="30"/>
      <c r="H918" s="77"/>
      <c r="I918" s="77"/>
      <c r="J918" s="58"/>
      <c r="K918" s="58"/>
    </row>
    <row r="919" spans="1:11" s="71" customFormat="1">
      <c r="A919" s="87"/>
      <c r="B919" s="30"/>
      <c r="C919" s="70"/>
      <c r="G919" s="30"/>
      <c r="H919" s="77"/>
      <c r="I919" s="77"/>
      <c r="J919" s="58"/>
      <c r="K919" s="58"/>
    </row>
    <row r="920" spans="1:11" s="71" customFormat="1">
      <c r="A920" s="87"/>
      <c r="B920" s="30"/>
      <c r="C920" s="70"/>
      <c r="G920" s="30"/>
      <c r="H920" s="77"/>
      <c r="I920" s="77"/>
      <c r="J920" s="58"/>
      <c r="K920" s="58"/>
    </row>
    <row r="921" spans="1:11" s="71" customFormat="1">
      <c r="A921" s="87"/>
      <c r="B921" s="30"/>
      <c r="C921" s="70"/>
      <c r="G921" s="30"/>
      <c r="H921" s="77"/>
      <c r="I921" s="77"/>
      <c r="J921" s="58"/>
      <c r="K921" s="58"/>
    </row>
    <row r="922" spans="1:11" s="71" customFormat="1">
      <c r="A922" s="87"/>
      <c r="B922" s="30"/>
      <c r="C922" s="70"/>
      <c r="G922" s="30"/>
      <c r="H922" s="77"/>
      <c r="I922" s="77"/>
      <c r="J922" s="58"/>
      <c r="K922" s="58"/>
    </row>
    <row r="923" spans="1:11" s="71" customFormat="1">
      <c r="A923" s="87"/>
      <c r="B923" s="30"/>
      <c r="C923" s="70"/>
      <c r="G923" s="30"/>
      <c r="H923" s="77"/>
      <c r="I923" s="77"/>
      <c r="J923" s="58"/>
      <c r="K923" s="58"/>
    </row>
    <row r="924" spans="1:11" s="71" customFormat="1">
      <c r="A924" s="87"/>
      <c r="B924" s="30"/>
      <c r="C924" s="70"/>
      <c r="G924" s="30"/>
      <c r="H924" s="77"/>
      <c r="I924" s="77"/>
      <c r="J924" s="58"/>
      <c r="K924" s="58"/>
    </row>
    <row r="925" spans="1:11" s="71" customFormat="1">
      <c r="A925" s="87"/>
      <c r="B925" s="30"/>
      <c r="C925" s="70"/>
      <c r="G925" s="30"/>
      <c r="H925" s="77"/>
      <c r="I925" s="77"/>
      <c r="J925" s="58"/>
      <c r="K925" s="58"/>
    </row>
    <row r="926" spans="1:11" s="71" customFormat="1">
      <c r="A926" s="87"/>
      <c r="B926" s="30"/>
      <c r="C926" s="70"/>
      <c r="G926" s="30"/>
      <c r="H926" s="77"/>
      <c r="I926" s="77"/>
      <c r="J926" s="58"/>
      <c r="K926" s="58"/>
    </row>
    <row r="927" spans="1:11" s="71" customFormat="1">
      <c r="A927" s="87"/>
      <c r="B927" s="30"/>
      <c r="C927" s="70"/>
      <c r="G927" s="30"/>
      <c r="H927" s="77"/>
      <c r="I927" s="77"/>
      <c r="J927" s="58"/>
      <c r="K927" s="58"/>
    </row>
    <row r="928" spans="1:11" s="71" customFormat="1">
      <c r="A928" s="87"/>
      <c r="B928" s="30"/>
      <c r="C928" s="70"/>
      <c r="G928" s="30"/>
      <c r="H928" s="77"/>
      <c r="I928" s="77"/>
      <c r="J928" s="58"/>
      <c r="K928" s="58"/>
    </row>
    <row r="929" spans="1:11" s="71" customFormat="1">
      <c r="A929" s="87"/>
      <c r="B929" s="30"/>
      <c r="C929" s="70"/>
      <c r="G929" s="30"/>
      <c r="H929" s="77"/>
      <c r="I929" s="77"/>
      <c r="J929" s="58"/>
      <c r="K929" s="58"/>
    </row>
    <row r="930" spans="1:11" s="71" customFormat="1">
      <c r="A930" s="87"/>
      <c r="B930" s="30"/>
      <c r="C930" s="70"/>
      <c r="G930" s="30"/>
      <c r="H930" s="77"/>
      <c r="I930" s="77"/>
      <c r="J930" s="58"/>
      <c r="K930" s="58"/>
    </row>
    <row r="931" spans="1:11" s="71" customFormat="1">
      <c r="A931" s="87"/>
      <c r="B931" s="30"/>
      <c r="C931" s="70"/>
      <c r="G931" s="30"/>
      <c r="H931" s="77"/>
      <c r="I931" s="77"/>
      <c r="J931" s="58"/>
      <c r="K931" s="58"/>
    </row>
    <row r="932" spans="1:11" s="71" customFormat="1">
      <c r="A932" s="87"/>
      <c r="B932" s="30"/>
      <c r="C932" s="70"/>
      <c r="G932" s="30"/>
      <c r="H932" s="77"/>
      <c r="I932" s="77"/>
      <c r="J932" s="58"/>
      <c r="K932" s="58"/>
    </row>
    <row r="933" spans="1:11" s="71" customFormat="1">
      <c r="A933" s="87"/>
      <c r="B933" s="30"/>
      <c r="C933" s="70"/>
      <c r="G933" s="30"/>
      <c r="H933" s="77"/>
      <c r="I933" s="77"/>
      <c r="J933" s="58"/>
      <c r="K933" s="58"/>
    </row>
    <row r="934" spans="1:11" s="71" customFormat="1">
      <c r="A934" s="87"/>
      <c r="B934" s="30"/>
      <c r="C934" s="70"/>
      <c r="G934" s="30"/>
      <c r="H934" s="77"/>
      <c r="I934" s="77"/>
      <c r="J934" s="58"/>
      <c r="K934" s="58"/>
    </row>
    <row r="935" spans="1:11" s="71" customFormat="1">
      <c r="A935" s="87"/>
      <c r="B935" s="30"/>
      <c r="C935" s="70"/>
      <c r="G935" s="30"/>
      <c r="H935" s="77"/>
      <c r="I935" s="77"/>
      <c r="J935" s="58"/>
      <c r="K935" s="58"/>
    </row>
    <row r="936" spans="1:11" s="71" customFormat="1">
      <c r="A936" s="87"/>
      <c r="B936" s="30"/>
      <c r="C936" s="70"/>
      <c r="G936" s="30"/>
      <c r="H936" s="77"/>
      <c r="I936" s="77"/>
      <c r="J936" s="58"/>
      <c r="K936" s="58"/>
    </row>
    <row r="937" spans="1:11" s="71" customFormat="1">
      <c r="A937" s="87"/>
      <c r="B937" s="30"/>
      <c r="C937" s="70"/>
      <c r="G937" s="30"/>
      <c r="H937" s="77"/>
      <c r="I937" s="77"/>
      <c r="J937" s="58"/>
      <c r="K937" s="58"/>
    </row>
    <row r="938" spans="1:11" s="71" customFormat="1">
      <c r="A938" s="87"/>
      <c r="B938" s="30"/>
      <c r="C938" s="70"/>
      <c r="G938" s="30"/>
      <c r="H938" s="77"/>
      <c r="I938" s="77"/>
      <c r="J938" s="58"/>
      <c r="K938" s="58"/>
    </row>
    <row r="939" spans="1:11" s="71" customFormat="1">
      <c r="A939" s="87"/>
      <c r="B939" s="30"/>
      <c r="C939" s="70"/>
      <c r="G939" s="30"/>
      <c r="H939" s="77"/>
      <c r="I939" s="77"/>
      <c r="J939" s="58"/>
      <c r="K939" s="58"/>
    </row>
    <row r="940" spans="1:11" s="71" customFormat="1">
      <c r="A940" s="87"/>
      <c r="B940" s="30"/>
      <c r="C940" s="70"/>
      <c r="G940" s="30"/>
      <c r="H940" s="77"/>
      <c r="I940" s="77"/>
      <c r="J940" s="58"/>
      <c r="K940" s="58"/>
    </row>
    <row r="941" spans="1:11" s="71" customFormat="1">
      <c r="A941" s="87"/>
      <c r="B941" s="30"/>
      <c r="C941" s="70"/>
      <c r="G941" s="30"/>
      <c r="H941" s="77"/>
      <c r="I941" s="77"/>
      <c r="J941" s="58"/>
      <c r="K941" s="58"/>
    </row>
    <row r="942" spans="1:11" s="71" customFormat="1">
      <c r="A942" s="87"/>
      <c r="B942" s="30"/>
      <c r="C942" s="70"/>
      <c r="G942" s="30"/>
      <c r="H942" s="77"/>
      <c r="I942" s="77"/>
      <c r="J942" s="58"/>
      <c r="K942" s="58"/>
    </row>
    <row r="943" spans="1:11" s="71" customFormat="1">
      <c r="A943" s="87"/>
      <c r="B943" s="30"/>
      <c r="C943" s="70"/>
      <c r="G943" s="30"/>
      <c r="H943" s="77"/>
      <c r="I943" s="77"/>
      <c r="J943" s="58"/>
      <c r="K943" s="58"/>
    </row>
    <row r="944" spans="1:11" s="71" customFormat="1">
      <c r="A944" s="87"/>
      <c r="B944" s="30"/>
      <c r="C944" s="70"/>
      <c r="G944" s="30"/>
      <c r="H944" s="77"/>
      <c r="I944" s="77"/>
      <c r="J944" s="58"/>
      <c r="K944" s="58"/>
    </row>
    <row r="945" spans="1:11" s="71" customFormat="1">
      <c r="A945" s="87"/>
      <c r="B945" s="30"/>
      <c r="C945" s="70"/>
      <c r="G945" s="30"/>
      <c r="H945" s="77"/>
      <c r="I945" s="77"/>
      <c r="J945" s="58"/>
      <c r="K945" s="58"/>
    </row>
    <row r="946" spans="1:11" s="71" customFormat="1">
      <c r="A946" s="87"/>
      <c r="B946" s="30"/>
      <c r="C946" s="70"/>
      <c r="G946" s="30"/>
      <c r="H946" s="77"/>
      <c r="I946" s="77"/>
      <c r="J946" s="58"/>
      <c r="K946" s="58"/>
    </row>
    <row r="947" spans="1:11" s="71" customFormat="1">
      <c r="A947" s="87"/>
      <c r="B947" s="30"/>
      <c r="C947" s="70"/>
      <c r="G947" s="30"/>
      <c r="H947" s="77"/>
      <c r="I947" s="77"/>
      <c r="J947" s="58"/>
      <c r="K947" s="58"/>
    </row>
    <row r="948" spans="1:11" s="71" customFormat="1">
      <c r="A948" s="87"/>
      <c r="B948" s="30"/>
      <c r="C948" s="70"/>
      <c r="G948" s="30"/>
      <c r="H948" s="77"/>
      <c r="I948" s="77"/>
      <c r="J948" s="58"/>
      <c r="K948" s="58"/>
    </row>
    <row r="949" spans="1:11" s="71" customFormat="1">
      <c r="A949" s="87"/>
      <c r="B949" s="30"/>
      <c r="C949" s="70"/>
      <c r="G949" s="30"/>
      <c r="H949" s="77"/>
      <c r="I949" s="77"/>
      <c r="J949" s="58"/>
      <c r="K949" s="58"/>
    </row>
    <row r="950" spans="1:11" s="71" customFormat="1">
      <c r="A950" s="87"/>
      <c r="B950" s="30"/>
      <c r="C950" s="70"/>
      <c r="G950" s="30"/>
      <c r="H950" s="77"/>
      <c r="I950" s="77"/>
      <c r="J950" s="58"/>
      <c r="K950" s="58"/>
    </row>
    <row r="951" spans="1:11" s="71" customFormat="1">
      <c r="A951" s="87"/>
      <c r="B951" s="30"/>
      <c r="C951" s="70"/>
      <c r="G951" s="30"/>
      <c r="H951" s="77"/>
      <c r="I951" s="77"/>
      <c r="J951" s="58"/>
      <c r="K951" s="58"/>
    </row>
    <row r="952" spans="1:11" s="71" customFormat="1">
      <c r="A952" s="87"/>
      <c r="B952" s="30"/>
      <c r="C952" s="70"/>
      <c r="G952" s="30"/>
      <c r="H952" s="77"/>
      <c r="I952" s="77"/>
      <c r="J952" s="58"/>
      <c r="K952" s="58"/>
    </row>
    <row r="953" spans="1:11" s="71" customFormat="1">
      <c r="A953" s="87"/>
      <c r="B953" s="30"/>
      <c r="C953" s="70"/>
      <c r="G953" s="30"/>
      <c r="H953" s="77"/>
      <c r="I953" s="77"/>
      <c r="J953" s="58"/>
      <c r="K953" s="58"/>
    </row>
    <row r="954" spans="1:11" s="71" customFormat="1">
      <c r="A954" s="87"/>
      <c r="B954" s="30"/>
      <c r="C954" s="70"/>
      <c r="G954" s="30"/>
      <c r="H954" s="77"/>
      <c r="I954" s="77"/>
      <c r="J954" s="58"/>
      <c r="K954" s="58"/>
    </row>
    <row r="955" spans="1:11" s="71" customFormat="1">
      <c r="A955" s="87"/>
      <c r="B955" s="30"/>
      <c r="C955" s="70"/>
      <c r="G955" s="30"/>
      <c r="H955" s="77"/>
      <c r="I955" s="77"/>
      <c r="J955" s="58"/>
      <c r="K955" s="58"/>
    </row>
    <row r="956" spans="1:11" s="71" customFormat="1">
      <c r="A956" s="87"/>
      <c r="B956" s="30"/>
      <c r="C956" s="70"/>
      <c r="G956" s="30"/>
      <c r="H956" s="77"/>
      <c r="I956" s="77"/>
      <c r="J956" s="58"/>
      <c r="K956" s="58"/>
    </row>
    <row r="957" spans="1:11" s="71" customFormat="1">
      <c r="A957" s="87"/>
      <c r="B957" s="30"/>
      <c r="C957" s="70"/>
      <c r="G957" s="30"/>
      <c r="H957" s="77"/>
      <c r="I957" s="77"/>
      <c r="J957" s="58"/>
      <c r="K957" s="58"/>
    </row>
    <row r="958" spans="1:11" s="71" customFormat="1">
      <c r="A958" s="87"/>
      <c r="B958" s="30"/>
      <c r="C958" s="70"/>
      <c r="G958" s="30"/>
      <c r="H958" s="77"/>
      <c r="I958" s="77"/>
      <c r="J958" s="58"/>
      <c r="K958" s="58"/>
    </row>
    <row r="959" spans="1:11" s="71" customFormat="1">
      <c r="A959" s="87"/>
      <c r="B959" s="30"/>
      <c r="C959" s="70"/>
      <c r="G959" s="30"/>
      <c r="H959" s="77"/>
      <c r="I959" s="77"/>
      <c r="J959" s="58"/>
      <c r="K959" s="58"/>
    </row>
    <row r="960" spans="1:11" s="71" customFormat="1">
      <c r="A960" s="87"/>
      <c r="B960" s="30"/>
      <c r="C960" s="70"/>
      <c r="G960" s="30"/>
      <c r="H960" s="77"/>
      <c r="I960" s="77"/>
      <c r="J960" s="58"/>
      <c r="K960" s="58"/>
    </row>
    <row r="961" spans="1:11" s="71" customFormat="1">
      <c r="A961" s="87"/>
      <c r="B961" s="30"/>
      <c r="C961" s="70"/>
      <c r="G961" s="30"/>
      <c r="H961" s="77"/>
      <c r="I961" s="77"/>
      <c r="J961" s="58"/>
      <c r="K961" s="58"/>
    </row>
    <row r="962" spans="1:11" s="71" customFormat="1">
      <c r="A962" s="87"/>
      <c r="B962" s="30"/>
      <c r="C962" s="70"/>
      <c r="G962" s="30"/>
      <c r="H962" s="77"/>
      <c r="I962" s="77"/>
      <c r="J962" s="58"/>
      <c r="K962" s="58"/>
    </row>
    <row r="963" spans="1:11" s="71" customFormat="1">
      <c r="A963" s="87"/>
      <c r="B963" s="30"/>
      <c r="C963" s="70"/>
      <c r="G963" s="30"/>
      <c r="H963" s="77"/>
      <c r="I963" s="77"/>
      <c r="J963" s="58"/>
      <c r="K963" s="58"/>
    </row>
    <row r="964" spans="1:11" s="71" customFormat="1">
      <c r="A964" s="87"/>
      <c r="B964" s="30"/>
      <c r="C964" s="70"/>
      <c r="G964" s="30"/>
      <c r="H964" s="77"/>
      <c r="I964" s="77"/>
      <c r="J964" s="58"/>
      <c r="K964" s="58"/>
    </row>
    <row r="965" spans="1:11" s="71" customFormat="1">
      <c r="A965" s="87"/>
      <c r="B965" s="30"/>
      <c r="C965" s="70"/>
      <c r="G965" s="30"/>
      <c r="H965" s="77"/>
      <c r="I965" s="77"/>
      <c r="J965" s="58"/>
      <c r="K965" s="58"/>
    </row>
    <row r="966" spans="1:11" s="71" customFormat="1">
      <c r="A966" s="87"/>
      <c r="B966" s="30"/>
      <c r="C966" s="70"/>
      <c r="G966" s="30"/>
      <c r="H966" s="77"/>
      <c r="I966" s="77"/>
      <c r="J966" s="58"/>
      <c r="K966" s="58"/>
    </row>
    <row r="967" spans="1:11" s="71" customFormat="1">
      <c r="A967" s="87"/>
      <c r="B967" s="30"/>
      <c r="C967" s="70"/>
      <c r="G967" s="30"/>
      <c r="H967" s="77"/>
      <c r="I967" s="77"/>
      <c r="J967" s="58"/>
      <c r="K967" s="58"/>
    </row>
    <row r="968" spans="1:11" s="71" customFormat="1">
      <c r="A968" s="87"/>
      <c r="B968" s="30"/>
      <c r="C968" s="70"/>
      <c r="G968" s="30"/>
      <c r="H968" s="77"/>
      <c r="I968" s="77"/>
      <c r="J968" s="58"/>
      <c r="K968" s="58"/>
    </row>
    <row r="969" spans="1:11" s="71" customFormat="1">
      <c r="A969" s="87"/>
      <c r="B969" s="30"/>
      <c r="C969" s="70"/>
      <c r="G969" s="30"/>
      <c r="H969" s="77"/>
      <c r="I969" s="77"/>
      <c r="J969" s="58"/>
      <c r="K969" s="58"/>
    </row>
    <row r="970" spans="1:11" s="71" customFormat="1">
      <c r="A970" s="87"/>
      <c r="B970" s="30"/>
      <c r="C970" s="70"/>
      <c r="G970" s="30"/>
      <c r="H970" s="77"/>
      <c r="I970" s="77"/>
      <c r="J970" s="58"/>
      <c r="K970" s="58"/>
    </row>
    <row r="971" spans="1:11" s="71" customFormat="1">
      <c r="A971" s="87"/>
      <c r="B971" s="30"/>
      <c r="C971" s="70"/>
      <c r="G971" s="30"/>
      <c r="H971" s="77"/>
      <c r="I971" s="77"/>
      <c r="J971" s="58"/>
      <c r="K971" s="58"/>
    </row>
    <row r="972" spans="1:11" s="71" customFormat="1">
      <c r="A972" s="87"/>
      <c r="B972" s="30"/>
      <c r="C972" s="70"/>
      <c r="G972" s="30"/>
      <c r="H972" s="77"/>
      <c r="I972" s="77"/>
      <c r="J972" s="58"/>
      <c r="K972" s="58"/>
    </row>
    <row r="973" spans="1:11" s="71" customFormat="1">
      <c r="A973" s="87"/>
      <c r="B973" s="30"/>
      <c r="C973" s="70"/>
      <c r="G973" s="30"/>
      <c r="H973" s="77"/>
      <c r="I973" s="77"/>
      <c r="J973" s="58"/>
      <c r="K973" s="58"/>
    </row>
    <row r="974" spans="1:11" s="71" customFormat="1">
      <c r="A974" s="87"/>
      <c r="B974" s="30"/>
      <c r="C974" s="70"/>
      <c r="G974" s="30"/>
      <c r="H974" s="77"/>
      <c r="I974" s="77"/>
      <c r="J974" s="58"/>
      <c r="K974" s="58"/>
    </row>
    <row r="975" spans="1:11" s="71" customFormat="1">
      <c r="A975" s="87"/>
      <c r="B975" s="30"/>
      <c r="C975" s="70"/>
      <c r="G975" s="30"/>
      <c r="H975" s="77"/>
      <c r="I975" s="77"/>
      <c r="J975" s="58"/>
      <c r="K975" s="58"/>
    </row>
    <row r="976" spans="1:11" s="71" customFormat="1">
      <c r="A976" s="87"/>
      <c r="B976" s="30"/>
      <c r="C976" s="70"/>
      <c r="G976" s="30"/>
      <c r="H976" s="77"/>
      <c r="I976" s="77"/>
      <c r="J976" s="58"/>
      <c r="K976" s="58"/>
    </row>
    <row r="977" spans="1:11" s="71" customFormat="1">
      <c r="A977" s="87"/>
      <c r="B977" s="30"/>
      <c r="C977" s="70"/>
      <c r="G977" s="30"/>
      <c r="H977" s="77"/>
      <c r="I977" s="77"/>
      <c r="J977" s="58"/>
      <c r="K977" s="58"/>
    </row>
    <row r="978" spans="1:11" s="71" customFormat="1">
      <c r="A978" s="87"/>
      <c r="B978" s="30"/>
      <c r="C978" s="70"/>
      <c r="G978" s="30"/>
      <c r="H978" s="77"/>
      <c r="I978" s="77"/>
      <c r="J978" s="58"/>
      <c r="K978" s="58"/>
    </row>
    <row r="979" spans="1:11" s="71" customFormat="1">
      <c r="A979" s="87"/>
      <c r="B979" s="30"/>
      <c r="C979" s="70"/>
      <c r="G979" s="30"/>
      <c r="H979" s="77"/>
      <c r="I979" s="77"/>
      <c r="J979" s="58"/>
      <c r="K979" s="58"/>
    </row>
    <row r="980" spans="1:11" s="71" customFormat="1">
      <c r="A980" s="87"/>
      <c r="B980" s="30"/>
      <c r="C980" s="70"/>
      <c r="G980" s="30"/>
      <c r="H980" s="77"/>
      <c r="I980" s="77"/>
      <c r="J980" s="58"/>
      <c r="K980" s="58"/>
    </row>
    <row r="981" spans="1:11" s="71" customFormat="1">
      <c r="A981" s="87"/>
      <c r="B981" s="30"/>
      <c r="C981" s="70"/>
      <c r="G981" s="30"/>
      <c r="H981" s="77"/>
      <c r="I981" s="77"/>
      <c r="J981" s="58"/>
      <c r="K981" s="58"/>
    </row>
    <row r="982" spans="1:11" s="71" customFormat="1">
      <c r="A982" s="87"/>
      <c r="B982" s="30"/>
      <c r="C982" s="70"/>
      <c r="G982" s="30"/>
      <c r="H982" s="77"/>
      <c r="I982" s="77"/>
      <c r="J982" s="58"/>
      <c r="K982" s="58"/>
    </row>
    <row r="983" spans="1:11" s="71" customFormat="1">
      <c r="A983" s="87"/>
      <c r="B983" s="30"/>
      <c r="C983" s="70"/>
      <c r="G983" s="30"/>
      <c r="H983" s="77"/>
      <c r="I983" s="77"/>
      <c r="J983" s="58"/>
      <c r="K983" s="58"/>
    </row>
    <row r="984" spans="1:11" s="71" customFormat="1">
      <c r="A984" s="87"/>
      <c r="B984" s="30"/>
      <c r="C984" s="70"/>
      <c r="G984" s="30"/>
      <c r="H984" s="77"/>
      <c r="I984" s="77"/>
      <c r="J984" s="58"/>
      <c r="K984" s="58"/>
    </row>
    <row r="985" spans="1:11" s="71" customFormat="1">
      <c r="A985" s="87"/>
      <c r="B985" s="30"/>
      <c r="C985" s="70"/>
      <c r="G985" s="30"/>
      <c r="H985" s="77"/>
      <c r="I985" s="77"/>
      <c r="J985" s="58"/>
      <c r="K985" s="58"/>
    </row>
    <row r="986" spans="1:11" s="71" customFormat="1">
      <c r="A986" s="87"/>
      <c r="B986" s="30"/>
      <c r="C986" s="70"/>
      <c r="G986" s="30"/>
      <c r="H986" s="77"/>
      <c r="I986" s="77"/>
      <c r="J986" s="58"/>
      <c r="K986" s="58"/>
    </row>
    <row r="987" spans="1:11" s="71" customFormat="1">
      <c r="A987" s="87"/>
      <c r="B987" s="30"/>
      <c r="C987" s="70"/>
      <c r="G987" s="30"/>
      <c r="H987" s="77"/>
      <c r="I987" s="77"/>
      <c r="J987" s="58"/>
      <c r="K987" s="58"/>
    </row>
    <row r="988" spans="1:11" s="71" customFormat="1">
      <c r="A988" s="87"/>
      <c r="B988" s="30"/>
      <c r="C988" s="70"/>
      <c r="G988" s="30"/>
      <c r="H988" s="77"/>
      <c r="I988" s="77"/>
      <c r="J988" s="58"/>
      <c r="K988" s="58"/>
    </row>
    <row r="989" spans="1:11" s="71" customFormat="1">
      <c r="A989" s="87"/>
      <c r="B989" s="30"/>
      <c r="C989" s="70"/>
      <c r="G989" s="30"/>
      <c r="H989" s="77"/>
      <c r="I989" s="77"/>
      <c r="J989" s="58"/>
      <c r="K989" s="58"/>
    </row>
    <row r="990" spans="1:11" s="71" customFormat="1">
      <c r="A990" s="87"/>
      <c r="B990" s="30"/>
      <c r="C990" s="70"/>
      <c r="G990" s="30"/>
      <c r="H990" s="77"/>
      <c r="I990" s="77"/>
      <c r="J990" s="58"/>
      <c r="K990" s="58"/>
    </row>
    <row r="991" spans="1:11" s="71" customFormat="1">
      <c r="A991" s="87"/>
      <c r="B991" s="30"/>
      <c r="C991" s="70"/>
      <c r="G991" s="30"/>
      <c r="H991" s="77"/>
      <c r="I991" s="77"/>
      <c r="J991" s="58"/>
      <c r="K991" s="58"/>
    </row>
    <row r="992" spans="1:11" s="71" customFormat="1">
      <c r="A992" s="87"/>
      <c r="B992" s="30"/>
      <c r="C992" s="70"/>
      <c r="G992" s="30"/>
      <c r="H992" s="77"/>
      <c r="I992" s="77"/>
      <c r="J992" s="58"/>
      <c r="K992" s="58"/>
    </row>
    <row r="993" spans="1:11" s="71" customFormat="1">
      <c r="A993" s="87"/>
      <c r="B993" s="30"/>
      <c r="C993" s="70"/>
      <c r="G993" s="30"/>
      <c r="H993" s="77"/>
      <c r="I993" s="77"/>
      <c r="J993" s="58"/>
      <c r="K993" s="58"/>
    </row>
    <row r="994" spans="1:11" s="71" customFormat="1">
      <c r="A994" s="87"/>
      <c r="B994" s="30"/>
      <c r="C994" s="70"/>
      <c r="G994" s="30"/>
      <c r="H994" s="77"/>
      <c r="I994" s="77"/>
      <c r="J994" s="58"/>
      <c r="K994" s="58"/>
    </row>
    <row r="995" spans="1:11" s="71" customFormat="1">
      <c r="A995" s="87"/>
      <c r="B995" s="30"/>
      <c r="C995" s="70"/>
      <c r="G995" s="30"/>
      <c r="H995" s="77"/>
      <c r="I995" s="77"/>
      <c r="J995" s="58"/>
      <c r="K995" s="58"/>
    </row>
    <row r="996" spans="1:11" s="71" customFormat="1">
      <c r="A996" s="87"/>
      <c r="B996" s="30"/>
      <c r="C996" s="70"/>
      <c r="G996" s="30"/>
      <c r="H996" s="77"/>
      <c r="I996" s="77"/>
      <c r="J996" s="58"/>
      <c r="K996" s="58"/>
    </row>
    <row r="997" spans="1:11" s="71" customFormat="1">
      <c r="A997" s="87"/>
      <c r="B997" s="30"/>
      <c r="C997" s="70"/>
      <c r="G997" s="30"/>
      <c r="H997" s="77"/>
      <c r="I997" s="77"/>
      <c r="J997" s="58"/>
      <c r="K997" s="58"/>
    </row>
    <row r="998" spans="1:11" s="71" customFormat="1">
      <c r="A998" s="87"/>
      <c r="B998" s="30"/>
      <c r="C998" s="70"/>
      <c r="G998" s="30"/>
      <c r="H998" s="77"/>
      <c r="I998" s="77"/>
      <c r="J998" s="58"/>
      <c r="K998" s="58"/>
    </row>
    <row r="999" spans="1:11" s="71" customFormat="1">
      <c r="A999" s="87"/>
      <c r="B999" s="30"/>
      <c r="C999" s="70"/>
      <c r="G999" s="30"/>
      <c r="H999" s="77"/>
      <c r="I999" s="77"/>
      <c r="J999" s="58"/>
      <c r="K999" s="58"/>
    </row>
    <row r="1000" spans="1:11" s="71" customFormat="1">
      <c r="A1000" s="87"/>
      <c r="B1000" s="30"/>
      <c r="C1000" s="70"/>
      <c r="G1000" s="30"/>
      <c r="H1000" s="77"/>
      <c r="I1000" s="77"/>
      <c r="J1000" s="58"/>
      <c r="K1000" s="58"/>
    </row>
    <row r="1001" spans="1:11" s="71" customFormat="1">
      <c r="A1001" s="87"/>
      <c r="B1001" s="30"/>
      <c r="C1001" s="70"/>
      <c r="G1001" s="30"/>
      <c r="H1001" s="77"/>
      <c r="I1001" s="77"/>
      <c r="J1001" s="58"/>
      <c r="K1001" s="58"/>
    </row>
    <row r="1002" spans="1:11" s="71" customFormat="1">
      <c r="A1002" s="87"/>
      <c r="B1002" s="30"/>
      <c r="C1002" s="70"/>
      <c r="G1002" s="30"/>
      <c r="H1002" s="77"/>
      <c r="I1002" s="77"/>
      <c r="J1002" s="58"/>
      <c r="K1002" s="58"/>
    </row>
    <row r="1003" spans="1:11" s="71" customFormat="1">
      <c r="A1003" s="87"/>
      <c r="B1003" s="30"/>
      <c r="C1003" s="70"/>
      <c r="G1003" s="30"/>
      <c r="H1003" s="77"/>
      <c r="I1003" s="77"/>
      <c r="J1003" s="58"/>
      <c r="K1003" s="58"/>
    </row>
    <row r="1004" spans="1:11" s="71" customFormat="1">
      <c r="A1004" s="87"/>
      <c r="B1004" s="30"/>
      <c r="C1004" s="70"/>
      <c r="G1004" s="30"/>
      <c r="H1004" s="77"/>
      <c r="I1004" s="77"/>
      <c r="J1004" s="58"/>
      <c r="K1004" s="58"/>
    </row>
    <row r="1005" spans="1:11" s="71" customFormat="1">
      <c r="A1005" s="87"/>
      <c r="B1005" s="30"/>
      <c r="C1005" s="70"/>
      <c r="G1005" s="30"/>
      <c r="H1005" s="77"/>
      <c r="I1005" s="77"/>
      <c r="J1005" s="58"/>
      <c r="K1005" s="58"/>
    </row>
    <row r="1006" spans="1:11" s="71" customFormat="1">
      <c r="A1006" s="87"/>
      <c r="B1006" s="30"/>
      <c r="C1006" s="70"/>
      <c r="G1006" s="30"/>
      <c r="H1006" s="77"/>
      <c r="I1006" s="77"/>
      <c r="J1006" s="58"/>
      <c r="K1006" s="58"/>
    </row>
    <row r="1007" spans="1:11" s="71" customFormat="1">
      <c r="A1007" s="87"/>
      <c r="B1007" s="30"/>
      <c r="C1007" s="70"/>
      <c r="G1007" s="30"/>
      <c r="H1007" s="77"/>
      <c r="I1007" s="77"/>
      <c r="J1007" s="58"/>
      <c r="K1007" s="58"/>
    </row>
    <row r="1008" spans="1:11" s="71" customFormat="1">
      <c r="A1008" s="87"/>
      <c r="B1008" s="30"/>
      <c r="C1008" s="70"/>
      <c r="G1008" s="30"/>
      <c r="H1008" s="77"/>
      <c r="I1008" s="77"/>
      <c r="J1008" s="58"/>
      <c r="K1008" s="58"/>
    </row>
    <row r="1009" spans="1:11" s="71" customFormat="1">
      <c r="A1009" s="87"/>
      <c r="B1009" s="30"/>
      <c r="C1009" s="70"/>
      <c r="G1009" s="30"/>
      <c r="H1009" s="77"/>
      <c r="I1009" s="77"/>
      <c r="J1009" s="58"/>
      <c r="K1009" s="58"/>
    </row>
    <row r="1010" spans="1:11" s="71" customFormat="1">
      <c r="A1010" s="87"/>
      <c r="B1010" s="30"/>
      <c r="C1010" s="70"/>
      <c r="G1010" s="30"/>
      <c r="H1010" s="77"/>
      <c r="I1010" s="77"/>
      <c r="J1010" s="58"/>
      <c r="K1010" s="58"/>
    </row>
    <row r="1011" spans="1:11" s="71" customFormat="1">
      <c r="A1011" s="87"/>
      <c r="B1011" s="30"/>
      <c r="C1011" s="70"/>
      <c r="G1011" s="30"/>
      <c r="H1011" s="77"/>
      <c r="I1011" s="77"/>
      <c r="J1011" s="58"/>
      <c r="K1011" s="58"/>
    </row>
    <row r="1012" spans="1:11" s="71" customFormat="1">
      <c r="A1012" s="87"/>
      <c r="B1012" s="30"/>
      <c r="C1012" s="70"/>
      <c r="G1012" s="30"/>
      <c r="H1012" s="77"/>
      <c r="I1012" s="77"/>
      <c r="J1012" s="58"/>
      <c r="K1012" s="58"/>
    </row>
    <row r="1013" spans="1:11" s="71" customFormat="1">
      <c r="A1013" s="87"/>
      <c r="B1013" s="30"/>
      <c r="C1013" s="70"/>
      <c r="G1013" s="30"/>
      <c r="H1013" s="77"/>
      <c r="I1013" s="77"/>
      <c r="J1013" s="58"/>
      <c r="K1013" s="58"/>
    </row>
    <row r="1014" spans="1:11" s="71" customFormat="1">
      <c r="A1014" s="87"/>
      <c r="B1014" s="30"/>
      <c r="C1014" s="70"/>
      <c r="G1014" s="30"/>
      <c r="H1014" s="77"/>
      <c r="I1014" s="77"/>
      <c r="J1014" s="58"/>
      <c r="K1014" s="58"/>
    </row>
    <row r="1015" spans="1:11" s="71" customFormat="1">
      <c r="A1015" s="87"/>
      <c r="B1015" s="30"/>
      <c r="C1015" s="70"/>
      <c r="G1015" s="30"/>
      <c r="H1015" s="77"/>
      <c r="I1015" s="77"/>
      <c r="J1015" s="58"/>
      <c r="K1015" s="58"/>
    </row>
    <row r="1016" spans="1:11" s="71" customFormat="1">
      <c r="A1016" s="87"/>
      <c r="B1016" s="30"/>
      <c r="C1016" s="70"/>
      <c r="G1016" s="30"/>
      <c r="H1016" s="77"/>
      <c r="I1016" s="77"/>
      <c r="J1016" s="58"/>
      <c r="K1016" s="58"/>
    </row>
    <row r="1017" spans="1:11" s="71" customFormat="1">
      <c r="A1017" s="87"/>
      <c r="B1017" s="30"/>
      <c r="C1017" s="70"/>
      <c r="G1017" s="30"/>
      <c r="H1017" s="77"/>
      <c r="I1017" s="77"/>
      <c r="J1017" s="58"/>
      <c r="K1017" s="58"/>
    </row>
    <row r="1018" spans="1:11" s="71" customFormat="1">
      <c r="A1018" s="87"/>
      <c r="B1018" s="30"/>
      <c r="C1018" s="70"/>
      <c r="G1018" s="30"/>
      <c r="H1018" s="77"/>
      <c r="I1018" s="77"/>
      <c r="J1018" s="58"/>
      <c r="K1018" s="58"/>
    </row>
    <row r="1019" spans="1:11" s="71" customFormat="1">
      <c r="A1019" s="87"/>
      <c r="B1019" s="30"/>
      <c r="C1019" s="70"/>
      <c r="G1019" s="30"/>
      <c r="H1019" s="77"/>
      <c r="I1019" s="77"/>
      <c r="J1019" s="58"/>
      <c r="K1019" s="58"/>
    </row>
    <row r="1020" spans="1:11" s="71" customFormat="1">
      <c r="A1020" s="87"/>
      <c r="B1020" s="30"/>
      <c r="C1020" s="70"/>
      <c r="G1020" s="30"/>
      <c r="H1020" s="77"/>
      <c r="I1020" s="77"/>
      <c r="J1020" s="58"/>
      <c r="K1020" s="58"/>
    </row>
    <row r="1021" spans="1:11" s="71" customFormat="1">
      <c r="A1021" s="87"/>
      <c r="B1021" s="30"/>
      <c r="C1021" s="70"/>
      <c r="G1021" s="30"/>
      <c r="H1021" s="77"/>
      <c r="I1021" s="77"/>
      <c r="J1021" s="58"/>
      <c r="K1021" s="58"/>
    </row>
    <row r="1022" spans="1:11" s="71" customFormat="1">
      <c r="A1022" s="87"/>
      <c r="B1022" s="30"/>
      <c r="C1022" s="70"/>
      <c r="G1022" s="30"/>
      <c r="H1022" s="77"/>
      <c r="I1022" s="77"/>
      <c r="J1022" s="58"/>
      <c r="K1022" s="58"/>
    </row>
    <row r="1023" spans="1:11" s="71" customFormat="1">
      <c r="A1023" s="87"/>
      <c r="B1023" s="30"/>
      <c r="C1023" s="70"/>
      <c r="G1023" s="30"/>
      <c r="H1023" s="77"/>
      <c r="I1023" s="77"/>
      <c r="J1023" s="58"/>
      <c r="K1023" s="58"/>
    </row>
    <row r="1024" spans="1:11" s="71" customFormat="1">
      <c r="A1024" s="87"/>
      <c r="B1024" s="30"/>
      <c r="C1024" s="70"/>
      <c r="G1024" s="30"/>
      <c r="H1024" s="77"/>
      <c r="I1024" s="77"/>
      <c r="J1024" s="58"/>
      <c r="K1024" s="58"/>
    </row>
    <row r="1025" spans="1:11" s="71" customFormat="1">
      <c r="A1025" s="87"/>
      <c r="B1025" s="30"/>
      <c r="C1025" s="70"/>
      <c r="G1025" s="30"/>
      <c r="H1025" s="77"/>
      <c r="I1025" s="77"/>
      <c r="J1025" s="58"/>
      <c r="K1025" s="58"/>
    </row>
    <row r="1026" spans="1:11" s="71" customFormat="1">
      <c r="A1026" s="87"/>
      <c r="B1026" s="30"/>
      <c r="C1026" s="70"/>
      <c r="G1026" s="30"/>
      <c r="H1026" s="77"/>
      <c r="I1026" s="77"/>
      <c r="J1026" s="58"/>
      <c r="K1026" s="58"/>
    </row>
    <row r="1027" spans="1:11" s="71" customFormat="1">
      <c r="A1027" s="87"/>
      <c r="B1027" s="30"/>
      <c r="C1027" s="70"/>
      <c r="G1027" s="30"/>
      <c r="H1027" s="77"/>
      <c r="I1027" s="77"/>
      <c r="J1027" s="58"/>
      <c r="K1027" s="58"/>
    </row>
    <row r="1028" spans="1:11" s="71" customFormat="1">
      <c r="A1028" s="87"/>
      <c r="B1028" s="30"/>
      <c r="C1028" s="70"/>
      <c r="G1028" s="30"/>
      <c r="H1028" s="77"/>
      <c r="I1028" s="77"/>
      <c r="J1028" s="58"/>
      <c r="K1028" s="58"/>
    </row>
    <row r="1029" spans="1:11" s="71" customFormat="1">
      <c r="A1029" s="87"/>
      <c r="B1029" s="30"/>
      <c r="C1029" s="70"/>
      <c r="G1029" s="30"/>
      <c r="H1029" s="77"/>
      <c r="I1029" s="77"/>
      <c r="J1029" s="58"/>
      <c r="K1029" s="58"/>
    </row>
    <row r="1030" spans="1:11" s="71" customFormat="1">
      <c r="A1030" s="87"/>
      <c r="B1030" s="30"/>
      <c r="C1030" s="70"/>
      <c r="G1030" s="30"/>
      <c r="H1030" s="77"/>
      <c r="I1030" s="77"/>
      <c r="J1030" s="58"/>
      <c r="K1030" s="58"/>
    </row>
    <row r="1031" spans="1:11" s="71" customFormat="1">
      <c r="A1031" s="87"/>
      <c r="B1031" s="30"/>
      <c r="C1031" s="70"/>
      <c r="G1031" s="30"/>
      <c r="H1031" s="77"/>
      <c r="I1031" s="77"/>
      <c r="J1031" s="58"/>
      <c r="K1031" s="58"/>
    </row>
    <row r="1032" spans="1:11" s="71" customFormat="1">
      <c r="A1032" s="87"/>
      <c r="B1032" s="30"/>
      <c r="C1032" s="70"/>
      <c r="G1032" s="30"/>
      <c r="H1032" s="77"/>
      <c r="I1032" s="77"/>
      <c r="J1032" s="58"/>
      <c r="K1032" s="58"/>
    </row>
    <row r="1033" spans="1:11" s="71" customFormat="1">
      <c r="A1033" s="87"/>
      <c r="B1033" s="30"/>
      <c r="C1033" s="70"/>
      <c r="G1033" s="30"/>
      <c r="H1033" s="77"/>
      <c r="I1033" s="77"/>
      <c r="J1033" s="58"/>
      <c r="K1033" s="58"/>
    </row>
    <row r="1034" spans="1:11" s="71" customFormat="1">
      <c r="A1034" s="87"/>
      <c r="B1034" s="30"/>
      <c r="C1034" s="70"/>
      <c r="G1034" s="30"/>
      <c r="H1034" s="77"/>
      <c r="I1034" s="77"/>
      <c r="J1034" s="58"/>
      <c r="K1034" s="58"/>
    </row>
    <row r="1035" spans="1:11" s="71" customFormat="1">
      <c r="A1035" s="87"/>
      <c r="B1035" s="30"/>
      <c r="C1035" s="70"/>
      <c r="G1035" s="30"/>
      <c r="H1035" s="77"/>
      <c r="I1035" s="77"/>
      <c r="J1035" s="58"/>
      <c r="K1035" s="58"/>
    </row>
    <row r="1036" spans="1:11" s="71" customFormat="1">
      <c r="A1036" s="87"/>
      <c r="B1036" s="30"/>
      <c r="C1036" s="70"/>
      <c r="G1036" s="30"/>
      <c r="H1036" s="77"/>
      <c r="I1036" s="77"/>
      <c r="J1036" s="58"/>
      <c r="K1036" s="58"/>
    </row>
    <row r="1037" spans="1:11" s="71" customFormat="1">
      <c r="A1037" s="87"/>
      <c r="B1037" s="30"/>
      <c r="C1037" s="70"/>
      <c r="G1037" s="30"/>
      <c r="H1037" s="77"/>
      <c r="I1037" s="77"/>
      <c r="J1037" s="58"/>
      <c r="K1037" s="58"/>
    </row>
    <row r="1038" spans="1:11" s="71" customFormat="1">
      <c r="A1038" s="87"/>
      <c r="B1038" s="30"/>
      <c r="C1038" s="70"/>
      <c r="G1038" s="30"/>
      <c r="H1038" s="77"/>
      <c r="I1038" s="77"/>
      <c r="J1038" s="58"/>
      <c r="K1038" s="58"/>
    </row>
    <row r="1039" spans="1:11" s="71" customFormat="1">
      <c r="A1039" s="87"/>
      <c r="B1039" s="30"/>
      <c r="C1039" s="70"/>
      <c r="G1039" s="30"/>
      <c r="H1039" s="77"/>
      <c r="I1039" s="77"/>
      <c r="J1039" s="58"/>
      <c r="K1039" s="58"/>
    </row>
    <row r="1040" spans="1:11" s="71" customFormat="1">
      <c r="A1040" s="87"/>
      <c r="B1040" s="30"/>
      <c r="C1040" s="70"/>
      <c r="G1040" s="30"/>
      <c r="H1040" s="77"/>
      <c r="I1040" s="77"/>
      <c r="J1040" s="58"/>
      <c r="K1040" s="58"/>
    </row>
    <row r="1041" spans="1:11" s="71" customFormat="1">
      <c r="A1041" s="87"/>
      <c r="B1041" s="30"/>
      <c r="C1041" s="70"/>
      <c r="G1041" s="30"/>
      <c r="H1041" s="77"/>
      <c r="I1041" s="77"/>
      <c r="J1041" s="58"/>
      <c r="K1041" s="58"/>
    </row>
    <row r="1042" spans="1:11" s="71" customFormat="1">
      <c r="A1042" s="87"/>
      <c r="B1042" s="30"/>
      <c r="C1042" s="70"/>
      <c r="G1042" s="30"/>
      <c r="H1042" s="77"/>
      <c r="I1042" s="77"/>
      <c r="J1042" s="58"/>
      <c r="K1042" s="58"/>
    </row>
    <row r="1043" spans="1:11" s="71" customFormat="1">
      <c r="A1043" s="87"/>
      <c r="B1043" s="30"/>
      <c r="C1043" s="70"/>
      <c r="G1043" s="30"/>
      <c r="H1043" s="77"/>
      <c r="I1043" s="77"/>
      <c r="J1043" s="58"/>
      <c r="K1043" s="58"/>
    </row>
    <row r="1044" spans="1:11" s="71" customFormat="1">
      <c r="A1044" s="87"/>
      <c r="B1044" s="30"/>
      <c r="C1044" s="70"/>
      <c r="G1044" s="30"/>
      <c r="H1044" s="77"/>
      <c r="I1044" s="77"/>
      <c r="J1044" s="58"/>
      <c r="K1044" s="58"/>
    </row>
    <row r="1045" spans="1:11" s="71" customFormat="1">
      <c r="A1045" s="87"/>
      <c r="B1045" s="30"/>
      <c r="C1045" s="70"/>
      <c r="G1045" s="30"/>
      <c r="H1045" s="77"/>
      <c r="I1045" s="77"/>
      <c r="J1045" s="58"/>
      <c r="K1045" s="58"/>
    </row>
    <row r="1046" spans="1:11" s="71" customFormat="1">
      <c r="A1046" s="87"/>
      <c r="B1046" s="30"/>
      <c r="C1046" s="70"/>
      <c r="G1046" s="30"/>
      <c r="H1046" s="77"/>
      <c r="I1046" s="77"/>
      <c r="J1046" s="58"/>
      <c r="K1046" s="58"/>
    </row>
    <row r="1047" spans="1:11" s="71" customFormat="1">
      <c r="A1047" s="87"/>
      <c r="B1047" s="30"/>
      <c r="C1047" s="70"/>
      <c r="G1047" s="30"/>
      <c r="H1047" s="77"/>
      <c r="I1047" s="77"/>
      <c r="J1047" s="58"/>
      <c r="K1047" s="58"/>
    </row>
    <row r="1048" spans="1:11" s="71" customFormat="1">
      <c r="A1048" s="87"/>
      <c r="B1048" s="30"/>
      <c r="C1048" s="70"/>
      <c r="G1048" s="30"/>
      <c r="H1048" s="77"/>
      <c r="I1048" s="77"/>
      <c r="J1048" s="58"/>
      <c r="K1048" s="58"/>
    </row>
    <row r="1049" spans="1:11" s="71" customFormat="1">
      <c r="A1049" s="87"/>
      <c r="B1049" s="30"/>
      <c r="C1049" s="70"/>
      <c r="G1049" s="30"/>
      <c r="H1049" s="77"/>
      <c r="I1049" s="77"/>
      <c r="J1049" s="58"/>
      <c r="K1049" s="58"/>
    </row>
    <row r="1050" spans="1:11" s="71" customFormat="1">
      <c r="A1050" s="87"/>
      <c r="B1050" s="30"/>
      <c r="C1050" s="70"/>
      <c r="G1050" s="30"/>
      <c r="H1050" s="77"/>
      <c r="I1050" s="77"/>
      <c r="J1050" s="58"/>
      <c r="K1050" s="58"/>
    </row>
    <row r="1051" spans="1:11" s="71" customFormat="1">
      <c r="A1051" s="87"/>
      <c r="B1051" s="30"/>
      <c r="C1051" s="70"/>
      <c r="G1051" s="30"/>
      <c r="H1051" s="77"/>
      <c r="I1051" s="77"/>
      <c r="J1051" s="58"/>
      <c r="K1051" s="58"/>
    </row>
    <row r="1052" spans="1:11" s="71" customFormat="1">
      <c r="A1052" s="87"/>
      <c r="B1052" s="30"/>
      <c r="C1052" s="70"/>
      <c r="G1052" s="30"/>
      <c r="H1052" s="77"/>
      <c r="I1052" s="77"/>
      <c r="J1052" s="58"/>
      <c r="K1052" s="58"/>
    </row>
    <row r="1053" spans="1:11" s="71" customFormat="1">
      <c r="A1053" s="87"/>
      <c r="B1053" s="30"/>
      <c r="C1053" s="70"/>
      <c r="G1053" s="30"/>
      <c r="H1053" s="77"/>
      <c r="I1053" s="77"/>
      <c r="J1053" s="58"/>
      <c r="K1053" s="58"/>
    </row>
    <row r="1054" spans="1:11" s="71" customFormat="1">
      <c r="A1054" s="87"/>
      <c r="B1054" s="30"/>
      <c r="C1054" s="70"/>
      <c r="G1054" s="30"/>
      <c r="H1054" s="77"/>
      <c r="I1054" s="77"/>
      <c r="J1054" s="58"/>
      <c r="K1054" s="58"/>
    </row>
    <row r="1055" spans="1:11" s="71" customFormat="1">
      <c r="A1055" s="87"/>
      <c r="B1055" s="30"/>
      <c r="C1055" s="70"/>
      <c r="G1055" s="30"/>
      <c r="H1055" s="77"/>
      <c r="I1055" s="77"/>
      <c r="J1055" s="58"/>
      <c r="K1055" s="58"/>
    </row>
    <row r="1056" spans="1:11" s="71" customFormat="1">
      <c r="A1056" s="87"/>
      <c r="B1056" s="30"/>
      <c r="C1056" s="70"/>
      <c r="G1056" s="30"/>
      <c r="H1056" s="77"/>
      <c r="I1056" s="77"/>
      <c r="J1056" s="58"/>
      <c r="K1056" s="58"/>
    </row>
    <row r="1057" spans="1:11" s="71" customFormat="1">
      <c r="A1057" s="87"/>
      <c r="B1057" s="30"/>
      <c r="C1057" s="70"/>
      <c r="G1057" s="30"/>
      <c r="H1057" s="77"/>
      <c r="I1057" s="77"/>
      <c r="J1057" s="58"/>
      <c r="K1057" s="58"/>
    </row>
    <row r="1058" spans="1:11" s="71" customFormat="1">
      <c r="A1058" s="87"/>
      <c r="B1058" s="30"/>
      <c r="C1058" s="70"/>
      <c r="G1058" s="30"/>
      <c r="H1058" s="77"/>
      <c r="I1058" s="77"/>
      <c r="J1058" s="58"/>
      <c r="K1058" s="58"/>
    </row>
    <row r="1059" spans="1:11" s="71" customFormat="1">
      <c r="A1059" s="87"/>
      <c r="B1059" s="30"/>
      <c r="C1059" s="70"/>
      <c r="G1059" s="30"/>
      <c r="H1059" s="77"/>
      <c r="I1059" s="77"/>
      <c r="J1059" s="58"/>
      <c r="K1059" s="58"/>
    </row>
    <row r="1060" spans="1:11" s="71" customFormat="1">
      <c r="A1060" s="87"/>
      <c r="B1060" s="30"/>
      <c r="C1060" s="70"/>
      <c r="G1060" s="30"/>
      <c r="H1060" s="77"/>
      <c r="I1060" s="77"/>
      <c r="J1060" s="58"/>
      <c r="K1060" s="58"/>
    </row>
    <row r="1061" spans="1:11" s="71" customFormat="1">
      <c r="A1061" s="87"/>
      <c r="B1061" s="30"/>
      <c r="C1061" s="70"/>
      <c r="G1061" s="30"/>
      <c r="H1061" s="77"/>
      <c r="I1061" s="77"/>
      <c r="J1061" s="58"/>
      <c r="K1061" s="58"/>
    </row>
    <row r="1062" spans="1:11" s="71" customFormat="1">
      <c r="A1062" s="87"/>
      <c r="B1062" s="30"/>
      <c r="C1062" s="70"/>
      <c r="G1062" s="30"/>
      <c r="H1062" s="77"/>
      <c r="I1062" s="77"/>
      <c r="J1062" s="58"/>
      <c r="K1062" s="58"/>
    </row>
    <row r="1063" spans="1:11" s="71" customFormat="1">
      <c r="A1063" s="87"/>
      <c r="B1063" s="30"/>
      <c r="C1063" s="70"/>
      <c r="G1063" s="30"/>
      <c r="H1063" s="77"/>
      <c r="I1063" s="77"/>
      <c r="J1063" s="58"/>
      <c r="K1063" s="58"/>
    </row>
    <row r="1064" spans="1:11" s="71" customFormat="1">
      <c r="A1064" s="87"/>
      <c r="B1064" s="30"/>
      <c r="C1064" s="70"/>
      <c r="G1064" s="30"/>
      <c r="H1064" s="77"/>
      <c r="I1064" s="77"/>
      <c r="J1064" s="58"/>
      <c r="K1064" s="58"/>
    </row>
    <row r="1065" spans="1:11" s="71" customFormat="1">
      <c r="A1065" s="87"/>
      <c r="B1065" s="30"/>
      <c r="C1065" s="70"/>
      <c r="G1065" s="30"/>
      <c r="H1065" s="77"/>
      <c r="I1065" s="77"/>
      <c r="J1065" s="58"/>
      <c r="K1065" s="58"/>
    </row>
    <row r="1066" spans="1:11" s="71" customFormat="1">
      <c r="A1066" s="87"/>
      <c r="B1066" s="30"/>
      <c r="C1066" s="70"/>
      <c r="G1066" s="30"/>
      <c r="H1066" s="77"/>
      <c r="I1066" s="77"/>
      <c r="J1066" s="58"/>
      <c r="K1066" s="58"/>
    </row>
    <row r="1067" spans="1:11" s="71" customFormat="1">
      <c r="A1067" s="87"/>
      <c r="B1067" s="30"/>
      <c r="C1067" s="70"/>
      <c r="G1067" s="30"/>
      <c r="H1067" s="77"/>
      <c r="I1067" s="77"/>
      <c r="J1067" s="58"/>
      <c r="K1067" s="58"/>
    </row>
    <row r="1068" spans="1:11" s="71" customFormat="1">
      <c r="A1068" s="87"/>
      <c r="B1068" s="30"/>
      <c r="C1068" s="70"/>
      <c r="G1068" s="30"/>
      <c r="H1068" s="77"/>
      <c r="I1068" s="77"/>
      <c r="J1068" s="58"/>
      <c r="K1068" s="58"/>
    </row>
    <row r="1069" spans="1:11" s="71" customFormat="1">
      <c r="A1069" s="87"/>
      <c r="B1069" s="30"/>
      <c r="C1069" s="70"/>
      <c r="G1069" s="30"/>
      <c r="H1069" s="77"/>
      <c r="I1069" s="77"/>
      <c r="J1069" s="58"/>
      <c r="K1069" s="58"/>
    </row>
    <row r="1070" spans="1:11" s="71" customFormat="1">
      <c r="A1070" s="87"/>
      <c r="B1070" s="30"/>
      <c r="C1070" s="70"/>
      <c r="G1070" s="30"/>
      <c r="H1070" s="77"/>
      <c r="I1070" s="77"/>
      <c r="J1070" s="58"/>
      <c r="K1070" s="58"/>
    </row>
    <row r="1071" spans="1:11" s="71" customFormat="1">
      <c r="A1071" s="87"/>
      <c r="B1071" s="30"/>
      <c r="C1071" s="70"/>
      <c r="G1071" s="30"/>
      <c r="H1071" s="77"/>
      <c r="I1071" s="77"/>
      <c r="J1071" s="58"/>
      <c r="K1071" s="58"/>
    </row>
    <row r="1072" spans="1:11" s="71" customFormat="1">
      <c r="A1072" s="87"/>
      <c r="B1072" s="30"/>
      <c r="C1072" s="70"/>
      <c r="G1072" s="30"/>
      <c r="H1072" s="77"/>
      <c r="I1072" s="77"/>
      <c r="J1072" s="58"/>
      <c r="K1072" s="58"/>
    </row>
    <row r="1073" spans="1:11" s="71" customFormat="1">
      <c r="A1073" s="87"/>
      <c r="B1073" s="30"/>
      <c r="C1073" s="70"/>
      <c r="G1073" s="30"/>
      <c r="H1073" s="77"/>
      <c r="I1073" s="77"/>
      <c r="J1073" s="58"/>
      <c r="K1073" s="58"/>
    </row>
    <row r="1074" spans="1:11" s="71" customFormat="1">
      <c r="A1074" s="87"/>
      <c r="B1074" s="30"/>
      <c r="C1074" s="70"/>
      <c r="G1074" s="30"/>
      <c r="H1074" s="77"/>
      <c r="I1074" s="77"/>
      <c r="J1074" s="58"/>
      <c r="K1074" s="58"/>
    </row>
    <row r="1075" spans="1:11" s="71" customFormat="1">
      <c r="A1075" s="87"/>
      <c r="B1075" s="30"/>
      <c r="C1075" s="70"/>
      <c r="G1075" s="30"/>
      <c r="H1075" s="77"/>
      <c r="I1075" s="77"/>
      <c r="J1075" s="58"/>
      <c r="K1075" s="58"/>
    </row>
    <row r="1076" spans="1:11" s="71" customFormat="1">
      <c r="A1076" s="87"/>
      <c r="B1076" s="30"/>
      <c r="C1076" s="70"/>
      <c r="G1076" s="30"/>
      <c r="H1076" s="77"/>
      <c r="I1076" s="77"/>
      <c r="J1076" s="58"/>
      <c r="K1076" s="58"/>
    </row>
    <row r="1077" spans="1:11" s="71" customFormat="1">
      <c r="A1077" s="87"/>
      <c r="B1077" s="30"/>
      <c r="C1077" s="70"/>
      <c r="G1077" s="30"/>
      <c r="H1077" s="77"/>
      <c r="I1077" s="77"/>
      <c r="J1077" s="58"/>
      <c r="K1077" s="58"/>
    </row>
    <row r="1078" spans="1:11" s="71" customFormat="1">
      <c r="A1078" s="87"/>
      <c r="B1078" s="30"/>
      <c r="C1078" s="70"/>
      <c r="G1078" s="30"/>
      <c r="H1078" s="77"/>
      <c r="I1078" s="77"/>
      <c r="J1078" s="58"/>
      <c r="K1078" s="58"/>
    </row>
    <row r="1079" spans="1:11" s="71" customFormat="1">
      <c r="A1079" s="87"/>
      <c r="B1079" s="30"/>
      <c r="C1079" s="70"/>
      <c r="G1079" s="30"/>
      <c r="H1079" s="77"/>
      <c r="I1079" s="77"/>
      <c r="J1079" s="58"/>
      <c r="K1079" s="58"/>
    </row>
    <row r="1080" spans="1:11" s="71" customFormat="1">
      <c r="A1080" s="87"/>
      <c r="B1080" s="30"/>
      <c r="C1080" s="70"/>
      <c r="G1080" s="30"/>
      <c r="H1080" s="77"/>
      <c r="I1080" s="77"/>
      <c r="J1080" s="58"/>
      <c r="K1080" s="58"/>
    </row>
    <row r="1081" spans="1:11" s="71" customFormat="1">
      <c r="A1081" s="87"/>
      <c r="B1081" s="30"/>
      <c r="C1081" s="70"/>
      <c r="G1081" s="30"/>
      <c r="H1081" s="77"/>
      <c r="I1081" s="77"/>
      <c r="J1081" s="58"/>
      <c r="K1081" s="58"/>
    </row>
    <row r="1082" spans="1:11" s="71" customFormat="1">
      <c r="A1082" s="87"/>
      <c r="B1082" s="30"/>
      <c r="C1082" s="70"/>
      <c r="G1082" s="30"/>
      <c r="H1082" s="77"/>
      <c r="I1082" s="77"/>
      <c r="J1082" s="58"/>
      <c r="K1082" s="58"/>
    </row>
    <row r="1083" spans="1:11" s="71" customFormat="1">
      <c r="A1083" s="87"/>
      <c r="B1083" s="30"/>
      <c r="C1083" s="70"/>
      <c r="G1083" s="30"/>
      <c r="H1083" s="77"/>
      <c r="I1083" s="77"/>
      <c r="J1083" s="58"/>
      <c r="K1083" s="58"/>
    </row>
    <row r="1084" spans="1:11" s="71" customFormat="1">
      <c r="A1084" s="87"/>
      <c r="B1084" s="30"/>
      <c r="C1084" s="70"/>
      <c r="G1084" s="30"/>
      <c r="H1084" s="77"/>
      <c r="I1084" s="77"/>
      <c r="J1084" s="58"/>
      <c r="K1084" s="58"/>
    </row>
    <row r="1085" spans="1:11" s="71" customFormat="1">
      <c r="A1085" s="87"/>
      <c r="B1085" s="30"/>
      <c r="C1085" s="70"/>
      <c r="G1085" s="30"/>
      <c r="H1085" s="77"/>
      <c r="I1085" s="77"/>
      <c r="J1085" s="58"/>
      <c r="K1085" s="58"/>
    </row>
    <row r="1086" spans="1:11" s="71" customFormat="1">
      <c r="A1086" s="87"/>
      <c r="B1086" s="30"/>
      <c r="C1086" s="70"/>
      <c r="G1086" s="30"/>
      <c r="H1086" s="77"/>
      <c r="I1086" s="77"/>
      <c r="J1086" s="58"/>
      <c r="K1086" s="58"/>
    </row>
    <row r="1087" spans="1:11" s="71" customFormat="1">
      <c r="A1087" s="87"/>
      <c r="B1087" s="30"/>
      <c r="C1087" s="70"/>
      <c r="G1087" s="30"/>
      <c r="H1087" s="77"/>
      <c r="I1087" s="77"/>
      <c r="J1087" s="58"/>
      <c r="K1087" s="58"/>
    </row>
    <row r="1088" spans="1:11" s="71" customFormat="1">
      <c r="A1088" s="87"/>
      <c r="B1088" s="30"/>
      <c r="C1088" s="70"/>
      <c r="G1088" s="30"/>
      <c r="H1088" s="77"/>
      <c r="I1088" s="77"/>
      <c r="J1088" s="58"/>
      <c r="K1088" s="58"/>
    </row>
    <row r="1089" spans="1:11" s="71" customFormat="1">
      <c r="A1089" s="87"/>
      <c r="B1089" s="30"/>
      <c r="C1089" s="70"/>
      <c r="G1089" s="30"/>
      <c r="H1089" s="77"/>
      <c r="I1089" s="77"/>
      <c r="J1089" s="58"/>
      <c r="K1089" s="58"/>
    </row>
    <row r="1090" spans="1:11" s="71" customFormat="1">
      <c r="A1090" s="87"/>
      <c r="B1090" s="30"/>
      <c r="C1090" s="70"/>
      <c r="G1090" s="30"/>
      <c r="H1090" s="77"/>
      <c r="I1090" s="77"/>
      <c r="J1090" s="58"/>
      <c r="K1090" s="58"/>
    </row>
    <row r="1091" spans="1:11" s="71" customFormat="1">
      <c r="A1091" s="87"/>
      <c r="B1091" s="30"/>
      <c r="C1091" s="70"/>
      <c r="G1091" s="30"/>
      <c r="H1091" s="77"/>
      <c r="I1091" s="77"/>
      <c r="J1091" s="58"/>
      <c r="K1091" s="58"/>
    </row>
    <row r="1092" spans="1:11" s="71" customFormat="1">
      <c r="A1092" s="87"/>
      <c r="B1092" s="30"/>
      <c r="C1092" s="70"/>
      <c r="G1092" s="30"/>
      <c r="H1092" s="77"/>
      <c r="I1092" s="77"/>
      <c r="J1092" s="58"/>
      <c r="K1092" s="58"/>
    </row>
    <row r="1093" spans="1:11" s="71" customFormat="1">
      <c r="A1093" s="87"/>
      <c r="B1093" s="30"/>
      <c r="C1093" s="70"/>
      <c r="G1093" s="30"/>
      <c r="H1093" s="77"/>
      <c r="I1093" s="77"/>
      <c r="J1093" s="58"/>
      <c r="K1093" s="58"/>
    </row>
    <row r="1094" spans="1:11" s="71" customFormat="1">
      <c r="A1094" s="87"/>
      <c r="B1094" s="30"/>
      <c r="C1094" s="70"/>
      <c r="G1094" s="30"/>
      <c r="H1094" s="77"/>
      <c r="I1094" s="77"/>
      <c r="J1094" s="58"/>
      <c r="K1094" s="58"/>
    </row>
    <row r="1095" spans="1:11" s="71" customFormat="1">
      <c r="A1095" s="87"/>
      <c r="B1095" s="30"/>
      <c r="C1095" s="70"/>
      <c r="G1095" s="30"/>
      <c r="H1095" s="77"/>
      <c r="I1095" s="77"/>
      <c r="J1095" s="58"/>
      <c r="K1095" s="58"/>
    </row>
    <row r="1096" spans="1:11" s="71" customFormat="1">
      <c r="A1096" s="87"/>
      <c r="B1096" s="30"/>
      <c r="C1096" s="70"/>
      <c r="G1096" s="30"/>
      <c r="H1096" s="77"/>
      <c r="I1096" s="77"/>
      <c r="J1096" s="58"/>
      <c r="K1096" s="58"/>
    </row>
    <row r="1097" spans="1:11" s="71" customFormat="1">
      <c r="A1097" s="87"/>
      <c r="B1097" s="30"/>
      <c r="C1097" s="70"/>
      <c r="G1097" s="30"/>
      <c r="H1097" s="77"/>
      <c r="I1097" s="77"/>
      <c r="J1097" s="58"/>
      <c r="K1097" s="58"/>
    </row>
    <row r="1098" spans="1:11" s="71" customFormat="1">
      <c r="A1098" s="87"/>
      <c r="B1098" s="30"/>
      <c r="C1098" s="70"/>
      <c r="G1098" s="30"/>
      <c r="H1098" s="77"/>
      <c r="I1098" s="77"/>
      <c r="J1098" s="58"/>
      <c r="K1098" s="58"/>
    </row>
    <row r="1099" spans="1:11" s="71" customFormat="1">
      <c r="A1099" s="87"/>
      <c r="B1099" s="30"/>
      <c r="C1099" s="70"/>
      <c r="G1099" s="30"/>
      <c r="H1099" s="77"/>
      <c r="I1099" s="77"/>
      <c r="J1099" s="58"/>
      <c r="K1099" s="58"/>
    </row>
    <row r="1100" spans="1:11" s="71" customFormat="1">
      <c r="A1100" s="87"/>
      <c r="B1100" s="30"/>
      <c r="C1100" s="70"/>
      <c r="G1100" s="30"/>
      <c r="H1100" s="77"/>
      <c r="I1100" s="77"/>
      <c r="J1100" s="58"/>
      <c r="K1100" s="58"/>
    </row>
    <row r="1101" spans="1:11" s="71" customFormat="1">
      <c r="A1101" s="87"/>
      <c r="B1101" s="30"/>
      <c r="C1101" s="70"/>
      <c r="G1101" s="30"/>
      <c r="H1101" s="77"/>
      <c r="I1101" s="77"/>
      <c r="J1101" s="58"/>
      <c r="K1101" s="58"/>
    </row>
    <row r="1102" spans="1:11" s="71" customFormat="1">
      <c r="A1102" s="87"/>
      <c r="B1102" s="30"/>
      <c r="C1102" s="70"/>
      <c r="G1102" s="30"/>
      <c r="H1102" s="77"/>
      <c r="I1102" s="77"/>
      <c r="J1102" s="58"/>
      <c r="K1102" s="58"/>
    </row>
    <row r="1103" spans="1:11" s="71" customFormat="1">
      <c r="A1103" s="87"/>
      <c r="B1103" s="30"/>
      <c r="C1103" s="70"/>
      <c r="G1103" s="30"/>
      <c r="H1103" s="77"/>
      <c r="I1103" s="77"/>
      <c r="J1103" s="58"/>
      <c r="K1103" s="58"/>
    </row>
    <row r="1104" spans="1:11" s="71" customFormat="1">
      <c r="A1104" s="87"/>
      <c r="B1104" s="30"/>
      <c r="C1104" s="70"/>
      <c r="G1104" s="30"/>
      <c r="H1104" s="77"/>
      <c r="I1104" s="77"/>
      <c r="J1104" s="58"/>
      <c r="K1104" s="58"/>
    </row>
    <row r="1105" spans="1:11" s="71" customFormat="1">
      <c r="A1105" s="87"/>
      <c r="B1105" s="30"/>
      <c r="C1105" s="70"/>
      <c r="G1105" s="30"/>
      <c r="H1105" s="77"/>
      <c r="I1105" s="77"/>
      <c r="J1105" s="58"/>
      <c r="K1105" s="58"/>
    </row>
    <row r="1106" spans="1:11" s="71" customFormat="1">
      <c r="A1106" s="87"/>
      <c r="B1106" s="30"/>
      <c r="C1106" s="70"/>
      <c r="G1106" s="30"/>
      <c r="H1106" s="77"/>
      <c r="I1106" s="77"/>
      <c r="J1106" s="58"/>
      <c r="K1106" s="58"/>
    </row>
    <row r="1107" spans="1:11" s="71" customFormat="1">
      <c r="A1107" s="87"/>
      <c r="B1107" s="30"/>
      <c r="C1107" s="70"/>
      <c r="G1107" s="30"/>
      <c r="H1107" s="77"/>
      <c r="I1107" s="77"/>
      <c r="J1107" s="58"/>
      <c r="K1107" s="58"/>
    </row>
    <row r="1108" spans="1:11" s="71" customFormat="1">
      <c r="A1108" s="87"/>
      <c r="B1108" s="30"/>
      <c r="C1108" s="70"/>
      <c r="G1108" s="30"/>
      <c r="H1108" s="77"/>
      <c r="I1108" s="77"/>
      <c r="J1108" s="58"/>
      <c r="K1108" s="58"/>
    </row>
    <row r="1109" spans="1:11" s="71" customFormat="1">
      <c r="A1109" s="87"/>
      <c r="B1109" s="30"/>
      <c r="C1109" s="70"/>
      <c r="G1109" s="30"/>
      <c r="H1109" s="77"/>
      <c r="I1109" s="77"/>
      <c r="J1109" s="58"/>
      <c r="K1109" s="58"/>
    </row>
    <row r="1110" spans="1:11" s="71" customFormat="1">
      <c r="A1110" s="87"/>
      <c r="B1110" s="30"/>
      <c r="C1110" s="70"/>
      <c r="G1110" s="30"/>
      <c r="H1110" s="77"/>
      <c r="I1110" s="77"/>
      <c r="J1110" s="58"/>
      <c r="K1110" s="58"/>
    </row>
    <row r="1111" spans="1:11" s="71" customFormat="1">
      <c r="A1111" s="87"/>
      <c r="B1111" s="30"/>
      <c r="C1111" s="70"/>
      <c r="G1111" s="30"/>
      <c r="H1111" s="77"/>
      <c r="I1111" s="77"/>
      <c r="J1111" s="58"/>
      <c r="K1111" s="58"/>
    </row>
    <row r="1112" spans="1:11" s="71" customFormat="1">
      <c r="A1112" s="87"/>
      <c r="B1112" s="30"/>
      <c r="C1112" s="70"/>
      <c r="G1112" s="30"/>
      <c r="H1112" s="77"/>
      <c r="I1112" s="77"/>
      <c r="J1112" s="58"/>
      <c r="K1112" s="58"/>
    </row>
    <row r="1113" spans="1:11" s="71" customFormat="1">
      <c r="A1113" s="87"/>
      <c r="B1113" s="30"/>
      <c r="C1113" s="70"/>
      <c r="G1113" s="30"/>
      <c r="H1113" s="77"/>
      <c r="I1113" s="77"/>
      <c r="J1113" s="58"/>
      <c r="K1113" s="58"/>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scale="67" fitToHeight="10" orientation="portrait" r:id="rId1"/>
  <headerFooter alignWithMargins="0">
    <oddFooter>&amp;L&amp;9&amp;D&amp;C&amp;9&amp;F &amp;A&amp;R&amp;9&amp;P of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K1067"/>
  <sheetViews>
    <sheetView showZeros="0" zoomScale="80" zoomScaleNormal="80" workbookViewId="0">
      <selection activeCell="L26" sqref="L26"/>
    </sheetView>
  </sheetViews>
  <sheetFormatPr defaultColWidth="8.85546875" defaultRowHeight="14.25"/>
  <cols>
    <col min="1" max="1" width="8.85546875" style="36"/>
    <col min="2" max="2" width="7.7109375" style="30" customWidth="1"/>
    <col min="3" max="3" width="58.5703125" style="30" customWidth="1"/>
    <col min="4" max="6" width="10.7109375" style="71" customWidth="1"/>
    <col min="7" max="7" width="6.7109375" style="30" customWidth="1"/>
    <col min="8" max="8" width="12.7109375" style="77" customWidth="1"/>
    <col min="9" max="9" width="14.140625" style="77" customWidth="1"/>
    <col min="10" max="11" width="9.140625" style="58" customWidth="1"/>
    <col min="12" max="16384" width="8.85546875" style="3"/>
  </cols>
  <sheetData>
    <row r="1" spans="2:11" ht="15.75">
      <c r="B1" s="1" t="str">
        <f>'Drawings &amp; Data'!A1</f>
        <v>ESTATE NAME</v>
      </c>
      <c r="C1" s="1"/>
      <c r="D1" s="1"/>
      <c r="E1" s="1"/>
      <c r="F1" s="1"/>
      <c r="G1" s="1"/>
      <c r="H1" s="1"/>
      <c r="I1" s="1"/>
      <c r="J1" s="3"/>
      <c r="K1" s="3"/>
    </row>
    <row r="2" spans="2:11" ht="15.75">
      <c r="B2" s="4" t="str">
        <f>'Drawings &amp; Data'!A2</f>
        <v>STAGE X</v>
      </c>
      <c r="C2" s="1"/>
      <c r="D2" s="1"/>
      <c r="E2" s="1"/>
      <c r="F2" s="1"/>
      <c r="G2" s="1"/>
      <c r="H2" s="1"/>
      <c r="I2" s="1"/>
      <c r="J2" s="3"/>
      <c r="K2" s="3"/>
    </row>
    <row r="3" spans="2:11" ht="15.75">
      <c r="B3" s="1"/>
      <c r="C3" s="1"/>
      <c r="D3" s="1"/>
      <c r="E3" s="1"/>
      <c r="F3" s="1"/>
      <c r="G3" s="1"/>
      <c r="H3" s="1"/>
      <c r="I3" s="1"/>
      <c r="J3" s="3"/>
      <c r="K3" s="3"/>
    </row>
    <row r="4" spans="2:11" ht="15.75">
      <c r="B4" s="5" t="s">
        <v>9</v>
      </c>
      <c r="C4" s="1"/>
      <c r="D4" s="1"/>
      <c r="E4" s="1"/>
      <c r="F4" s="1"/>
      <c r="G4" s="1"/>
      <c r="H4" s="1"/>
      <c r="I4" s="1"/>
      <c r="J4" s="3"/>
      <c r="K4" s="3"/>
    </row>
    <row r="5" spans="2:11" ht="15.75">
      <c r="B5" s="6" t="str">
        <f>'Drawings &amp; Data'!A5</f>
        <v>Name and/or entity</v>
      </c>
      <c r="C5" s="1"/>
      <c r="D5" s="1"/>
      <c r="E5" s="1"/>
      <c r="F5" s="1"/>
      <c r="G5" s="1"/>
      <c r="H5" s="1"/>
      <c r="I5" s="1"/>
      <c r="J5" s="3"/>
      <c r="K5" s="3"/>
    </row>
    <row r="6" spans="2:11" ht="15.75">
      <c r="B6" s="6" t="str">
        <f>'Drawings &amp; Data'!A6</f>
        <v>Address 1</v>
      </c>
      <c r="C6" s="1"/>
      <c r="D6" s="1"/>
      <c r="E6" s="1"/>
      <c r="F6" s="1"/>
      <c r="G6" s="1"/>
      <c r="H6" s="1"/>
      <c r="I6" s="1"/>
      <c r="J6" s="3"/>
      <c r="K6" s="3"/>
    </row>
    <row r="7" spans="2:11" ht="15.75">
      <c r="B7" s="6" t="str">
        <f>'Drawings &amp; Data'!A7</f>
        <v>Address 2</v>
      </c>
      <c r="C7" s="1"/>
      <c r="D7" s="1"/>
      <c r="E7" s="1"/>
      <c r="F7" s="1"/>
      <c r="G7" s="1"/>
      <c r="H7" s="1"/>
      <c r="I7" s="1"/>
      <c r="J7" s="3"/>
      <c r="K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23</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1" ht="59.45"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58.9"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45" customHeight="1">
      <c r="B21" s="110" t="s">
        <v>183</v>
      </c>
      <c r="C21" s="110"/>
      <c r="D21" s="38"/>
      <c r="E21" s="38"/>
      <c r="F21" s="38"/>
      <c r="G21" s="39"/>
      <c r="H21" s="40"/>
      <c r="I21" s="40"/>
    </row>
    <row r="22" spans="1:11" s="41" customFormat="1" ht="15">
      <c r="A22" s="43" t="s">
        <v>513</v>
      </c>
      <c r="B22" s="75"/>
      <c r="C22" s="75"/>
      <c r="D22" s="76"/>
      <c r="E22" s="76"/>
      <c r="F22" s="76"/>
      <c r="G22" s="75"/>
      <c r="H22" s="77"/>
      <c r="I22" s="77"/>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49"/>
    </row>
    <row r="25" spans="1:11" s="41" customFormat="1" ht="15">
      <c r="A25" s="50">
        <v>1</v>
      </c>
      <c r="B25" s="51">
        <f ca="1">IF($A25="","",NumList())</f>
        <v>1</v>
      </c>
      <c r="C25" s="63" t="s">
        <v>40</v>
      </c>
      <c r="D25" s="48"/>
      <c r="E25" s="48"/>
      <c r="F25" s="48"/>
      <c r="G25" s="46"/>
      <c r="H25" s="53"/>
      <c r="I25" s="53">
        <f>F25*H25</f>
        <v>0</v>
      </c>
    </row>
    <row r="26" spans="1:11" s="41" customFormat="1" ht="30">
      <c r="A26" s="50" t="s">
        <v>516</v>
      </c>
      <c r="B26" s="51" t="str">
        <f>IF($A26="","",NumList())</f>
        <v/>
      </c>
      <c r="C26" s="63" t="s">
        <v>287</v>
      </c>
      <c r="D26" s="48"/>
      <c r="E26" s="48"/>
      <c r="F26" s="48"/>
      <c r="G26" s="46"/>
      <c r="H26" s="53"/>
      <c r="I26" s="53">
        <f t="shared" ref="I26:I89" si="0">F26*H26</f>
        <v>0</v>
      </c>
    </row>
    <row r="27" spans="1:11" s="58" customFormat="1" ht="29.25">
      <c r="A27" s="50">
        <v>2</v>
      </c>
      <c r="B27" s="51" t="str">
        <f ca="1">IF($A27="","",NumList())</f>
        <v>1.1</v>
      </c>
      <c r="C27" s="62" t="s">
        <v>595</v>
      </c>
      <c r="D27" s="55"/>
      <c r="E27" s="55"/>
      <c r="F27" s="55"/>
      <c r="G27" s="51"/>
      <c r="H27" s="78"/>
      <c r="I27" s="53">
        <f t="shared" si="0"/>
        <v>0</v>
      </c>
    </row>
    <row r="28" spans="1:11" s="41" customFormat="1" ht="15">
      <c r="A28" s="50">
        <v>3</v>
      </c>
      <c r="B28" s="51" t="str">
        <f ca="1">IF($A28="","",NumList())</f>
        <v>1.1.1</v>
      </c>
      <c r="C28" s="61" t="s">
        <v>14</v>
      </c>
      <c r="D28" s="55"/>
      <c r="E28" s="55"/>
      <c r="F28" s="55"/>
      <c r="G28" s="51"/>
      <c r="H28" s="78"/>
      <c r="I28" s="53">
        <f t="shared" si="0"/>
        <v>0</v>
      </c>
      <c r="J28" s="58"/>
      <c r="K28" s="58"/>
    </row>
    <row r="29" spans="1:11" s="41" customFormat="1" ht="15">
      <c r="A29" s="50">
        <v>4</v>
      </c>
      <c r="B29" s="51" t="str">
        <f ca="1">IF($A29="","",NumList())</f>
        <v>1.1.1.1</v>
      </c>
      <c r="C29" s="61" t="s">
        <v>56</v>
      </c>
      <c r="D29" s="55">
        <f ca="1">IF(ISTEXT(G29),RANDBETWEEN(1,1),0)</f>
        <v>1</v>
      </c>
      <c r="E29" s="55"/>
      <c r="F29" s="55">
        <f ca="1">IF(ISTEXT(G29),RANDBETWEEN(1,100),0)</f>
        <v>38</v>
      </c>
      <c r="G29" s="51" t="s">
        <v>6</v>
      </c>
      <c r="H29" s="78">
        <f ca="1">IF(ISTEXT(G29),RANDBETWEEN(1,100),0)</f>
        <v>62</v>
      </c>
      <c r="I29" s="53">
        <f t="shared" ca="1" si="0"/>
        <v>2356</v>
      </c>
      <c r="J29" s="58"/>
      <c r="K29" s="58"/>
    </row>
    <row r="30" spans="1:11" s="41" customFormat="1" ht="15">
      <c r="A30" s="50">
        <v>4</v>
      </c>
      <c r="B30" s="51" t="str">
        <f ca="1">IF($A30="","",NumList())</f>
        <v>1.1.1.2</v>
      </c>
      <c r="C30" s="61" t="s">
        <v>57</v>
      </c>
      <c r="D30" s="55">
        <f t="shared" ref="D30:D93" ca="1" si="1">IF(ISTEXT(G30),RANDBETWEEN(1,1),0)</f>
        <v>1</v>
      </c>
      <c r="E30" s="55"/>
      <c r="F30" s="55">
        <f t="shared" ref="F30:F93" ca="1" si="2">IF(ISTEXT(G30),RANDBETWEEN(1,100),0)</f>
        <v>38</v>
      </c>
      <c r="G30" s="51" t="s">
        <v>6</v>
      </c>
      <c r="H30" s="78">
        <f t="shared" ref="H30:H93" ca="1" si="3">IF(ISTEXT(G30),RANDBETWEEN(1,100),0)</f>
        <v>51</v>
      </c>
      <c r="I30" s="53">
        <f t="shared" ca="1" si="0"/>
        <v>1938</v>
      </c>
      <c r="J30" s="58"/>
      <c r="K30" s="58"/>
    </row>
    <row r="31" spans="1:11" s="41" customFormat="1" ht="15">
      <c r="A31" s="50">
        <v>4</v>
      </c>
      <c r="B31" s="51" t="str">
        <f ca="1">IF($A31="","",NumList())</f>
        <v>1.1.1.3</v>
      </c>
      <c r="C31" s="61" t="s">
        <v>58</v>
      </c>
      <c r="D31" s="55">
        <f t="shared" ca="1" si="1"/>
        <v>1</v>
      </c>
      <c r="E31" s="55"/>
      <c r="F31" s="55">
        <f t="shared" ca="1" si="2"/>
        <v>49</v>
      </c>
      <c r="G31" s="51" t="s">
        <v>6</v>
      </c>
      <c r="H31" s="78">
        <f t="shared" ca="1" si="3"/>
        <v>17</v>
      </c>
      <c r="I31" s="53">
        <f t="shared" ca="1" si="0"/>
        <v>833</v>
      </c>
      <c r="J31" s="58"/>
      <c r="K31" s="58"/>
    </row>
    <row r="32" spans="1:11" s="41" customFormat="1" ht="15">
      <c r="A32" s="50">
        <v>3</v>
      </c>
      <c r="B32" s="51" t="str">
        <f ca="1">IF($A32="","",NumList())</f>
        <v>1.1.2</v>
      </c>
      <c r="C32" s="61" t="s">
        <v>22</v>
      </c>
      <c r="D32" s="55">
        <f t="shared" ca="1" si="1"/>
        <v>0</v>
      </c>
      <c r="E32" s="55"/>
      <c r="F32" s="55">
        <f t="shared" ca="1" si="2"/>
        <v>0</v>
      </c>
      <c r="G32" s="51"/>
      <c r="H32" s="78">
        <f t="shared" ca="1" si="3"/>
        <v>0</v>
      </c>
      <c r="I32" s="53">
        <f t="shared" ca="1" si="0"/>
        <v>0</v>
      </c>
      <c r="J32" s="58"/>
      <c r="K32" s="58"/>
    </row>
    <row r="33" spans="1:11" s="41" customFormat="1" ht="15">
      <c r="A33" s="50">
        <v>4</v>
      </c>
      <c r="B33" s="51" t="str">
        <f ca="1">IF($A33="","",NumList())</f>
        <v>1.1.2.1</v>
      </c>
      <c r="C33" s="61" t="s">
        <v>56</v>
      </c>
      <c r="D33" s="55">
        <f t="shared" ca="1" si="1"/>
        <v>1</v>
      </c>
      <c r="E33" s="55"/>
      <c r="F33" s="55">
        <f t="shared" ca="1" si="2"/>
        <v>51</v>
      </c>
      <c r="G33" s="51" t="s">
        <v>6</v>
      </c>
      <c r="H33" s="78">
        <f t="shared" ca="1" si="3"/>
        <v>84</v>
      </c>
      <c r="I33" s="53">
        <f t="shared" ca="1" si="0"/>
        <v>4284</v>
      </c>
      <c r="J33" s="58"/>
      <c r="K33" s="58"/>
    </row>
    <row r="34" spans="1:11" s="41" customFormat="1" ht="15">
      <c r="A34" s="50">
        <v>4</v>
      </c>
      <c r="B34" s="51" t="str">
        <f ca="1">IF($A34="","",NumList())</f>
        <v>1.1.2.2</v>
      </c>
      <c r="C34" s="61" t="s">
        <v>57</v>
      </c>
      <c r="D34" s="55">
        <f t="shared" ca="1" si="1"/>
        <v>1</v>
      </c>
      <c r="E34" s="55"/>
      <c r="F34" s="55">
        <f t="shared" ca="1" si="2"/>
        <v>57</v>
      </c>
      <c r="G34" s="51" t="s">
        <v>6</v>
      </c>
      <c r="H34" s="78">
        <f t="shared" ca="1" si="3"/>
        <v>22</v>
      </c>
      <c r="I34" s="53">
        <f t="shared" ca="1" si="0"/>
        <v>1254</v>
      </c>
      <c r="J34" s="58"/>
      <c r="K34" s="58"/>
    </row>
    <row r="35" spans="1:11" s="41" customFormat="1" ht="15">
      <c r="A35" s="50">
        <v>4</v>
      </c>
      <c r="B35" s="51" t="str">
        <f ca="1">IF($A35="","",NumList())</f>
        <v>1.1.2.3</v>
      </c>
      <c r="C35" s="61" t="s">
        <v>58</v>
      </c>
      <c r="D35" s="55">
        <f t="shared" ca="1" si="1"/>
        <v>1</v>
      </c>
      <c r="E35" s="55"/>
      <c r="F35" s="55">
        <f t="shared" ca="1" si="2"/>
        <v>99</v>
      </c>
      <c r="G35" s="51" t="s">
        <v>6</v>
      </c>
      <c r="H35" s="78">
        <f t="shared" ca="1" si="3"/>
        <v>11</v>
      </c>
      <c r="I35" s="53">
        <f t="shared" ca="1" si="0"/>
        <v>1089</v>
      </c>
      <c r="J35" s="58"/>
      <c r="K35" s="58"/>
    </row>
    <row r="36" spans="1:11" s="41" customFormat="1" ht="15">
      <c r="A36" s="50">
        <v>3</v>
      </c>
      <c r="B36" s="51" t="str">
        <f ca="1">IF($A36="","",NumList())</f>
        <v>1.1.3</v>
      </c>
      <c r="C36" s="61" t="s">
        <v>34</v>
      </c>
      <c r="D36" s="55">
        <f t="shared" ca="1" si="1"/>
        <v>0</v>
      </c>
      <c r="E36" s="55"/>
      <c r="F36" s="55">
        <f t="shared" ca="1" si="2"/>
        <v>0</v>
      </c>
      <c r="G36" s="51"/>
      <c r="H36" s="78">
        <f t="shared" ca="1" si="3"/>
        <v>0</v>
      </c>
      <c r="I36" s="53">
        <f t="shared" ca="1" si="0"/>
        <v>0</v>
      </c>
      <c r="J36" s="58"/>
      <c r="K36" s="58"/>
    </row>
    <row r="37" spans="1:11" s="41" customFormat="1" ht="15">
      <c r="A37" s="50">
        <v>4</v>
      </c>
      <c r="B37" s="51" t="str">
        <f ca="1">IF($A37="","",NumList())</f>
        <v>1.1.3.1</v>
      </c>
      <c r="C37" s="61" t="s">
        <v>56</v>
      </c>
      <c r="D37" s="55">
        <f t="shared" ca="1" si="1"/>
        <v>1</v>
      </c>
      <c r="E37" s="55"/>
      <c r="F37" s="55">
        <f t="shared" ca="1" si="2"/>
        <v>20</v>
      </c>
      <c r="G37" s="51" t="s">
        <v>6</v>
      </c>
      <c r="H37" s="78">
        <f t="shared" ca="1" si="3"/>
        <v>24</v>
      </c>
      <c r="I37" s="53">
        <f t="shared" ca="1" si="0"/>
        <v>480</v>
      </c>
      <c r="J37" s="58"/>
      <c r="K37" s="58"/>
    </row>
    <row r="38" spans="1:11" s="41" customFormat="1" ht="15">
      <c r="A38" s="50">
        <v>4</v>
      </c>
      <c r="B38" s="51" t="str">
        <f ca="1">IF($A38="","",NumList())</f>
        <v>1.1.3.2</v>
      </c>
      <c r="C38" s="61" t="s">
        <v>57</v>
      </c>
      <c r="D38" s="55">
        <f t="shared" ca="1" si="1"/>
        <v>1</v>
      </c>
      <c r="E38" s="55"/>
      <c r="F38" s="55">
        <f t="shared" ca="1" si="2"/>
        <v>52</v>
      </c>
      <c r="G38" s="51" t="s">
        <v>6</v>
      </c>
      <c r="H38" s="78">
        <f t="shared" ca="1" si="3"/>
        <v>52</v>
      </c>
      <c r="I38" s="53">
        <f t="shared" ca="1" si="0"/>
        <v>2704</v>
      </c>
      <c r="J38" s="58"/>
      <c r="K38" s="58"/>
    </row>
    <row r="39" spans="1:11" s="41" customFormat="1" ht="15">
      <c r="A39" s="50">
        <v>4</v>
      </c>
      <c r="B39" s="51" t="str">
        <f ca="1">IF($A39="","",NumList())</f>
        <v>1.1.3.3</v>
      </c>
      <c r="C39" s="61" t="s">
        <v>58</v>
      </c>
      <c r="D39" s="55">
        <f t="shared" ca="1" si="1"/>
        <v>1</v>
      </c>
      <c r="E39" s="55"/>
      <c r="F39" s="55">
        <f t="shared" ca="1" si="2"/>
        <v>70</v>
      </c>
      <c r="G39" s="51" t="s">
        <v>6</v>
      </c>
      <c r="H39" s="78">
        <f t="shared" ca="1" si="3"/>
        <v>27</v>
      </c>
      <c r="I39" s="53">
        <f t="shared" ca="1" si="0"/>
        <v>1890</v>
      </c>
      <c r="J39" s="58"/>
      <c r="K39" s="58"/>
    </row>
    <row r="40" spans="1:11" s="41" customFormat="1" ht="15">
      <c r="A40" s="50">
        <v>3</v>
      </c>
      <c r="B40" s="51" t="str">
        <f ca="1">IF($A40="","",NumList())</f>
        <v>1.1.4</v>
      </c>
      <c r="C40" s="61" t="s">
        <v>35</v>
      </c>
      <c r="D40" s="55">
        <f t="shared" ca="1" si="1"/>
        <v>0</v>
      </c>
      <c r="E40" s="55"/>
      <c r="F40" s="55">
        <f t="shared" ca="1" si="2"/>
        <v>0</v>
      </c>
      <c r="G40" s="51"/>
      <c r="H40" s="78">
        <f t="shared" ca="1" si="3"/>
        <v>0</v>
      </c>
      <c r="I40" s="53">
        <f t="shared" ca="1" si="0"/>
        <v>0</v>
      </c>
      <c r="J40" s="58"/>
      <c r="K40" s="58"/>
    </row>
    <row r="41" spans="1:11" s="41" customFormat="1" ht="15">
      <c r="A41" s="50">
        <v>4</v>
      </c>
      <c r="B41" s="51" t="str">
        <f ca="1">IF($A41="","",NumList())</f>
        <v>1.1.4.1</v>
      </c>
      <c r="C41" s="61" t="s">
        <v>56</v>
      </c>
      <c r="D41" s="55">
        <f t="shared" ca="1" si="1"/>
        <v>1</v>
      </c>
      <c r="E41" s="55"/>
      <c r="F41" s="55">
        <f t="shared" ca="1" si="2"/>
        <v>77</v>
      </c>
      <c r="G41" s="51" t="s">
        <v>6</v>
      </c>
      <c r="H41" s="78">
        <f t="shared" ca="1" si="3"/>
        <v>24</v>
      </c>
      <c r="I41" s="53">
        <f t="shared" ca="1" si="0"/>
        <v>1848</v>
      </c>
      <c r="J41" s="58"/>
      <c r="K41" s="58"/>
    </row>
    <row r="42" spans="1:11" s="41" customFormat="1" ht="15">
      <c r="A42" s="50">
        <v>4</v>
      </c>
      <c r="B42" s="51" t="str">
        <f ca="1">IF($A42="","",NumList())</f>
        <v>1.1.4.2</v>
      </c>
      <c r="C42" s="61" t="s">
        <v>57</v>
      </c>
      <c r="D42" s="55">
        <f t="shared" ca="1" si="1"/>
        <v>1</v>
      </c>
      <c r="E42" s="55"/>
      <c r="F42" s="55">
        <f t="shared" ca="1" si="2"/>
        <v>15</v>
      </c>
      <c r="G42" s="51" t="s">
        <v>6</v>
      </c>
      <c r="H42" s="78">
        <f t="shared" ca="1" si="3"/>
        <v>44</v>
      </c>
      <c r="I42" s="53">
        <f t="shared" ca="1" si="0"/>
        <v>660</v>
      </c>
      <c r="J42" s="58"/>
      <c r="K42" s="58"/>
    </row>
    <row r="43" spans="1:11" s="41" customFormat="1" ht="15">
      <c r="A43" s="50">
        <v>4</v>
      </c>
      <c r="B43" s="51" t="str">
        <f ca="1">IF($A43="","",NumList())</f>
        <v>1.1.4.3</v>
      </c>
      <c r="C43" s="61" t="s">
        <v>58</v>
      </c>
      <c r="D43" s="55">
        <f t="shared" ca="1" si="1"/>
        <v>1</v>
      </c>
      <c r="E43" s="55"/>
      <c r="F43" s="55">
        <f t="shared" ca="1" si="2"/>
        <v>2</v>
      </c>
      <c r="G43" s="51" t="s">
        <v>6</v>
      </c>
      <c r="H43" s="78">
        <f t="shared" ca="1" si="3"/>
        <v>7</v>
      </c>
      <c r="I43" s="53">
        <f t="shared" ca="1" si="0"/>
        <v>14</v>
      </c>
      <c r="J43" s="58"/>
      <c r="K43" s="58"/>
    </row>
    <row r="44" spans="1:11" s="41" customFormat="1" ht="15">
      <c r="A44" s="50" t="s">
        <v>516</v>
      </c>
      <c r="B44" s="51" t="str">
        <f>IF($A44="","",NumList())</f>
        <v/>
      </c>
      <c r="C44" s="54"/>
      <c r="D44" s="55">
        <f t="shared" ca="1" si="1"/>
        <v>0</v>
      </c>
      <c r="E44" s="55"/>
      <c r="F44" s="55">
        <f t="shared" ca="1" si="2"/>
        <v>0</v>
      </c>
      <c r="G44" s="51"/>
      <c r="H44" s="78">
        <f t="shared" ca="1" si="3"/>
        <v>0</v>
      </c>
      <c r="I44" s="53">
        <f t="shared" ca="1" si="0"/>
        <v>0</v>
      </c>
      <c r="J44" s="58"/>
      <c r="K44" s="58"/>
    </row>
    <row r="45" spans="1:11" s="41" customFormat="1" ht="28.5">
      <c r="A45" s="50">
        <v>2</v>
      </c>
      <c r="B45" s="51" t="str">
        <f ca="1">IF($A45="","",NumList())</f>
        <v>1.2</v>
      </c>
      <c r="C45" s="61" t="s">
        <v>444</v>
      </c>
      <c r="D45" s="55">
        <f t="shared" ca="1" si="1"/>
        <v>0</v>
      </c>
      <c r="E45" s="55"/>
      <c r="F45" s="55">
        <f t="shared" ca="1" si="2"/>
        <v>0</v>
      </c>
      <c r="G45" s="51"/>
      <c r="H45" s="78">
        <f t="shared" ca="1" si="3"/>
        <v>0</v>
      </c>
      <c r="I45" s="53">
        <f t="shared" ca="1" si="0"/>
        <v>0</v>
      </c>
      <c r="J45" s="58"/>
      <c r="K45" s="58"/>
    </row>
    <row r="46" spans="1:11" s="41" customFormat="1" ht="15">
      <c r="A46" s="50">
        <v>3</v>
      </c>
      <c r="B46" s="51" t="str">
        <f ca="1">IF($A46="","",NumList())</f>
        <v>1.2.1</v>
      </c>
      <c r="C46" s="61" t="s">
        <v>14</v>
      </c>
      <c r="D46" s="55">
        <f t="shared" ca="1" si="1"/>
        <v>0</v>
      </c>
      <c r="E46" s="55"/>
      <c r="F46" s="55">
        <f t="shared" ca="1" si="2"/>
        <v>0</v>
      </c>
      <c r="G46" s="51"/>
      <c r="H46" s="78">
        <f t="shared" ca="1" si="3"/>
        <v>0</v>
      </c>
      <c r="I46" s="53">
        <f t="shared" ca="1" si="0"/>
        <v>0</v>
      </c>
      <c r="J46" s="58"/>
      <c r="K46" s="58"/>
    </row>
    <row r="47" spans="1:11" s="41" customFormat="1" ht="15">
      <c r="A47" s="50">
        <v>4</v>
      </c>
      <c r="B47" s="51" t="str">
        <f ca="1">IF($A47="","",NumList())</f>
        <v>1.2.1.1</v>
      </c>
      <c r="C47" s="61" t="s">
        <v>56</v>
      </c>
      <c r="D47" s="55">
        <f t="shared" ca="1" si="1"/>
        <v>1</v>
      </c>
      <c r="E47" s="55"/>
      <c r="F47" s="55">
        <f t="shared" ca="1" si="2"/>
        <v>74</v>
      </c>
      <c r="G47" s="51" t="s">
        <v>6</v>
      </c>
      <c r="H47" s="78">
        <f t="shared" ca="1" si="3"/>
        <v>45</v>
      </c>
      <c r="I47" s="53">
        <f t="shared" ca="1" si="0"/>
        <v>3330</v>
      </c>
      <c r="J47" s="58"/>
      <c r="K47" s="58"/>
    </row>
    <row r="48" spans="1:11" s="41" customFormat="1" ht="15">
      <c r="A48" s="50">
        <v>4</v>
      </c>
      <c r="B48" s="51" t="str">
        <f ca="1">IF($A48="","",NumList())</f>
        <v>1.2.1.2</v>
      </c>
      <c r="C48" s="61" t="s">
        <v>57</v>
      </c>
      <c r="D48" s="55">
        <f t="shared" ca="1" si="1"/>
        <v>1</v>
      </c>
      <c r="E48" s="55"/>
      <c r="F48" s="55">
        <f t="shared" ca="1" si="2"/>
        <v>71</v>
      </c>
      <c r="G48" s="51" t="s">
        <v>6</v>
      </c>
      <c r="H48" s="78">
        <f t="shared" ca="1" si="3"/>
        <v>39</v>
      </c>
      <c r="I48" s="53">
        <f t="shared" ca="1" si="0"/>
        <v>2769</v>
      </c>
      <c r="J48" s="58"/>
      <c r="K48" s="58"/>
    </row>
    <row r="49" spans="1:11" s="41" customFormat="1" ht="15">
      <c r="A49" s="50">
        <v>4</v>
      </c>
      <c r="B49" s="51" t="str">
        <f ca="1">IF($A49="","",NumList())</f>
        <v>1.2.1.3</v>
      </c>
      <c r="C49" s="61" t="s">
        <v>58</v>
      </c>
      <c r="D49" s="55">
        <f t="shared" ca="1" si="1"/>
        <v>1</v>
      </c>
      <c r="E49" s="55"/>
      <c r="F49" s="55">
        <f t="shared" ca="1" si="2"/>
        <v>36</v>
      </c>
      <c r="G49" s="51" t="s">
        <v>6</v>
      </c>
      <c r="H49" s="78">
        <f t="shared" ca="1" si="3"/>
        <v>94</v>
      </c>
      <c r="I49" s="53">
        <f t="shared" ca="1" si="0"/>
        <v>3384</v>
      </c>
      <c r="J49" s="58"/>
      <c r="K49" s="58"/>
    </row>
    <row r="50" spans="1:11" s="41" customFormat="1" ht="15">
      <c r="A50" s="50">
        <v>3</v>
      </c>
      <c r="B50" s="51" t="str">
        <f ca="1">IF($A50="","",NumList())</f>
        <v>1.2.2</v>
      </c>
      <c r="C50" s="61" t="s">
        <v>22</v>
      </c>
      <c r="D50" s="55">
        <f t="shared" ca="1" si="1"/>
        <v>0</v>
      </c>
      <c r="E50" s="55"/>
      <c r="F50" s="55">
        <f t="shared" ca="1" si="2"/>
        <v>0</v>
      </c>
      <c r="G50" s="51"/>
      <c r="H50" s="78">
        <f t="shared" ca="1" si="3"/>
        <v>0</v>
      </c>
      <c r="I50" s="53">
        <f t="shared" ca="1" si="0"/>
        <v>0</v>
      </c>
      <c r="J50" s="58"/>
      <c r="K50" s="58"/>
    </row>
    <row r="51" spans="1:11" s="41" customFormat="1" ht="15">
      <c r="A51" s="50">
        <v>4</v>
      </c>
      <c r="B51" s="51" t="str">
        <f ca="1">IF($A51="","",NumList())</f>
        <v>1.2.2.1</v>
      </c>
      <c r="C51" s="61" t="s">
        <v>56</v>
      </c>
      <c r="D51" s="55">
        <f t="shared" ca="1" si="1"/>
        <v>1</v>
      </c>
      <c r="E51" s="55"/>
      <c r="F51" s="55">
        <f t="shared" ca="1" si="2"/>
        <v>35</v>
      </c>
      <c r="G51" s="51" t="s">
        <v>6</v>
      </c>
      <c r="H51" s="78">
        <f t="shared" ca="1" si="3"/>
        <v>65</v>
      </c>
      <c r="I51" s="53">
        <f t="shared" ca="1" si="0"/>
        <v>2275</v>
      </c>
      <c r="J51" s="58"/>
      <c r="K51" s="58"/>
    </row>
    <row r="52" spans="1:11" s="41" customFormat="1" ht="15">
      <c r="A52" s="50">
        <v>4</v>
      </c>
      <c r="B52" s="51" t="str">
        <f ca="1">IF($A52="","",NumList())</f>
        <v>1.2.2.2</v>
      </c>
      <c r="C52" s="61" t="s">
        <v>57</v>
      </c>
      <c r="D52" s="55">
        <f t="shared" ca="1" si="1"/>
        <v>1</v>
      </c>
      <c r="E52" s="55"/>
      <c r="F52" s="55">
        <f t="shared" ca="1" si="2"/>
        <v>85</v>
      </c>
      <c r="G52" s="51" t="s">
        <v>6</v>
      </c>
      <c r="H52" s="78">
        <f t="shared" ca="1" si="3"/>
        <v>78</v>
      </c>
      <c r="I52" s="53">
        <f t="shared" ca="1" si="0"/>
        <v>6630</v>
      </c>
      <c r="J52" s="58"/>
      <c r="K52" s="58"/>
    </row>
    <row r="53" spans="1:11" s="41" customFormat="1" ht="15">
      <c r="A53" s="50">
        <v>4</v>
      </c>
      <c r="B53" s="51" t="str">
        <f ca="1">IF($A53="","",NumList())</f>
        <v>1.2.2.3</v>
      </c>
      <c r="C53" s="61" t="s">
        <v>58</v>
      </c>
      <c r="D53" s="55">
        <f t="shared" ca="1" si="1"/>
        <v>1</v>
      </c>
      <c r="E53" s="55"/>
      <c r="F53" s="55">
        <f t="shared" ca="1" si="2"/>
        <v>11</v>
      </c>
      <c r="G53" s="51" t="s">
        <v>6</v>
      </c>
      <c r="H53" s="78">
        <f t="shared" ca="1" si="3"/>
        <v>14</v>
      </c>
      <c r="I53" s="53">
        <f t="shared" ca="1" si="0"/>
        <v>154</v>
      </c>
      <c r="J53" s="58"/>
      <c r="K53" s="58"/>
    </row>
    <row r="54" spans="1:11" s="41" customFormat="1" ht="15">
      <c r="A54" s="50">
        <v>3</v>
      </c>
      <c r="B54" s="51" t="str">
        <f ca="1">IF($A54="","",NumList())</f>
        <v>1.2.3</v>
      </c>
      <c r="C54" s="61" t="s">
        <v>34</v>
      </c>
      <c r="D54" s="55">
        <f t="shared" ca="1" si="1"/>
        <v>0</v>
      </c>
      <c r="E54" s="55"/>
      <c r="F54" s="55">
        <f t="shared" ca="1" si="2"/>
        <v>0</v>
      </c>
      <c r="G54" s="51"/>
      <c r="H54" s="78">
        <f t="shared" ca="1" si="3"/>
        <v>0</v>
      </c>
      <c r="I54" s="53">
        <f t="shared" ca="1" si="0"/>
        <v>0</v>
      </c>
      <c r="J54" s="58"/>
      <c r="K54" s="58"/>
    </row>
    <row r="55" spans="1:11" s="41" customFormat="1" ht="15">
      <c r="A55" s="50">
        <v>4</v>
      </c>
      <c r="B55" s="51" t="str">
        <f ca="1">IF($A55="","",NumList())</f>
        <v>1.2.3.1</v>
      </c>
      <c r="C55" s="61" t="s">
        <v>56</v>
      </c>
      <c r="D55" s="55">
        <f t="shared" ca="1" si="1"/>
        <v>1</v>
      </c>
      <c r="E55" s="55"/>
      <c r="F55" s="55">
        <f t="shared" ca="1" si="2"/>
        <v>45</v>
      </c>
      <c r="G55" s="51" t="s">
        <v>6</v>
      </c>
      <c r="H55" s="78">
        <f t="shared" ca="1" si="3"/>
        <v>7</v>
      </c>
      <c r="I55" s="53">
        <f t="shared" ca="1" si="0"/>
        <v>315</v>
      </c>
      <c r="J55" s="58"/>
      <c r="K55" s="58"/>
    </row>
    <row r="56" spans="1:11" s="41" customFormat="1" ht="15">
      <c r="A56" s="50">
        <v>4</v>
      </c>
      <c r="B56" s="51" t="str">
        <f ca="1">IF($A56="","",NumList())</f>
        <v>1.2.3.2</v>
      </c>
      <c r="C56" s="61" t="s">
        <v>57</v>
      </c>
      <c r="D56" s="55">
        <f t="shared" ca="1" si="1"/>
        <v>1</v>
      </c>
      <c r="E56" s="55"/>
      <c r="F56" s="55">
        <f t="shared" ca="1" si="2"/>
        <v>4</v>
      </c>
      <c r="G56" s="51" t="s">
        <v>6</v>
      </c>
      <c r="H56" s="78">
        <f t="shared" ca="1" si="3"/>
        <v>89</v>
      </c>
      <c r="I56" s="53">
        <f t="shared" ca="1" si="0"/>
        <v>356</v>
      </c>
      <c r="J56" s="58"/>
      <c r="K56" s="58"/>
    </row>
    <row r="57" spans="1:11" s="41" customFormat="1" ht="15">
      <c r="A57" s="50">
        <v>4</v>
      </c>
      <c r="B57" s="51" t="str">
        <f ca="1">IF($A57="","",NumList())</f>
        <v>1.2.3.3</v>
      </c>
      <c r="C57" s="61" t="s">
        <v>58</v>
      </c>
      <c r="D57" s="55">
        <f t="shared" ca="1" si="1"/>
        <v>1</v>
      </c>
      <c r="E57" s="55"/>
      <c r="F57" s="55">
        <f t="shared" ca="1" si="2"/>
        <v>57</v>
      </c>
      <c r="G57" s="51" t="s">
        <v>6</v>
      </c>
      <c r="H57" s="78">
        <f t="shared" ca="1" si="3"/>
        <v>80</v>
      </c>
      <c r="I57" s="53">
        <f t="shared" ca="1" si="0"/>
        <v>4560</v>
      </c>
      <c r="J57" s="58"/>
      <c r="K57" s="58"/>
    </row>
    <row r="58" spans="1:11" s="41" customFormat="1" ht="15">
      <c r="A58" s="50">
        <v>3</v>
      </c>
      <c r="B58" s="51" t="str">
        <f ca="1">IF($A58="","",NumList())</f>
        <v>1.2.4</v>
      </c>
      <c r="C58" s="61" t="s">
        <v>35</v>
      </c>
      <c r="D58" s="55">
        <f t="shared" ca="1" si="1"/>
        <v>0</v>
      </c>
      <c r="E58" s="55"/>
      <c r="F58" s="55">
        <f t="shared" ca="1" si="2"/>
        <v>0</v>
      </c>
      <c r="G58" s="51"/>
      <c r="H58" s="78">
        <f t="shared" ca="1" si="3"/>
        <v>0</v>
      </c>
      <c r="I58" s="53">
        <f t="shared" ca="1" si="0"/>
        <v>0</v>
      </c>
      <c r="J58" s="58"/>
      <c r="K58" s="58"/>
    </row>
    <row r="59" spans="1:11" s="41" customFormat="1" ht="15">
      <c r="A59" s="50">
        <v>4</v>
      </c>
      <c r="B59" s="51" t="str">
        <f ca="1">IF($A59="","",NumList())</f>
        <v>1.2.4.1</v>
      </c>
      <c r="C59" s="61" t="s">
        <v>56</v>
      </c>
      <c r="D59" s="55">
        <f t="shared" ca="1" si="1"/>
        <v>1</v>
      </c>
      <c r="E59" s="55"/>
      <c r="F59" s="55">
        <f t="shared" ca="1" si="2"/>
        <v>83</v>
      </c>
      <c r="G59" s="51" t="s">
        <v>6</v>
      </c>
      <c r="H59" s="78">
        <f t="shared" ca="1" si="3"/>
        <v>70</v>
      </c>
      <c r="I59" s="53">
        <f t="shared" ca="1" si="0"/>
        <v>5810</v>
      </c>
      <c r="J59" s="58"/>
      <c r="K59" s="58"/>
    </row>
    <row r="60" spans="1:11" s="41" customFormat="1" ht="15">
      <c r="A60" s="50">
        <v>4</v>
      </c>
      <c r="B60" s="51" t="str">
        <f ca="1">IF($A60="","",NumList())</f>
        <v>1.2.4.2</v>
      </c>
      <c r="C60" s="61" t="s">
        <v>57</v>
      </c>
      <c r="D60" s="55">
        <f t="shared" ca="1" si="1"/>
        <v>1</v>
      </c>
      <c r="E60" s="55"/>
      <c r="F60" s="55">
        <f t="shared" ca="1" si="2"/>
        <v>98</v>
      </c>
      <c r="G60" s="51" t="s">
        <v>6</v>
      </c>
      <c r="H60" s="78">
        <f t="shared" ca="1" si="3"/>
        <v>94</v>
      </c>
      <c r="I60" s="53">
        <f t="shared" ca="1" si="0"/>
        <v>9212</v>
      </c>
      <c r="J60" s="58"/>
      <c r="K60" s="58"/>
    </row>
    <row r="61" spans="1:11" s="41" customFormat="1" ht="15">
      <c r="A61" s="50">
        <v>4</v>
      </c>
      <c r="B61" s="51" t="str">
        <f ca="1">IF($A61="","",NumList())</f>
        <v>1.2.4.3</v>
      </c>
      <c r="C61" s="61" t="s">
        <v>58</v>
      </c>
      <c r="D61" s="55">
        <f t="shared" ca="1" si="1"/>
        <v>1</v>
      </c>
      <c r="E61" s="55"/>
      <c r="F61" s="55">
        <f t="shared" ca="1" si="2"/>
        <v>46</v>
      </c>
      <c r="G61" s="51" t="s">
        <v>6</v>
      </c>
      <c r="H61" s="78">
        <f t="shared" ca="1" si="3"/>
        <v>69</v>
      </c>
      <c r="I61" s="53">
        <f t="shared" ca="1" si="0"/>
        <v>3174</v>
      </c>
      <c r="J61" s="58"/>
      <c r="K61" s="58"/>
    </row>
    <row r="62" spans="1:11" s="41" customFormat="1" ht="15">
      <c r="A62" s="50" t="s">
        <v>516</v>
      </c>
      <c r="B62" s="51" t="str">
        <f>IF($A62="","",NumList())</f>
        <v/>
      </c>
      <c r="C62" s="54"/>
      <c r="D62" s="55">
        <f t="shared" ca="1" si="1"/>
        <v>0</v>
      </c>
      <c r="E62" s="55"/>
      <c r="F62" s="55">
        <f t="shared" ca="1" si="2"/>
        <v>0</v>
      </c>
      <c r="G62" s="51"/>
      <c r="H62" s="78">
        <f t="shared" ca="1" si="3"/>
        <v>0</v>
      </c>
      <c r="I62" s="53">
        <f t="shared" ca="1" si="0"/>
        <v>0</v>
      </c>
      <c r="J62" s="58"/>
      <c r="K62" s="58"/>
    </row>
    <row r="63" spans="1:11" s="41" customFormat="1" ht="29.25">
      <c r="A63" s="50">
        <v>2</v>
      </c>
      <c r="B63" s="51" t="str">
        <f ca="1">IF($A63="","",NumList())</f>
        <v>1.3</v>
      </c>
      <c r="C63" s="61" t="s">
        <v>596</v>
      </c>
      <c r="D63" s="55">
        <f t="shared" ca="1" si="1"/>
        <v>0</v>
      </c>
      <c r="E63" s="55"/>
      <c r="F63" s="55">
        <f t="shared" ca="1" si="2"/>
        <v>0</v>
      </c>
      <c r="G63" s="51"/>
      <c r="H63" s="78">
        <f t="shared" ca="1" si="3"/>
        <v>0</v>
      </c>
      <c r="I63" s="53">
        <f t="shared" ca="1" si="0"/>
        <v>0</v>
      </c>
      <c r="J63" s="58"/>
      <c r="K63" s="58"/>
    </row>
    <row r="64" spans="1:11" s="41" customFormat="1" ht="15">
      <c r="A64" s="50">
        <v>3</v>
      </c>
      <c r="B64" s="51" t="str">
        <f ca="1">IF($A64="","",NumList())</f>
        <v>1.3.1</v>
      </c>
      <c r="C64" s="61" t="s">
        <v>14</v>
      </c>
      <c r="D64" s="55">
        <f t="shared" ca="1" si="1"/>
        <v>1</v>
      </c>
      <c r="E64" s="55"/>
      <c r="F64" s="55">
        <f t="shared" ca="1" si="2"/>
        <v>39</v>
      </c>
      <c r="G64" s="51" t="s">
        <v>6</v>
      </c>
      <c r="H64" s="78">
        <f t="shared" ca="1" si="3"/>
        <v>85</v>
      </c>
      <c r="I64" s="53">
        <f t="shared" ca="1" si="0"/>
        <v>3315</v>
      </c>
      <c r="J64" s="58"/>
      <c r="K64" s="58"/>
    </row>
    <row r="65" spans="1:11" s="41" customFormat="1" ht="15">
      <c r="A65" s="50">
        <v>3</v>
      </c>
      <c r="B65" s="51" t="str">
        <f ca="1">IF($A65="","",NumList())</f>
        <v>1.3.2</v>
      </c>
      <c r="C65" s="61" t="s">
        <v>22</v>
      </c>
      <c r="D65" s="55">
        <f t="shared" ca="1" si="1"/>
        <v>1</v>
      </c>
      <c r="E65" s="55"/>
      <c r="F65" s="55">
        <f t="shared" ca="1" si="2"/>
        <v>42</v>
      </c>
      <c r="G65" s="51" t="s">
        <v>6</v>
      </c>
      <c r="H65" s="78">
        <f t="shared" ca="1" si="3"/>
        <v>40</v>
      </c>
      <c r="I65" s="53">
        <f t="shared" ca="1" si="0"/>
        <v>1680</v>
      </c>
      <c r="J65" s="58"/>
      <c r="K65" s="58"/>
    </row>
    <row r="66" spans="1:11" s="41" customFormat="1" ht="15">
      <c r="A66" s="50">
        <v>3</v>
      </c>
      <c r="B66" s="51" t="str">
        <f ca="1">IF($A66="","",NumList())</f>
        <v>1.3.3</v>
      </c>
      <c r="C66" s="61" t="s">
        <v>34</v>
      </c>
      <c r="D66" s="55">
        <f t="shared" ca="1" si="1"/>
        <v>1</v>
      </c>
      <c r="E66" s="55"/>
      <c r="F66" s="55">
        <f t="shared" ca="1" si="2"/>
        <v>3</v>
      </c>
      <c r="G66" s="51" t="s">
        <v>6</v>
      </c>
      <c r="H66" s="78">
        <f t="shared" ca="1" si="3"/>
        <v>61</v>
      </c>
      <c r="I66" s="53">
        <f t="shared" ca="1" si="0"/>
        <v>183</v>
      </c>
      <c r="J66" s="58"/>
      <c r="K66" s="58"/>
    </row>
    <row r="67" spans="1:11" s="41" customFormat="1" ht="15">
      <c r="A67" s="50">
        <v>3</v>
      </c>
      <c r="B67" s="51" t="str">
        <f ca="1">IF($A67="","",NumList())</f>
        <v>1.3.4</v>
      </c>
      <c r="C67" s="61" t="s">
        <v>35</v>
      </c>
      <c r="D67" s="55">
        <f t="shared" ca="1" si="1"/>
        <v>1</v>
      </c>
      <c r="E67" s="55"/>
      <c r="F67" s="55">
        <f t="shared" ca="1" si="2"/>
        <v>93</v>
      </c>
      <c r="G67" s="51" t="s">
        <v>6</v>
      </c>
      <c r="H67" s="78">
        <f t="shared" ca="1" si="3"/>
        <v>40</v>
      </c>
      <c r="I67" s="53">
        <f t="shared" ca="1" si="0"/>
        <v>3720</v>
      </c>
      <c r="J67" s="58"/>
      <c r="K67" s="58"/>
    </row>
    <row r="68" spans="1:11" s="41" customFormat="1" ht="15">
      <c r="A68" s="50" t="s">
        <v>516</v>
      </c>
      <c r="B68" s="51" t="str">
        <f>IF($A68="","",NumList())</f>
        <v/>
      </c>
      <c r="C68" s="61"/>
      <c r="D68" s="55">
        <f t="shared" ca="1" si="1"/>
        <v>0</v>
      </c>
      <c r="E68" s="55"/>
      <c r="F68" s="55">
        <f t="shared" ca="1" si="2"/>
        <v>0</v>
      </c>
      <c r="G68" s="51"/>
      <c r="H68" s="78">
        <f t="shared" ca="1" si="3"/>
        <v>0</v>
      </c>
      <c r="I68" s="53">
        <f t="shared" ca="1" si="0"/>
        <v>0</v>
      </c>
      <c r="J68" s="58"/>
      <c r="K68" s="58"/>
    </row>
    <row r="69" spans="1:11" s="41" customFormat="1" ht="15">
      <c r="A69" s="50">
        <v>2</v>
      </c>
      <c r="B69" s="51" t="str">
        <f ca="1">IF($A69="","",NumList())</f>
        <v>1.4</v>
      </c>
      <c r="C69" s="61" t="s">
        <v>443</v>
      </c>
      <c r="D69" s="55">
        <f t="shared" ca="1" si="1"/>
        <v>0</v>
      </c>
      <c r="E69" s="55"/>
      <c r="F69" s="55">
        <f t="shared" ca="1" si="2"/>
        <v>0</v>
      </c>
      <c r="G69" s="51"/>
      <c r="H69" s="78">
        <f t="shared" ca="1" si="3"/>
        <v>0</v>
      </c>
      <c r="I69" s="53">
        <f t="shared" ca="1" si="0"/>
        <v>0</v>
      </c>
      <c r="J69" s="58"/>
      <c r="K69" s="58"/>
    </row>
    <row r="70" spans="1:11" s="41" customFormat="1" ht="15">
      <c r="A70" s="50">
        <v>3</v>
      </c>
      <c r="B70" s="51" t="str">
        <f ca="1">IF($A70="","",NumList())</f>
        <v>1.4.1</v>
      </c>
      <c r="C70" s="61" t="s">
        <v>14</v>
      </c>
      <c r="D70" s="55">
        <f t="shared" ca="1" si="1"/>
        <v>1</v>
      </c>
      <c r="E70" s="55"/>
      <c r="F70" s="55">
        <f t="shared" ca="1" si="2"/>
        <v>4</v>
      </c>
      <c r="G70" s="51" t="s">
        <v>6</v>
      </c>
      <c r="H70" s="78">
        <f t="shared" ca="1" si="3"/>
        <v>39</v>
      </c>
      <c r="I70" s="53">
        <f t="shared" ca="1" si="0"/>
        <v>156</v>
      </c>
      <c r="J70" s="58"/>
      <c r="K70" s="58"/>
    </row>
    <row r="71" spans="1:11" s="41" customFormat="1" ht="15">
      <c r="A71" s="50">
        <v>3</v>
      </c>
      <c r="B71" s="51" t="str">
        <f ca="1">IF($A71="","",NumList())</f>
        <v>1.4.2</v>
      </c>
      <c r="C71" s="61" t="s">
        <v>22</v>
      </c>
      <c r="D71" s="55">
        <f t="shared" ca="1" si="1"/>
        <v>1</v>
      </c>
      <c r="E71" s="55"/>
      <c r="F71" s="55">
        <f t="shared" ca="1" si="2"/>
        <v>54</v>
      </c>
      <c r="G71" s="51" t="s">
        <v>6</v>
      </c>
      <c r="H71" s="78">
        <f t="shared" ca="1" si="3"/>
        <v>13</v>
      </c>
      <c r="I71" s="53">
        <f t="shared" ca="1" si="0"/>
        <v>702</v>
      </c>
      <c r="J71" s="58"/>
      <c r="K71" s="58"/>
    </row>
    <row r="72" spans="1:11" s="41" customFormat="1" ht="15">
      <c r="A72" s="50">
        <v>3</v>
      </c>
      <c r="B72" s="51" t="str">
        <f ca="1">IF($A72="","",NumList())</f>
        <v>1.4.3</v>
      </c>
      <c r="C72" s="61" t="s">
        <v>34</v>
      </c>
      <c r="D72" s="55">
        <f t="shared" ca="1" si="1"/>
        <v>1</v>
      </c>
      <c r="E72" s="55"/>
      <c r="F72" s="55">
        <f t="shared" ca="1" si="2"/>
        <v>15</v>
      </c>
      <c r="G72" s="51" t="s">
        <v>6</v>
      </c>
      <c r="H72" s="78">
        <f t="shared" ca="1" si="3"/>
        <v>95</v>
      </c>
      <c r="I72" s="53">
        <f t="shared" ca="1" si="0"/>
        <v>1425</v>
      </c>
      <c r="J72" s="58"/>
      <c r="K72" s="58"/>
    </row>
    <row r="73" spans="1:11" s="41" customFormat="1" ht="15">
      <c r="A73" s="50">
        <v>3</v>
      </c>
      <c r="B73" s="51" t="str">
        <f ca="1">IF($A73="","",NumList())</f>
        <v>1.4.4</v>
      </c>
      <c r="C73" s="61" t="s">
        <v>35</v>
      </c>
      <c r="D73" s="55">
        <f t="shared" ca="1" si="1"/>
        <v>1</v>
      </c>
      <c r="E73" s="55"/>
      <c r="F73" s="55">
        <f t="shared" ca="1" si="2"/>
        <v>25</v>
      </c>
      <c r="G73" s="51" t="s">
        <v>6</v>
      </c>
      <c r="H73" s="78">
        <f t="shared" ca="1" si="3"/>
        <v>59</v>
      </c>
      <c r="I73" s="53">
        <f t="shared" ca="1" si="0"/>
        <v>1475</v>
      </c>
      <c r="J73" s="58"/>
      <c r="K73" s="58"/>
    </row>
    <row r="74" spans="1:11" s="41" customFormat="1" ht="15">
      <c r="A74" s="50" t="s">
        <v>516</v>
      </c>
      <c r="B74" s="51" t="str">
        <f>IF($A74="","",NumList())</f>
        <v/>
      </c>
      <c r="C74" s="61"/>
      <c r="D74" s="55">
        <f t="shared" ca="1" si="1"/>
        <v>0</v>
      </c>
      <c r="E74" s="55"/>
      <c r="F74" s="55">
        <f t="shared" ca="1" si="2"/>
        <v>0</v>
      </c>
      <c r="G74" s="51"/>
      <c r="H74" s="78">
        <f t="shared" ca="1" si="3"/>
        <v>0</v>
      </c>
      <c r="I74" s="53">
        <f t="shared" ca="1" si="0"/>
        <v>0</v>
      </c>
      <c r="J74" s="58"/>
      <c r="K74" s="58"/>
    </row>
    <row r="75" spans="1:11" s="41" customFormat="1" ht="15">
      <c r="A75" s="50">
        <v>2</v>
      </c>
      <c r="B75" s="51" t="str">
        <f ca="1">IF($A75="","",NumList())</f>
        <v>1.5</v>
      </c>
      <c r="C75" s="61" t="s">
        <v>442</v>
      </c>
      <c r="D75" s="55">
        <f t="shared" ca="1" si="1"/>
        <v>0</v>
      </c>
      <c r="E75" s="55"/>
      <c r="F75" s="55">
        <f t="shared" ca="1" si="2"/>
        <v>0</v>
      </c>
      <c r="G75" s="51"/>
      <c r="H75" s="78">
        <f t="shared" ca="1" si="3"/>
        <v>0</v>
      </c>
      <c r="I75" s="53">
        <f t="shared" ca="1" si="0"/>
        <v>0</v>
      </c>
      <c r="J75" s="58"/>
      <c r="K75" s="58"/>
    </row>
    <row r="76" spans="1:11" s="41" customFormat="1" ht="29.25">
      <c r="A76" s="50">
        <v>3</v>
      </c>
      <c r="B76" s="51" t="str">
        <f ca="1">IF($A76="","",NumList())</f>
        <v>1.5.1</v>
      </c>
      <c r="C76" s="62" t="s">
        <v>581</v>
      </c>
      <c r="D76" s="55">
        <f t="shared" ca="1" si="1"/>
        <v>1</v>
      </c>
      <c r="E76" s="55"/>
      <c r="F76" s="55">
        <f t="shared" ca="1" si="2"/>
        <v>15</v>
      </c>
      <c r="G76" s="51" t="s">
        <v>6</v>
      </c>
      <c r="H76" s="78">
        <f t="shared" ca="1" si="3"/>
        <v>14</v>
      </c>
      <c r="I76" s="53">
        <f t="shared" ca="1" si="0"/>
        <v>210</v>
      </c>
      <c r="J76" s="58"/>
      <c r="K76" s="58"/>
    </row>
    <row r="77" spans="1:11" s="41" customFormat="1" ht="29.25">
      <c r="A77" s="50">
        <v>3</v>
      </c>
      <c r="B77" s="51" t="str">
        <f ca="1">IF($A77="","",NumList())</f>
        <v>1.5.2</v>
      </c>
      <c r="C77" s="62" t="s">
        <v>582</v>
      </c>
      <c r="D77" s="55">
        <f t="shared" ca="1" si="1"/>
        <v>1</v>
      </c>
      <c r="E77" s="55"/>
      <c r="F77" s="55">
        <f t="shared" ca="1" si="2"/>
        <v>95</v>
      </c>
      <c r="G77" s="51" t="s">
        <v>6</v>
      </c>
      <c r="H77" s="78">
        <f t="shared" ca="1" si="3"/>
        <v>32</v>
      </c>
      <c r="I77" s="53">
        <f t="shared" ca="1" si="0"/>
        <v>3040</v>
      </c>
      <c r="J77" s="58"/>
      <c r="K77" s="58"/>
    </row>
    <row r="78" spans="1:11" s="41" customFormat="1" ht="43.5">
      <c r="A78" s="50">
        <v>3</v>
      </c>
      <c r="B78" s="51" t="str">
        <f ca="1">IF($A78="","",NumList())</f>
        <v>1.5.3</v>
      </c>
      <c r="C78" s="62" t="s">
        <v>583</v>
      </c>
      <c r="D78" s="55">
        <f t="shared" ca="1" si="1"/>
        <v>1</v>
      </c>
      <c r="E78" s="55"/>
      <c r="F78" s="55">
        <f t="shared" ca="1" si="2"/>
        <v>95</v>
      </c>
      <c r="G78" s="51" t="s">
        <v>6</v>
      </c>
      <c r="H78" s="78">
        <f t="shared" ca="1" si="3"/>
        <v>30</v>
      </c>
      <c r="I78" s="53">
        <f t="shared" ca="1" si="0"/>
        <v>2850</v>
      </c>
      <c r="J78" s="58"/>
      <c r="K78" s="58"/>
    </row>
    <row r="79" spans="1:11" s="41" customFormat="1" ht="15">
      <c r="A79" s="50" t="s">
        <v>516</v>
      </c>
      <c r="B79" s="51" t="str">
        <f>IF($A79="","",NumList())</f>
        <v/>
      </c>
      <c r="C79" s="62"/>
      <c r="D79" s="55">
        <f t="shared" ca="1" si="1"/>
        <v>0</v>
      </c>
      <c r="E79" s="55"/>
      <c r="F79" s="55">
        <f t="shared" ca="1" si="2"/>
        <v>0</v>
      </c>
      <c r="G79" s="51"/>
      <c r="H79" s="78">
        <f t="shared" ca="1" si="3"/>
        <v>0</v>
      </c>
      <c r="I79" s="53">
        <f t="shared" ca="1" si="0"/>
        <v>0</v>
      </c>
      <c r="J79" s="58"/>
      <c r="K79" s="58"/>
    </row>
    <row r="80" spans="1:11" s="41" customFormat="1" ht="28.5">
      <c r="A80" s="50">
        <v>2</v>
      </c>
      <c r="B80" s="51" t="str">
        <f ca="1">IF($A80="","",NumList())</f>
        <v>1.6</v>
      </c>
      <c r="C80" s="62" t="s">
        <v>441</v>
      </c>
      <c r="D80" s="55">
        <f t="shared" ca="1" si="1"/>
        <v>0</v>
      </c>
      <c r="E80" s="55"/>
      <c r="F80" s="55">
        <f t="shared" ca="1" si="2"/>
        <v>0</v>
      </c>
      <c r="G80" s="51"/>
      <c r="H80" s="78">
        <f t="shared" ca="1" si="3"/>
        <v>0</v>
      </c>
      <c r="I80" s="53">
        <f t="shared" ca="1" si="0"/>
        <v>0</v>
      </c>
      <c r="J80" s="58"/>
      <c r="K80" s="58"/>
    </row>
    <row r="81" spans="1:11" s="41" customFormat="1" ht="15">
      <c r="A81" s="50">
        <v>3</v>
      </c>
      <c r="B81" s="51" t="str">
        <f ca="1">IF($A81="","",NumList())</f>
        <v>1.6.1</v>
      </c>
      <c r="C81" s="62" t="s">
        <v>584</v>
      </c>
      <c r="D81" s="55">
        <f t="shared" ca="1" si="1"/>
        <v>1</v>
      </c>
      <c r="E81" s="55"/>
      <c r="F81" s="55">
        <f t="shared" ca="1" si="2"/>
        <v>19</v>
      </c>
      <c r="G81" s="51" t="s">
        <v>8</v>
      </c>
      <c r="H81" s="78">
        <f t="shared" ca="1" si="3"/>
        <v>92</v>
      </c>
      <c r="I81" s="53">
        <f t="shared" ca="1" si="0"/>
        <v>1748</v>
      </c>
      <c r="J81" s="58"/>
      <c r="K81" s="58"/>
    </row>
    <row r="82" spans="1:11" s="41" customFormat="1" ht="15">
      <c r="A82" s="50">
        <v>3</v>
      </c>
      <c r="B82" s="51" t="str">
        <f ca="1">IF($A82="","",NumList())</f>
        <v>1.6.2</v>
      </c>
      <c r="C82" s="62" t="s">
        <v>585</v>
      </c>
      <c r="D82" s="55">
        <f t="shared" ca="1" si="1"/>
        <v>1</v>
      </c>
      <c r="E82" s="55"/>
      <c r="F82" s="55">
        <f t="shared" ca="1" si="2"/>
        <v>98</v>
      </c>
      <c r="G82" s="51" t="s">
        <v>8</v>
      </c>
      <c r="H82" s="78">
        <f t="shared" ca="1" si="3"/>
        <v>15</v>
      </c>
      <c r="I82" s="53">
        <f t="shared" ca="1" si="0"/>
        <v>1470</v>
      </c>
      <c r="J82" s="58"/>
      <c r="K82" s="58"/>
    </row>
    <row r="83" spans="1:11" s="41" customFormat="1" ht="15">
      <c r="A83" s="50" t="s">
        <v>516</v>
      </c>
      <c r="B83" s="51" t="str">
        <f>IF($A83="","",NumList())</f>
        <v/>
      </c>
      <c r="C83" s="62"/>
      <c r="D83" s="55">
        <f t="shared" ca="1" si="1"/>
        <v>0</v>
      </c>
      <c r="E83" s="55"/>
      <c r="F83" s="55">
        <f t="shared" ca="1" si="2"/>
        <v>0</v>
      </c>
      <c r="G83" s="51"/>
      <c r="H83" s="78">
        <f t="shared" ca="1" si="3"/>
        <v>0</v>
      </c>
      <c r="I83" s="53">
        <f t="shared" ca="1" si="0"/>
        <v>0</v>
      </c>
      <c r="J83" s="58"/>
      <c r="K83" s="58"/>
    </row>
    <row r="84" spans="1:11" s="41" customFormat="1" ht="15">
      <c r="A84" s="50">
        <v>1</v>
      </c>
      <c r="B84" s="51">
        <f ca="1">IF($A84="","",NumList())</f>
        <v>2</v>
      </c>
      <c r="C84" s="80" t="s">
        <v>597</v>
      </c>
      <c r="D84" s="55">
        <f t="shared" ca="1" si="1"/>
        <v>0</v>
      </c>
      <c r="E84" s="55"/>
      <c r="F84" s="55">
        <f t="shared" ca="1" si="2"/>
        <v>0</v>
      </c>
      <c r="G84" s="51"/>
      <c r="H84" s="78">
        <f t="shared" ca="1" si="3"/>
        <v>0</v>
      </c>
      <c r="I84" s="53">
        <f t="shared" ca="1" si="0"/>
        <v>0</v>
      </c>
      <c r="J84" s="58"/>
      <c r="K84" s="58"/>
    </row>
    <row r="85" spans="1:11" s="41" customFormat="1" ht="35.25" customHeight="1">
      <c r="A85" s="50">
        <v>2</v>
      </c>
      <c r="B85" s="51" t="str">
        <f ca="1">IF($A85="","",NumList())</f>
        <v>2.1</v>
      </c>
      <c r="C85" s="79" t="s">
        <v>437</v>
      </c>
      <c r="D85" s="55">
        <f t="shared" ca="1" si="1"/>
        <v>0</v>
      </c>
      <c r="E85" s="55"/>
      <c r="F85" s="55">
        <f t="shared" ca="1" si="2"/>
        <v>0</v>
      </c>
      <c r="G85" s="51"/>
      <c r="H85" s="78">
        <f t="shared" ca="1" si="3"/>
        <v>0</v>
      </c>
      <c r="I85" s="53">
        <f t="shared" ca="1" si="0"/>
        <v>0</v>
      </c>
      <c r="J85" s="58"/>
      <c r="K85" s="58"/>
    </row>
    <row r="86" spans="1:11" s="41" customFormat="1" ht="15">
      <c r="A86" s="50">
        <v>3</v>
      </c>
      <c r="B86" s="51" t="str">
        <f ca="1">IF($A86="","",NumList())</f>
        <v>2.1.1</v>
      </c>
      <c r="C86" s="61" t="s">
        <v>56</v>
      </c>
      <c r="D86" s="55">
        <f t="shared" ca="1" si="1"/>
        <v>1</v>
      </c>
      <c r="E86" s="55"/>
      <c r="F86" s="55">
        <f t="shared" ca="1" si="2"/>
        <v>93</v>
      </c>
      <c r="G86" s="51" t="s">
        <v>8</v>
      </c>
      <c r="H86" s="78">
        <f t="shared" ca="1" si="3"/>
        <v>57</v>
      </c>
      <c r="I86" s="53">
        <f t="shared" ca="1" si="0"/>
        <v>5301</v>
      </c>
      <c r="J86" s="58"/>
      <c r="K86" s="58"/>
    </row>
    <row r="87" spans="1:11" s="41" customFormat="1" ht="15">
      <c r="A87" s="50">
        <v>3</v>
      </c>
      <c r="B87" s="51" t="str">
        <f ca="1">IF($A87="","",NumList())</f>
        <v>2.1.2</v>
      </c>
      <c r="C87" s="61" t="s">
        <v>57</v>
      </c>
      <c r="D87" s="55">
        <f t="shared" ca="1" si="1"/>
        <v>1</v>
      </c>
      <c r="E87" s="55"/>
      <c r="F87" s="55">
        <f t="shared" ca="1" si="2"/>
        <v>80</v>
      </c>
      <c r="G87" s="51" t="s">
        <v>8</v>
      </c>
      <c r="H87" s="78">
        <f t="shared" ca="1" si="3"/>
        <v>66</v>
      </c>
      <c r="I87" s="53">
        <f t="shared" ca="1" si="0"/>
        <v>5280</v>
      </c>
      <c r="J87" s="58"/>
      <c r="K87" s="58"/>
    </row>
    <row r="88" spans="1:11" s="41" customFormat="1" ht="15">
      <c r="A88" s="50">
        <v>3</v>
      </c>
      <c r="B88" s="51" t="str">
        <f ca="1">IF($A88="","",NumList())</f>
        <v>2.1.3</v>
      </c>
      <c r="C88" s="61" t="s">
        <v>58</v>
      </c>
      <c r="D88" s="55">
        <f t="shared" ca="1" si="1"/>
        <v>1</v>
      </c>
      <c r="E88" s="55"/>
      <c r="F88" s="55">
        <f t="shared" ca="1" si="2"/>
        <v>37</v>
      </c>
      <c r="G88" s="51" t="s">
        <v>8</v>
      </c>
      <c r="H88" s="78">
        <f t="shared" ca="1" si="3"/>
        <v>66</v>
      </c>
      <c r="I88" s="53">
        <f t="shared" ca="1" si="0"/>
        <v>2442</v>
      </c>
      <c r="J88" s="58"/>
      <c r="K88" s="58"/>
    </row>
    <row r="89" spans="1:11" s="41" customFormat="1" ht="38.25" customHeight="1">
      <c r="A89" s="50">
        <v>2</v>
      </c>
      <c r="B89" s="51" t="str">
        <f ca="1">IF($A89="","",NumList())</f>
        <v>2.2</v>
      </c>
      <c r="C89" s="79" t="s">
        <v>438</v>
      </c>
      <c r="D89" s="55">
        <f t="shared" ca="1" si="1"/>
        <v>0</v>
      </c>
      <c r="E89" s="55"/>
      <c r="F89" s="55">
        <f t="shared" ca="1" si="2"/>
        <v>0</v>
      </c>
      <c r="G89" s="51"/>
      <c r="H89" s="78">
        <f t="shared" ca="1" si="3"/>
        <v>0</v>
      </c>
      <c r="I89" s="53">
        <f t="shared" ca="1" si="0"/>
        <v>0</v>
      </c>
      <c r="J89" s="58"/>
      <c r="K89" s="58"/>
    </row>
    <row r="90" spans="1:11" s="41" customFormat="1" ht="15">
      <c r="A90" s="50">
        <v>3</v>
      </c>
      <c r="B90" s="51" t="str">
        <f ca="1">IF($A90="","",NumList())</f>
        <v>2.2.1</v>
      </c>
      <c r="C90" s="61" t="s">
        <v>56</v>
      </c>
      <c r="D90" s="55">
        <f t="shared" ca="1" si="1"/>
        <v>1</v>
      </c>
      <c r="E90" s="55"/>
      <c r="F90" s="55">
        <f t="shared" ca="1" si="2"/>
        <v>83</v>
      </c>
      <c r="G90" s="51" t="s">
        <v>8</v>
      </c>
      <c r="H90" s="78">
        <f t="shared" ca="1" si="3"/>
        <v>80</v>
      </c>
      <c r="I90" s="53">
        <f t="shared" ref="I90:I153" ca="1" si="4">F90*H90</f>
        <v>6640</v>
      </c>
      <c r="J90" s="58"/>
      <c r="K90" s="58"/>
    </row>
    <row r="91" spans="1:11" s="41" customFormat="1" ht="15">
      <c r="A91" s="50">
        <v>3</v>
      </c>
      <c r="B91" s="51" t="str">
        <f ca="1">IF($A91="","",NumList())</f>
        <v>2.2.2</v>
      </c>
      <c r="C91" s="61" t="s">
        <v>57</v>
      </c>
      <c r="D91" s="55">
        <f t="shared" ca="1" si="1"/>
        <v>1</v>
      </c>
      <c r="E91" s="55"/>
      <c r="F91" s="55">
        <f t="shared" ca="1" si="2"/>
        <v>67</v>
      </c>
      <c r="G91" s="51" t="s">
        <v>8</v>
      </c>
      <c r="H91" s="78">
        <f t="shared" ca="1" si="3"/>
        <v>23</v>
      </c>
      <c r="I91" s="53">
        <f t="shared" ca="1" si="4"/>
        <v>1541</v>
      </c>
      <c r="J91" s="58"/>
      <c r="K91" s="58"/>
    </row>
    <row r="92" spans="1:11" s="41" customFormat="1" ht="15">
      <c r="A92" s="50">
        <v>3</v>
      </c>
      <c r="B92" s="51" t="str">
        <f ca="1">IF($A92="","",NumList())</f>
        <v>2.2.3</v>
      </c>
      <c r="C92" s="61" t="s">
        <v>58</v>
      </c>
      <c r="D92" s="55">
        <f t="shared" ca="1" si="1"/>
        <v>1</v>
      </c>
      <c r="E92" s="55"/>
      <c r="F92" s="55">
        <f t="shared" ca="1" si="2"/>
        <v>30</v>
      </c>
      <c r="G92" s="51" t="s">
        <v>8</v>
      </c>
      <c r="H92" s="78">
        <f t="shared" ca="1" si="3"/>
        <v>54</v>
      </c>
      <c r="I92" s="53">
        <f t="shared" ca="1" si="4"/>
        <v>1620</v>
      </c>
      <c r="J92" s="58"/>
      <c r="K92" s="58"/>
    </row>
    <row r="93" spans="1:11" s="41" customFormat="1" ht="34.5" customHeight="1">
      <c r="A93" s="50">
        <v>2</v>
      </c>
      <c r="B93" s="51" t="str">
        <f ca="1">IF($A93="","",NumList())</f>
        <v>2.3</v>
      </c>
      <c r="C93" s="79" t="s">
        <v>439</v>
      </c>
      <c r="D93" s="55">
        <f t="shared" ca="1" si="1"/>
        <v>0</v>
      </c>
      <c r="E93" s="55"/>
      <c r="F93" s="55">
        <f t="shared" ca="1" si="2"/>
        <v>0</v>
      </c>
      <c r="G93" s="51"/>
      <c r="H93" s="78">
        <f t="shared" ca="1" si="3"/>
        <v>0</v>
      </c>
      <c r="I93" s="53">
        <f t="shared" ca="1" si="4"/>
        <v>0</v>
      </c>
      <c r="J93" s="58"/>
      <c r="K93" s="58"/>
    </row>
    <row r="94" spans="1:11" s="41" customFormat="1" ht="15">
      <c r="A94" s="50">
        <v>3</v>
      </c>
      <c r="B94" s="51" t="str">
        <f ca="1">IF($A94="","",NumList())</f>
        <v>2.3.1</v>
      </c>
      <c r="C94" s="61" t="s">
        <v>56</v>
      </c>
      <c r="D94" s="55">
        <f t="shared" ref="D94:D157" ca="1" si="5">IF(ISTEXT(G94),RANDBETWEEN(1,1),0)</f>
        <v>1</v>
      </c>
      <c r="E94" s="55"/>
      <c r="F94" s="55">
        <f t="shared" ref="F94:F157" ca="1" si="6">IF(ISTEXT(G94),RANDBETWEEN(1,100),0)</f>
        <v>8</v>
      </c>
      <c r="G94" s="51" t="s">
        <v>8</v>
      </c>
      <c r="H94" s="78">
        <f t="shared" ref="H94:H157" ca="1" si="7">IF(ISTEXT(G94),RANDBETWEEN(1,100),0)</f>
        <v>50</v>
      </c>
      <c r="I94" s="53">
        <f t="shared" ca="1" si="4"/>
        <v>400</v>
      </c>
      <c r="J94" s="58"/>
      <c r="K94" s="58"/>
    </row>
    <row r="95" spans="1:11" s="41" customFormat="1" ht="15">
      <c r="A95" s="50">
        <v>3</v>
      </c>
      <c r="B95" s="51" t="str">
        <f ca="1">IF($A95="","",NumList())</f>
        <v>2.3.2</v>
      </c>
      <c r="C95" s="61" t="s">
        <v>57</v>
      </c>
      <c r="D95" s="55">
        <f t="shared" ca="1" si="5"/>
        <v>1</v>
      </c>
      <c r="E95" s="55"/>
      <c r="F95" s="55">
        <f t="shared" ca="1" si="6"/>
        <v>96</v>
      </c>
      <c r="G95" s="51" t="s">
        <v>8</v>
      </c>
      <c r="H95" s="78">
        <f t="shared" ca="1" si="7"/>
        <v>71</v>
      </c>
      <c r="I95" s="53">
        <f t="shared" ca="1" si="4"/>
        <v>6816</v>
      </c>
      <c r="J95" s="58"/>
      <c r="K95" s="58"/>
    </row>
    <row r="96" spans="1:11" s="41" customFormat="1" ht="15">
      <c r="A96" s="50">
        <v>3</v>
      </c>
      <c r="B96" s="51" t="str">
        <f ca="1">IF($A96="","",NumList())</f>
        <v>2.3.3</v>
      </c>
      <c r="C96" s="61" t="s">
        <v>58</v>
      </c>
      <c r="D96" s="55">
        <f t="shared" ca="1" si="5"/>
        <v>1</v>
      </c>
      <c r="E96" s="55"/>
      <c r="F96" s="55">
        <f t="shared" ca="1" si="6"/>
        <v>37</v>
      </c>
      <c r="G96" s="51" t="s">
        <v>8</v>
      </c>
      <c r="H96" s="78">
        <f t="shared" ca="1" si="7"/>
        <v>29</v>
      </c>
      <c r="I96" s="53">
        <f t="shared" ca="1" si="4"/>
        <v>1073</v>
      </c>
      <c r="J96" s="58"/>
      <c r="K96" s="58"/>
    </row>
    <row r="97" spans="1:11" s="41" customFormat="1" ht="35.25" customHeight="1">
      <c r="A97" s="50">
        <v>2</v>
      </c>
      <c r="B97" s="51" t="str">
        <f ca="1">IF($A97="","",NumList())</f>
        <v>2.4</v>
      </c>
      <c r="C97" s="79" t="s">
        <v>440</v>
      </c>
      <c r="D97" s="55">
        <f t="shared" ca="1" si="5"/>
        <v>0</v>
      </c>
      <c r="E97" s="55"/>
      <c r="F97" s="55">
        <f t="shared" ca="1" si="6"/>
        <v>0</v>
      </c>
      <c r="G97" s="51"/>
      <c r="H97" s="78">
        <f t="shared" ca="1" si="7"/>
        <v>0</v>
      </c>
      <c r="I97" s="53">
        <f t="shared" ca="1" si="4"/>
        <v>0</v>
      </c>
      <c r="J97" s="58"/>
      <c r="K97" s="58"/>
    </row>
    <row r="98" spans="1:11" s="41" customFormat="1" ht="15">
      <c r="A98" s="50">
        <v>3</v>
      </c>
      <c r="B98" s="51" t="str">
        <f ca="1">IF($A98="","",NumList())</f>
        <v>2.4.1</v>
      </c>
      <c r="C98" s="61" t="s">
        <v>56</v>
      </c>
      <c r="D98" s="55">
        <f t="shared" ca="1" si="5"/>
        <v>1</v>
      </c>
      <c r="E98" s="55"/>
      <c r="F98" s="55">
        <f t="shared" ca="1" si="6"/>
        <v>70</v>
      </c>
      <c r="G98" s="51" t="s">
        <v>8</v>
      </c>
      <c r="H98" s="78">
        <f t="shared" ca="1" si="7"/>
        <v>37</v>
      </c>
      <c r="I98" s="53">
        <f t="shared" ca="1" si="4"/>
        <v>2590</v>
      </c>
      <c r="J98" s="58"/>
      <c r="K98" s="58"/>
    </row>
    <row r="99" spans="1:11" s="41" customFormat="1" ht="15">
      <c r="A99" s="50">
        <v>3</v>
      </c>
      <c r="B99" s="51" t="str">
        <f ca="1">IF($A99="","",NumList())</f>
        <v>2.4.2</v>
      </c>
      <c r="C99" s="61" t="s">
        <v>57</v>
      </c>
      <c r="D99" s="55">
        <f t="shared" ca="1" si="5"/>
        <v>1</v>
      </c>
      <c r="E99" s="55"/>
      <c r="F99" s="55">
        <f t="shared" ca="1" si="6"/>
        <v>34</v>
      </c>
      <c r="G99" s="51" t="s">
        <v>8</v>
      </c>
      <c r="H99" s="78">
        <f t="shared" ca="1" si="7"/>
        <v>33</v>
      </c>
      <c r="I99" s="53">
        <f t="shared" ca="1" si="4"/>
        <v>1122</v>
      </c>
      <c r="J99" s="58"/>
      <c r="K99" s="58"/>
    </row>
    <row r="100" spans="1:11" s="41" customFormat="1" ht="15">
      <c r="A100" s="50">
        <v>3</v>
      </c>
      <c r="B100" s="51" t="str">
        <f ca="1">IF($A100="","",NumList())</f>
        <v>2.4.3</v>
      </c>
      <c r="C100" s="61" t="s">
        <v>58</v>
      </c>
      <c r="D100" s="55">
        <f t="shared" ca="1" si="5"/>
        <v>1</v>
      </c>
      <c r="E100" s="55"/>
      <c r="F100" s="55">
        <f t="shared" ca="1" si="6"/>
        <v>49</v>
      </c>
      <c r="G100" s="51" t="s">
        <v>8</v>
      </c>
      <c r="H100" s="78">
        <f t="shared" ca="1" si="7"/>
        <v>84</v>
      </c>
      <c r="I100" s="53">
        <f t="shared" ca="1" si="4"/>
        <v>4116</v>
      </c>
      <c r="J100" s="58"/>
      <c r="K100" s="58"/>
    </row>
    <row r="101" spans="1:11" s="41" customFormat="1" ht="15">
      <c r="A101" s="50" t="s">
        <v>516</v>
      </c>
      <c r="B101" s="51" t="str">
        <f>IF($A101="","",NumList())</f>
        <v/>
      </c>
      <c r="C101" s="61"/>
      <c r="D101" s="55">
        <f t="shared" ca="1" si="5"/>
        <v>0</v>
      </c>
      <c r="E101" s="55"/>
      <c r="F101" s="55">
        <f t="shared" ca="1" si="6"/>
        <v>0</v>
      </c>
      <c r="G101" s="51"/>
      <c r="H101" s="78">
        <f t="shared" ca="1" si="7"/>
        <v>0</v>
      </c>
      <c r="I101" s="53">
        <f t="shared" ca="1" si="4"/>
        <v>0</v>
      </c>
      <c r="J101" s="58"/>
      <c r="K101" s="58"/>
    </row>
    <row r="102" spans="1:11" s="41" customFormat="1" ht="15">
      <c r="A102" s="50">
        <v>2</v>
      </c>
      <c r="B102" s="51" t="str">
        <f ca="1">IF($A102="","",NumList())</f>
        <v>2.5</v>
      </c>
      <c r="C102" s="62" t="s">
        <v>59</v>
      </c>
      <c r="D102" s="55">
        <f t="shared" ca="1" si="5"/>
        <v>1</v>
      </c>
      <c r="E102" s="55"/>
      <c r="F102" s="55">
        <f t="shared" ca="1" si="6"/>
        <v>57</v>
      </c>
      <c r="G102" s="51" t="s">
        <v>8</v>
      </c>
      <c r="H102" s="78">
        <f t="shared" ca="1" si="7"/>
        <v>100</v>
      </c>
      <c r="I102" s="53">
        <f t="shared" ca="1" si="4"/>
        <v>5700</v>
      </c>
      <c r="J102" s="58"/>
      <c r="K102" s="58"/>
    </row>
    <row r="103" spans="1:11" s="41" customFormat="1" ht="15">
      <c r="A103" s="50" t="s">
        <v>516</v>
      </c>
      <c r="B103" s="51" t="str">
        <f>IF($A103="","",NumList())</f>
        <v/>
      </c>
      <c r="C103" s="62"/>
      <c r="D103" s="55">
        <f t="shared" ca="1" si="5"/>
        <v>0</v>
      </c>
      <c r="E103" s="55"/>
      <c r="F103" s="55">
        <f t="shared" ca="1" si="6"/>
        <v>0</v>
      </c>
      <c r="G103" s="51"/>
      <c r="H103" s="78">
        <f t="shared" ca="1" si="7"/>
        <v>0</v>
      </c>
      <c r="I103" s="53">
        <f t="shared" ca="1" si="4"/>
        <v>0</v>
      </c>
      <c r="J103" s="58"/>
      <c r="K103" s="58"/>
    </row>
    <row r="104" spans="1:11" s="41" customFormat="1" ht="15">
      <c r="A104" s="50">
        <v>2</v>
      </c>
      <c r="B104" s="51" t="str">
        <f ca="1">IF($A104="","",NumList())</f>
        <v>2.6</v>
      </c>
      <c r="C104" s="62" t="s">
        <v>371</v>
      </c>
      <c r="D104" s="55">
        <f t="shared" ca="1" si="5"/>
        <v>0</v>
      </c>
      <c r="E104" s="55"/>
      <c r="F104" s="55">
        <f t="shared" ca="1" si="6"/>
        <v>0</v>
      </c>
      <c r="G104" s="51"/>
      <c r="H104" s="78">
        <f t="shared" ca="1" si="7"/>
        <v>0</v>
      </c>
      <c r="I104" s="53">
        <f t="shared" ca="1" si="4"/>
        <v>0</v>
      </c>
      <c r="J104" s="58"/>
      <c r="K104" s="58"/>
    </row>
    <row r="105" spans="1:11" s="41" customFormat="1" ht="15">
      <c r="A105" s="50">
        <v>3</v>
      </c>
      <c r="B105" s="51" t="str">
        <f ca="1">IF($A105="","",NumList())</f>
        <v>2.6.1</v>
      </c>
      <c r="C105" s="61" t="s">
        <v>56</v>
      </c>
      <c r="D105" s="55">
        <f t="shared" ca="1" si="5"/>
        <v>1</v>
      </c>
      <c r="E105" s="55"/>
      <c r="F105" s="55">
        <f t="shared" ca="1" si="6"/>
        <v>42</v>
      </c>
      <c r="G105" s="51" t="s">
        <v>8</v>
      </c>
      <c r="H105" s="78">
        <f t="shared" ca="1" si="7"/>
        <v>23</v>
      </c>
      <c r="I105" s="53">
        <f t="shared" ca="1" si="4"/>
        <v>966</v>
      </c>
      <c r="J105" s="58"/>
      <c r="K105" s="58"/>
    </row>
    <row r="106" spans="1:11" s="41" customFormat="1" ht="15">
      <c r="A106" s="50">
        <v>3</v>
      </c>
      <c r="B106" s="51" t="str">
        <f ca="1">IF($A106="","",NumList())</f>
        <v>2.6.2</v>
      </c>
      <c r="C106" s="61" t="s">
        <v>57</v>
      </c>
      <c r="D106" s="55">
        <f t="shared" ca="1" si="5"/>
        <v>1</v>
      </c>
      <c r="E106" s="55"/>
      <c r="F106" s="55">
        <f t="shared" ca="1" si="6"/>
        <v>76</v>
      </c>
      <c r="G106" s="51" t="s">
        <v>8</v>
      </c>
      <c r="H106" s="78">
        <f t="shared" ca="1" si="7"/>
        <v>23</v>
      </c>
      <c r="I106" s="53">
        <f t="shared" ca="1" si="4"/>
        <v>1748</v>
      </c>
      <c r="J106" s="58"/>
      <c r="K106" s="58"/>
    </row>
    <row r="107" spans="1:11" s="41" customFormat="1" ht="15">
      <c r="A107" s="50">
        <v>3</v>
      </c>
      <c r="B107" s="51" t="str">
        <f ca="1">IF($A107="","",NumList())</f>
        <v>2.6.3</v>
      </c>
      <c r="C107" s="61" t="s">
        <v>58</v>
      </c>
      <c r="D107" s="55">
        <f t="shared" ca="1" si="5"/>
        <v>1</v>
      </c>
      <c r="E107" s="55"/>
      <c r="F107" s="55">
        <f t="shared" ca="1" si="6"/>
        <v>22</v>
      </c>
      <c r="G107" s="51" t="s">
        <v>8</v>
      </c>
      <c r="H107" s="78">
        <f t="shared" ca="1" si="7"/>
        <v>43</v>
      </c>
      <c r="I107" s="53">
        <f t="shared" ca="1" si="4"/>
        <v>946</v>
      </c>
      <c r="J107" s="58"/>
      <c r="K107" s="58"/>
    </row>
    <row r="108" spans="1:11" s="41" customFormat="1" ht="15">
      <c r="A108" s="50" t="s">
        <v>516</v>
      </c>
      <c r="B108" s="51" t="str">
        <f>IF($A108="","",NumList())</f>
        <v/>
      </c>
      <c r="C108" s="62"/>
      <c r="D108" s="55">
        <f t="shared" ca="1" si="5"/>
        <v>0</v>
      </c>
      <c r="E108" s="55"/>
      <c r="F108" s="55">
        <f t="shared" ca="1" si="6"/>
        <v>0</v>
      </c>
      <c r="G108" s="51"/>
      <c r="H108" s="78">
        <f t="shared" ca="1" si="7"/>
        <v>0</v>
      </c>
      <c r="I108" s="53">
        <f t="shared" ca="1" si="4"/>
        <v>0</v>
      </c>
      <c r="J108" s="58"/>
      <c r="K108" s="58"/>
    </row>
    <row r="109" spans="1:11" s="41" customFormat="1" ht="15">
      <c r="A109" s="50">
        <v>2</v>
      </c>
      <c r="B109" s="51" t="str">
        <f ca="1">IF($A109="","",NumList())</f>
        <v>2.7</v>
      </c>
      <c r="C109" s="62" t="s">
        <v>436</v>
      </c>
      <c r="D109" s="55">
        <f t="shared" ca="1" si="5"/>
        <v>1</v>
      </c>
      <c r="E109" s="55"/>
      <c r="F109" s="55">
        <f t="shared" ca="1" si="6"/>
        <v>29</v>
      </c>
      <c r="G109" s="51" t="s">
        <v>8</v>
      </c>
      <c r="H109" s="78">
        <f t="shared" ca="1" si="7"/>
        <v>94</v>
      </c>
      <c r="I109" s="53">
        <f t="shared" ca="1" si="4"/>
        <v>2726</v>
      </c>
      <c r="J109" s="58"/>
      <c r="K109" s="58"/>
    </row>
    <row r="110" spans="1:11" s="41" customFormat="1" ht="15">
      <c r="A110" s="50" t="s">
        <v>516</v>
      </c>
      <c r="B110" s="51" t="str">
        <f>IF($A110="","",NumList())</f>
        <v/>
      </c>
      <c r="C110" s="80"/>
      <c r="D110" s="55">
        <f t="shared" ca="1" si="5"/>
        <v>0</v>
      </c>
      <c r="E110" s="55"/>
      <c r="F110" s="55">
        <f t="shared" ca="1" si="6"/>
        <v>0</v>
      </c>
      <c r="G110" s="51"/>
      <c r="H110" s="78">
        <f t="shared" ca="1" si="7"/>
        <v>0</v>
      </c>
      <c r="I110" s="53">
        <f t="shared" ca="1" si="4"/>
        <v>0</v>
      </c>
      <c r="J110" s="58"/>
      <c r="K110" s="58"/>
    </row>
    <row r="111" spans="1:11" s="41" customFormat="1" ht="29.25">
      <c r="A111" s="50">
        <v>1</v>
      </c>
      <c r="B111" s="51">
        <f ca="1">IF($A111="","",NumList())</f>
        <v>3</v>
      </c>
      <c r="C111" s="63" t="s">
        <v>598</v>
      </c>
      <c r="D111" s="55">
        <f t="shared" ca="1" si="5"/>
        <v>0</v>
      </c>
      <c r="E111" s="48"/>
      <c r="F111" s="55">
        <f t="shared" ca="1" si="6"/>
        <v>0</v>
      </c>
      <c r="G111" s="46"/>
      <c r="H111" s="78">
        <f t="shared" ca="1" si="7"/>
        <v>0</v>
      </c>
      <c r="I111" s="53">
        <f t="shared" ca="1" si="4"/>
        <v>0</v>
      </c>
      <c r="J111" s="58"/>
      <c r="K111" s="58"/>
    </row>
    <row r="112" spans="1:11" s="41" customFormat="1" ht="15">
      <c r="A112" s="50">
        <v>2</v>
      </c>
      <c r="B112" s="51" t="str">
        <f ca="1">IF($A112="","",NumList())</f>
        <v>3.1</v>
      </c>
      <c r="C112" s="81" t="s">
        <v>372</v>
      </c>
      <c r="D112" s="55">
        <f t="shared" ca="1" si="5"/>
        <v>0</v>
      </c>
      <c r="E112" s="55"/>
      <c r="F112" s="55">
        <f t="shared" ca="1" si="6"/>
        <v>0</v>
      </c>
      <c r="G112" s="51"/>
      <c r="H112" s="78">
        <f t="shared" ca="1" si="7"/>
        <v>0</v>
      </c>
      <c r="I112" s="53">
        <f t="shared" ca="1" si="4"/>
        <v>0</v>
      </c>
      <c r="J112" s="58"/>
      <c r="K112" s="58"/>
    </row>
    <row r="113" spans="1:11" s="41" customFormat="1" ht="15">
      <c r="A113" s="50">
        <v>3</v>
      </c>
      <c r="B113" s="51" t="str">
        <f ca="1">IF($A113="","",NumList())</f>
        <v>3.1.1</v>
      </c>
      <c r="C113" s="61" t="s">
        <v>56</v>
      </c>
      <c r="D113" s="55">
        <f t="shared" ca="1" si="5"/>
        <v>1</v>
      </c>
      <c r="E113" s="55"/>
      <c r="F113" s="55">
        <f t="shared" ca="1" si="6"/>
        <v>38</v>
      </c>
      <c r="G113" s="51" t="s">
        <v>8</v>
      </c>
      <c r="H113" s="78">
        <f t="shared" ca="1" si="7"/>
        <v>72</v>
      </c>
      <c r="I113" s="53">
        <f t="shared" ca="1" si="4"/>
        <v>2736</v>
      </c>
      <c r="J113" s="58"/>
      <c r="K113" s="58"/>
    </row>
    <row r="114" spans="1:11" s="41" customFormat="1" ht="15">
      <c r="A114" s="50">
        <v>3</v>
      </c>
      <c r="B114" s="51" t="str">
        <f ca="1">IF($A114="","",NumList())</f>
        <v>3.1.2</v>
      </c>
      <c r="C114" s="61" t="s">
        <v>57</v>
      </c>
      <c r="D114" s="55">
        <f t="shared" ca="1" si="5"/>
        <v>1</v>
      </c>
      <c r="E114" s="55"/>
      <c r="F114" s="55">
        <f t="shared" ca="1" si="6"/>
        <v>99</v>
      </c>
      <c r="G114" s="51" t="s">
        <v>8</v>
      </c>
      <c r="H114" s="78">
        <f t="shared" ca="1" si="7"/>
        <v>78</v>
      </c>
      <c r="I114" s="53">
        <f t="shared" ca="1" si="4"/>
        <v>7722</v>
      </c>
      <c r="J114" s="58"/>
      <c r="K114" s="58"/>
    </row>
    <row r="115" spans="1:11" s="41" customFormat="1" ht="15">
      <c r="A115" s="50">
        <v>3</v>
      </c>
      <c r="B115" s="51" t="str">
        <f ca="1">IF($A115="","",NumList())</f>
        <v>3.1.3</v>
      </c>
      <c r="C115" s="61" t="s">
        <v>58</v>
      </c>
      <c r="D115" s="55">
        <f t="shared" ca="1" si="5"/>
        <v>1</v>
      </c>
      <c r="E115" s="55"/>
      <c r="F115" s="55">
        <f t="shared" ca="1" si="6"/>
        <v>6</v>
      </c>
      <c r="G115" s="51" t="s">
        <v>8</v>
      </c>
      <c r="H115" s="78">
        <f t="shared" ca="1" si="7"/>
        <v>64</v>
      </c>
      <c r="I115" s="53">
        <f t="shared" ca="1" si="4"/>
        <v>384</v>
      </c>
      <c r="J115" s="58"/>
      <c r="K115" s="58"/>
    </row>
    <row r="116" spans="1:11" s="41" customFormat="1" ht="15">
      <c r="A116" s="50">
        <v>2</v>
      </c>
      <c r="B116" s="51" t="str">
        <f ca="1">IF($A116="","",NumList())</f>
        <v>3.2</v>
      </c>
      <c r="C116" s="81" t="s">
        <v>373</v>
      </c>
      <c r="D116" s="55">
        <f t="shared" ca="1" si="5"/>
        <v>0</v>
      </c>
      <c r="E116" s="55"/>
      <c r="F116" s="55">
        <f t="shared" ca="1" si="6"/>
        <v>0</v>
      </c>
      <c r="G116" s="51"/>
      <c r="H116" s="78">
        <f t="shared" ca="1" si="7"/>
        <v>0</v>
      </c>
      <c r="I116" s="53">
        <f t="shared" ca="1" si="4"/>
        <v>0</v>
      </c>
      <c r="J116" s="58"/>
      <c r="K116" s="58"/>
    </row>
    <row r="117" spans="1:11" s="41" customFormat="1" ht="15">
      <c r="A117" s="50">
        <v>3</v>
      </c>
      <c r="B117" s="51" t="str">
        <f ca="1">IF($A117="","",NumList())</f>
        <v>3.2.1</v>
      </c>
      <c r="C117" s="61" t="s">
        <v>56</v>
      </c>
      <c r="D117" s="55">
        <f t="shared" ca="1" si="5"/>
        <v>1</v>
      </c>
      <c r="E117" s="55"/>
      <c r="F117" s="55">
        <f t="shared" ca="1" si="6"/>
        <v>82</v>
      </c>
      <c r="G117" s="51" t="s">
        <v>8</v>
      </c>
      <c r="H117" s="78">
        <f t="shared" ca="1" si="7"/>
        <v>79</v>
      </c>
      <c r="I117" s="53">
        <f t="shared" ca="1" si="4"/>
        <v>6478</v>
      </c>
      <c r="J117" s="58"/>
      <c r="K117" s="58"/>
    </row>
    <row r="118" spans="1:11" s="41" customFormat="1" ht="15">
      <c r="A118" s="50">
        <v>3</v>
      </c>
      <c r="B118" s="51" t="str">
        <f ca="1">IF($A118="","",NumList())</f>
        <v>3.2.2</v>
      </c>
      <c r="C118" s="61" t="s">
        <v>57</v>
      </c>
      <c r="D118" s="55">
        <f t="shared" ca="1" si="5"/>
        <v>1</v>
      </c>
      <c r="E118" s="55"/>
      <c r="F118" s="55">
        <f t="shared" ca="1" si="6"/>
        <v>83</v>
      </c>
      <c r="G118" s="51" t="s">
        <v>8</v>
      </c>
      <c r="H118" s="78">
        <f t="shared" ca="1" si="7"/>
        <v>70</v>
      </c>
      <c r="I118" s="53">
        <f t="shared" ca="1" si="4"/>
        <v>5810</v>
      </c>
      <c r="J118" s="58"/>
      <c r="K118" s="58"/>
    </row>
    <row r="119" spans="1:11" s="41" customFormat="1" ht="15">
      <c r="A119" s="50">
        <v>3</v>
      </c>
      <c r="B119" s="51" t="str">
        <f ca="1">IF($A119="","",NumList())</f>
        <v>3.2.3</v>
      </c>
      <c r="C119" s="61" t="s">
        <v>58</v>
      </c>
      <c r="D119" s="55">
        <f t="shared" ca="1" si="5"/>
        <v>1</v>
      </c>
      <c r="E119" s="55"/>
      <c r="F119" s="55">
        <f t="shared" ca="1" si="6"/>
        <v>86</v>
      </c>
      <c r="G119" s="51" t="s">
        <v>8</v>
      </c>
      <c r="H119" s="78">
        <f t="shared" ca="1" si="7"/>
        <v>61</v>
      </c>
      <c r="I119" s="53">
        <f t="shared" ca="1" si="4"/>
        <v>5246</v>
      </c>
      <c r="J119" s="58"/>
      <c r="K119" s="58"/>
    </row>
    <row r="120" spans="1:11" s="41" customFormat="1" ht="15">
      <c r="A120" s="50" t="s">
        <v>516</v>
      </c>
      <c r="B120" s="51" t="str">
        <f>IF($A120="","",NumList())</f>
        <v/>
      </c>
      <c r="C120" s="61"/>
      <c r="D120" s="55">
        <f t="shared" ca="1" si="5"/>
        <v>0</v>
      </c>
      <c r="E120" s="55"/>
      <c r="F120" s="55">
        <f t="shared" ca="1" si="6"/>
        <v>0</v>
      </c>
      <c r="G120" s="51"/>
      <c r="H120" s="78">
        <f t="shared" ca="1" si="7"/>
        <v>0</v>
      </c>
      <c r="I120" s="53">
        <f t="shared" ca="1" si="4"/>
        <v>0</v>
      </c>
      <c r="J120" s="58"/>
      <c r="K120" s="58"/>
    </row>
    <row r="121" spans="1:11" s="41" customFormat="1" ht="15">
      <c r="A121" s="50">
        <v>2</v>
      </c>
      <c r="B121" s="51" t="str">
        <f ca="1">IF($A121="","",NumList())</f>
        <v>3.3</v>
      </c>
      <c r="C121" s="62" t="s">
        <v>374</v>
      </c>
      <c r="D121" s="55">
        <f t="shared" ca="1" si="5"/>
        <v>1</v>
      </c>
      <c r="E121" s="55"/>
      <c r="F121" s="55">
        <f t="shared" ca="1" si="6"/>
        <v>74</v>
      </c>
      <c r="G121" s="51" t="s">
        <v>8</v>
      </c>
      <c r="H121" s="78">
        <f t="shared" ca="1" si="7"/>
        <v>8</v>
      </c>
      <c r="I121" s="53">
        <f t="shared" ca="1" si="4"/>
        <v>592</v>
      </c>
      <c r="J121" s="58"/>
      <c r="K121" s="58"/>
    </row>
    <row r="122" spans="1:11" s="41" customFormat="1" ht="15">
      <c r="A122" s="50" t="s">
        <v>516</v>
      </c>
      <c r="B122" s="51" t="str">
        <f>IF($A122="","",NumList())</f>
        <v/>
      </c>
      <c r="C122" s="80"/>
      <c r="D122" s="55">
        <f t="shared" ca="1" si="5"/>
        <v>0</v>
      </c>
      <c r="E122" s="55"/>
      <c r="F122" s="55">
        <f t="shared" ca="1" si="6"/>
        <v>0</v>
      </c>
      <c r="G122" s="51"/>
      <c r="H122" s="78">
        <f t="shared" ca="1" si="7"/>
        <v>0</v>
      </c>
      <c r="I122" s="53">
        <f t="shared" ca="1" si="4"/>
        <v>0</v>
      </c>
      <c r="J122" s="58"/>
      <c r="K122" s="58"/>
    </row>
    <row r="123" spans="1:11" s="41" customFormat="1" ht="29.25">
      <c r="A123" s="50">
        <v>1</v>
      </c>
      <c r="B123" s="51">
        <f ca="1">IF($A123="","",NumList())</f>
        <v>4</v>
      </c>
      <c r="C123" s="63" t="s">
        <v>599</v>
      </c>
      <c r="D123" s="55">
        <f t="shared" ca="1" si="5"/>
        <v>0</v>
      </c>
      <c r="E123" s="55"/>
      <c r="F123" s="55">
        <f t="shared" ca="1" si="6"/>
        <v>0</v>
      </c>
      <c r="G123" s="51"/>
      <c r="H123" s="78">
        <f t="shared" ca="1" si="7"/>
        <v>0</v>
      </c>
      <c r="I123" s="53">
        <f t="shared" ca="1" si="4"/>
        <v>0</v>
      </c>
      <c r="J123" s="58"/>
      <c r="K123" s="58"/>
    </row>
    <row r="124" spans="1:11" s="41" customFormat="1" ht="15">
      <c r="A124" s="50">
        <v>2</v>
      </c>
      <c r="B124" s="51" t="str">
        <f ca="1">IF($A124="","",NumList())</f>
        <v>4.1</v>
      </c>
      <c r="C124" s="81" t="s">
        <v>318</v>
      </c>
      <c r="D124" s="55">
        <f t="shared" ca="1" si="5"/>
        <v>0</v>
      </c>
      <c r="E124" s="55"/>
      <c r="F124" s="55">
        <f t="shared" ca="1" si="6"/>
        <v>0</v>
      </c>
      <c r="G124" s="51"/>
      <c r="H124" s="78">
        <f t="shared" ca="1" si="7"/>
        <v>0</v>
      </c>
      <c r="I124" s="53">
        <f t="shared" ca="1" si="4"/>
        <v>0</v>
      </c>
      <c r="J124" s="58"/>
      <c r="K124" s="58"/>
    </row>
    <row r="125" spans="1:11" s="41" customFormat="1" ht="15">
      <c r="A125" s="50">
        <v>3</v>
      </c>
      <c r="B125" s="51" t="str">
        <f ca="1">IF($A125="","",NumList())</f>
        <v>4.1.1</v>
      </c>
      <c r="C125" s="61" t="s">
        <v>56</v>
      </c>
      <c r="D125" s="55">
        <f t="shared" ca="1" si="5"/>
        <v>1</v>
      </c>
      <c r="E125" s="55"/>
      <c r="F125" s="55">
        <f t="shared" ca="1" si="6"/>
        <v>72</v>
      </c>
      <c r="G125" s="51" t="s">
        <v>8</v>
      </c>
      <c r="H125" s="78">
        <f t="shared" ca="1" si="7"/>
        <v>35</v>
      </c>
      <c r="I125" s="53">
        <f t="shared" ca="1" si="4"/>
        <v>2520</v>
      </c>
      <c r="J125" s="58"/>
      <c r="K125" s="58"/>
    </row>
    <row r="126" spans="1:11" s="41" customFormat="1" ht="15">
      <c r="A126" s="50">
        <v>3</v>
      </c>
      <c r="B126" s="51" t="str">
        <f ca="1">IF($A126="","",NumList())</f>
        <v>4.1.2</v>
      </c>
      <c r="C126" s="61" t="s">
        <v>57</v>
      </c>
      <c r="D126" s="55">
        <f t="shared" ca="1" si="5"/>
        <v>1</v>
      </c>
      <c r="E126" s="55"/>
      <c r="F126" s="55">
        <f t="shared" ca="1" si="6"/>
        <v>68</v>
      </c>
      <c r="G126" s="51" t="s">
        <v>8</v>
      </c>
      <c r="H126" s="78">
        <f t="shared" ca="1" si="7"/>
        <v>80</v>
      </c>
      <c r="I126" s="53">
        <f t="shared" ca="1" si="4"/>
        <v>5440</v>
      </c>
      <c r="J126" s="58"/>
      <c r="K126" s="58"/>
    </row>
    <row r="127" spans="1:11" s="41" customFormat="1" ht="15">
      <c r="A127" s="50">
        <v>3</v>
      </c>
      <c r="B127" s="51" t="str">
        <f ca="1">IF($A127="","",NumList())</f>
        <v>4.1.3</v>
      </c>
      <c r="C127" s="61" t="s">
        <v>58</v>
      </c>
      <c r="D127" s="55">
        <f t="shared" ca="1" si="5"/>
        <v>1</v>
      </c>
      <c r="E127" s="55"/>
      <c r="F127" s="55">
        <f t="shared" ca="1" si="6"/>
        <v>89</v>
      </c>
      <c r="G127" s="51" t="s">
        <v>8</v>
      </c>
      <c r="H127" s="78">
        <f t="shared" ca="1" si="7"/>
        <v>51</v>
      </c>
      <c r="I127" s="53">
        <f t="shared" ca="1" si="4"/>
        <v>4539</v>
      </c>
      <c r="J127" s="58"/>
      <c r="K127" s="58"/>
    </row>
    <row r="128" spans="1:11" s="41" customFormat="1" ht="15">
      <c r="A128" s="50" t="s">
        <v>516</v>
      </c>
      <c r="B128" s="51" t="str">
        <f>IF($A128="","",NumList())</f>
        <v/>
      </c>
      <c r="C128" s="61"/>
      <c r="D128" s="55">
        <f t="shared" ca="1" si="5"/>
        <v>0</v>
      </c>
      <c r="E128" s="55"/>
      <c r="F128" s="55">
        <f t="shared" ca="1" si="6"/>
        <v>0</v>
      </c>
      <c r="G128" s="51"/>
      <c r="H128" s="78">
        <f t="shared" ca="1" si="7"/>
        <v>0</v>
      </c>
      <c r="I128" s="53">
        <f t="shared" ca="1" si="4"/>
        <v>0</v>
      </c>
      <c r="J128" s="58"/>
      <c r="K128" s="58"/>
    </row>
    <row r="129" spans="1:11" s="41" customFormat="1" ht="15">
      <c r="A129" s="50">
        <v>2</v>
      </c>
      <c r="B129" s="51" t="str">
        <f ca="1">IF($A129="","",NumList())</f>
        <v>4.2</v>
      </c>
      <c r="C129" s="62" t="s">
        <v>319</v>
      </c>
      <c r="D129" s="55">
        <f t="shared" ca="1" si="5"/>
        <v>1</v>
      </c>
      <c r="E129" s="55"/>
      <c r="F129" s="55">
        <f t="shared" ca="1" si="6"/>
        <v>5</v>
      </c>
      <c r="G129" s="51" t="s">
        <v>8</v>
      </c>
      <c r="H129" s="78">
        <f t="shared" ca="1" si="7"/>
        <v>28</v>
      </c>
      <c r="I129" s="53">
        <f t="shared" ca="1" si="4"/>
        <v>140</v>
      </c>
      <c r="J129" s="58"/>
      <c r="K129" s="58"/>
    </row>
    <row r="130" spans="1:11" s="41" customFormat="1" ht="15">
      <c r="A130" s="50" t="s">
        <v>516</v>
      </c>
      <c r="B130" s="51" t="str">
        <f>IF($A130="","",NumList())</f>
        <v/>
      </c>
      <c r="C130" s="54"/>
      <c r="D130" s="55">
        <f t="shared" ca="1" si="5"/>
        <v>0</v>
      </c>
      <c r="E130" s="55"/>
      <c r="F130" s="55">
        <f t="shared" ca="1" si="6"/>
        <v>0</v>
      </c>
      <c r="G130" s="51"/>
      <c r="H130" s="78">
        <f t="shared" ca="1" si="7"/>
        <v>0</v>
      </c>
      <c r="I130" s="53">
        <f t="shared" ca="1" si="4"/>
        <v>0</v>
      </c>
      <c r="J130" s="58"/>
      <c r="K130" s="58"/>
    </row>
    <row r="131" spans="1:11" s="41" customFormat="1" ht="29.25">
      <c r="A131" s="50">
        <v>1</v>
      </c>
      <c r="B131" s="51">
        <f ca="1">IF($A131="","",NumList())</f>
        <v>5</v>
      </c>
      <c r="C131" s="63" t="s">
        <v>600</v>
      </c>
      <c r="D131" s="55">
        <f t="shared" ca="1" si="5"/>
        <v>0</v>
      </c>
      <c r="E131" s="55"/>
      <c r="F131" s="55">
        <f t="shared" ca="1" si="6"/>
        <v>0</v>
      </c>
      <c r="G131" s="51"/>
      <c r="H131" s="78">
        <f t="shared" ca="1" si="7"/>
        <v>0</v>
      </c>
      <c r="I131" s="53">
        <f t="shared" ca="1" si="4"/>
        <v>0</v>
      </c>
      <c r="J131" s="58"/>
      <c r="K131" s="58"/>
    </row>
    <row r="132" spans="1:11" s="41" customFormat="1" ht="19.5" customHeight="1">
      <c r="A132" s="50">
        <v>2</v>
      </c>
      <c r="B132" s="51" t="str">
        <f ca="1">IF($A132="","",NumList())</f>
        <v>5.1</v>
      </c>
      <c r="C132" s="62" t="s">
        <v>435</v>
      </c>
      <c r="D132" s="55">
        <f t="shared" ca="1" si="5"/>
        <v>0</v>
      </c>
      <c r="E132" s="55"/>
      <c r="F132" s="55">
        <f t="shared" ca="1" si="6"/>
        <v>0</v>
      </c>
      <c r="G132" s="51"/>
      <c r="H132" s="78">
        <f t="shared" ca="1" si="7"/>
        <v>0</v>
      </c>
      <c r="I132" s="53">
        <f t="shared" ca="1" si="4"/>
        <v>0</v>
      </c>
      <c r="J132" s="58"/>
      <c r="K132" s="58"/>
    </row>
    <row r="133" spans="1:11" s="41" customFormat="1" ht="15">
      <c r="A133" s="50">
        <v>3</v>
      </c>
      <c r="B133" s="51" t="str">
        <f ca="1">IF($A133="","",NumList())</f>
        <v>5.1.1</v>
      </c>
      <c r="C133" s="61" t="s">
        <v>56</v>
      </c>
      <c r="D133" s="55">
        <f t="shared" ca="1" si="5"/>
        <v>1</v>
      </c>
      <c r="E133" s="55"/>
      <c r="F133" s="55">
        <f t="shared" ca="1" si="6"/>
        <v>44</v>
      </c>
      <c r="G133" s="51" t="s">
        <v>8</v>
      </c>
      <c r="H133" s="78">
        <f t="shared" ca="1" si="7"/>
        <v>49</v>
      </c>
      <c r="I133" s="53">
        <f t="shared" ca="1" si="4"/>
        <v>2156</v>
      </c>
      <c r="J133" s="58"/>
      <c r="K133" s="58"/>
    </row>
    <row r="134" spans="1:11" s="41" customFormat="1" ht="15">
      <c r="A134" s="50">
        <v>3</v>
      </c>
      <c r="B134" s="51" t="str">
        <f ca="1">IF($A134="","",NumList())</f>
        <v>5.1.2</v>
      </c>
      <c r="C134" s="61" t="s">
        <v>57</v>
      </c>
      <c r="D134" s="55">
        <f t="shared" ca="1" si="5"/>
        <v>1</v>
      </c>
      <c r="E134" s="55"/>
      <c r="F134" s="55">
        <f t="shared" ca="1" si="6"/>
        <v>83</v>
      </c>
      <c r="G134" s="51" t="s">
        <v>8</v>
      </c>
      <c r="H134" s="78">
        <f t="shared" ca="1" si="7"/>
        <v>36</v>
      </c>
      <c r="I134" s="53">
        <f t="shared" ca="1" si="4"/>
        <v>2988</v>
      </c>
      <c r="J134" s="58"/>
      <c r="K134" s="58"/>
    </row>
    <row r="135" spans="1:11" s="41" customFormat="1" ht="15">
      <c r="A135" s="50">
        <v>3</v>
      </c>
      <c r="B135" s="51" t="str">
        <f ca="1">IF($A135="","",NumList())</f>
        <v>5.1.3</v>
      </c>
      <c r="C135" s="61" t="s">
        <v>58</v>
      </c>
      <c r="D135" s="55">
        <f t="shared" ca="1" si="5"/>
        <v>1</v>
      </c>
      <c r="E135" s="55"/>
      <c r="F135" s="55">
        <f t="shared" ca="1" si="6"/>
        <v>99</v>
      </c>
      <c r="G135" s="51" t="s">
        <v>8</v>
      </c>
      <c r="H135" s="78">
        <f t="shared" ca="1" si="7"/>
        <v>44</v>
      </c>
      <c r="I135" s="53">
        <f t="shared" ca="1" si="4"/>
        <v>4356</v>
      </c>
      <c r="J135" s="58"/>
      <c r="K135" s="58"/>
    </row>
    <row r="136" spans="1:11" s="41" customFormat="1" ht="15">
      <c r="A136" s="50" t="s">
        <v>516</v>
      </c>
      <c r="B136" s="51" t="str">
        <f>IF($A136="","",NumList())</f>
        <v/>
      </c>
      <c r="C136" s="61"/>
      <c r="D136" s="55">
        <f t="shared" ca="1" si="5"/>
        <v>0</v>
      </c>
      <c r="E136" s="55"/>
      <c r="F136" s="55">
        <f t="shared" ca="1" si="6"/>
        <v>0</v>
      </c>
      <c r="G136" s="51"/>
      <c r="H136" s="78">
        <f t="shared" ca="1" si="7"/>
        <v>0</v>
      </c>
      <c r="I136" s="53">
        <f t="shared" ca="1" si="4"/>
        <v>0</v>
      </c>
      <c r="J136" s="58"/>
      <c r="K136" s="58"/>
    </row>
    <row r="137" spans="1:11" s="41" customFormat="1" ht="15">
      <c r="A137" s="50">
        <v>2</v>
      </c>
      <c r="B137" s="51" t="str">
        <f ca="1">IF($A137="","",NumList())</f>
        <v>5.2</v>
      </c>
      <c r="C137" s="62" t="s">
        <v>320</v>
      </c>
      <c r="D137" s="55">
        <f t="shared" ca="1" si="5"/>
        <v>1</v>
      </c>
      <c r="E137" s="55"/>
      <c r="F137" s="55">
        <f t="shared" ca="1" si="6"/>
        <v>17</v>
      </c>
      <c r="G137" s="51" t="s">
        <v>8</v>
      </c>
      <c r="H137" s="78">
        <f t="shared" ca="1" si="7"/>
        <v>26</v>
      </c>
      <c r="I137" s="53">
        <f t="shared" ca="1" si="4"/>
        <v>442</v>
      </c>
      <c r="J137" s="58"/>
      <c r="K137" s="58"/>
    </row>
    <row r="138" spans="1:11" s="41" customFormat="1" ht="15">
      <c r="A138" s="50" t="s">
        <v>516</v>
      </c>
      <c r="B138" s="51" t="str">
        <f>IF($A138="","",NumList())</f>
        <v/>
      </c>
      <c r="C138" s="61"/>
      <c r="D138" s="55">
        <f t="shared" ca="1" si="5"/>
        <v>0</v>
      </c>
      <c r="E138" s="55"/>
      <c r="F138" s="55">
        <f t="shared" ca="1" si="6"/>
        <v>0</v>
      </c>
      <c r="G138" s="51"/>
      <c r="H138" s="78">
        <f t="shared" ca="1" si="7"/>
        <v>0</v>
      </c>
      <c r="I138" s="53">
        <f t="shared" ca="1" si="4"/>
        <v>0</v>
      </c>
      <c r="J138" s="58"/>
      <c r="K138" s="58"/>
    </row>
    <row r="139" spans="1:11" s="41" customFormat="1" ht="15">
      <c r="A139" s="50">
        <v>1</v>
      </c>
      <c r="B139" s="51">
        <f ca="1">IF($A139="","",NumList())</f>
        <v>6</v>
      </c>
      <c r="C139" s="63" t="s">
        <v>601</v>
      </c>
      <c r="D139" s="55">
        <f t="shared" ca="1" si="5"/>
        <v>0</v>
      </c>
      <c r="E139" s="46"/>
      <c r="F139" s="55">
        <f t="shared" ca="1" si="6"/>
        <v>0</v>
      </c>
      <c r="G139" s="78"/>
      <c r="H139" s="78">
        <f t="shared" ca="1" si="7"/>
        <v>0</v>
      </c>
      <c r="I139" s="53">
        <f t="shared" ca="1" si="4"/>
        <v>0</v>
      </c>
      <c r="J139" s="58"/>
      <c r="K139" s="58"/>
    </row>
    <row r="140" spans="1:11" s="41" customFormat="1" ht="15">
      <c r="A140" s="50">
        <v>2</v>
      </c>
      <c r="B140" s="51" t="str">
        <f ca="1">IF($A140="","",NumList())</f>
        <v>6.1</v>
      </c>
      <c r="C140" s="61" t="s">
        <v>22</v>
      </c>
      <c r="D140" s="55">
        <f t="shared" ca="1" si="5"/>
        <v>1</v>
      </c>
      <c r="E140" s="55"/>
      <c r="F140" s="55">
        <f t="shared" ca="1" si="6"/>
        <v>26</v>
      </c>
      <c r="G140" s="51" t="s">
        <v>8</v>
      </c>
      <c r="H140" s="78">
        <f t="shared" ca="1" si="7"/>
        <v>47</v>
      </c>
      <c r="I140" s="53">
        <f t="shared" ca="1" si="4"/>
        <v>1222</v>
      </c>
      <c r="J140" s="58"/>
      <c r="K140" s="58"/>
    </row>
    <row r="141" spans="1:11" s="41" customFormat="1" ht="15">
      <c r="A141" s="50">
        <v>2</v>
      </c>
      <c r="B141" s="51" t="str">
        <f ca="1">IF($A141="","",NumList())</f>
        <v>6.2</v>
      </c>
      <c r="C141" s="61" t="s">
        <v>34</v>
      </c>
      <c r="D141" s="55">
        <f t="shared" ca="1" si="5"/>
        <v>1</v>
      </c>
      <c r="E141" s="55"/>
      <c r="F141" s="55">
        <f t="shared" ca="1" si="6"/>
        <v>72</v>
      </c>
      <c r="G141" s="51" t="s">
        <v>8</v>
      </c>
      <c r="H141" s="78">
        <f t="shared" ca="1" si="7"/>
        <v>68</v>
      </c>
      <c r="I141" s="53">
        <f t="shared" ca="1" si="4"/>
        <v>4896</v>
      </c>
      <c r="J141" s="58"/>
      <c r="K141" s="58"/>
    </row>
    <row r="142" spans="1:11" s="41" customFormat="1" ht="15">
      <c r="A142" s="50" t="s">
        <v>516</v>
      </c>
      <c r="B142" s="51" t="str">
        <f>IF($A142="","",NumList())</f>
        <v/>
      </c>
      <c r="C142" s="54"/>
      <c r="D142" s="55">
        <f t="shared" ca="1" si="5"/>
        <v>0</v>
      </c>
      <c r="E142" s="55"/>
      <c r="F142" s="55">
        <f t="shared" ca="1" si="6"/>
        <v>0</v>
      </c>
      <c r="G142" s="51"/>
      <c r="H142" s="78">
        <f t="shared" ca="1" si="7"/>
        <v>0</v>
      </c>
      <c r="I142" s="53">
        <f t="shared" ca="1" si="4"/>
        <v>0</v>
      </c>
      <c r="J142" s="58"/>
      <c r="K142" s="58"/>
    </row>
    <row r="143" spans="1:11" s="41" customFormat="1" ht="15">
      <c r="A143" s="50">
        <v>1</v>
      </c>
      <c r="B143" s="51">
        <f ca="1">IF($A143="","",NumList())</f>
        <v>7</v>
      </c>
      <c r="C143" s="52" t="s">
        <v>431</v>
      </c>
      <c r="D143" s="55">
        <f t="shared" ca="1" si="5"/>
        <v>0</v>
      </c>
      <c r="E143" s="48"/>
      <c r="F143" s="55">
        <f t="shared" ca="1" si="6"/>
        <v>0</v>
      </c>
      <c r="G143" s="46"/>
      <c r="H143" s="78">
        <f t="shared" ca="1" si="7"/>
        <v>0</v>
      </c>
      <c r="I143" s="53">
        <f t="shared" ca="1" si="4"/>
        <v>0</v>
      </c>
      <c r="J143" s="58"/>
      <c r="K143" s="58"/>
    </row>
    <row r="144" spans="1:11" s="41" customFormat="1" ht="15">
      <c r="A144" s="50">
        <v>2</v>
      </c>
      <c r="B144" s="51" t="str">
        <f ca="1">IF($A144="","",NumList())</f>
        <v>7.1</v>
      </c>
      <c r="C144" s="62" t="s">
        <v>14</v>
      </c>
      <c r="D144" s="55">
        <f t="shared" ca="1" si="5"/>
        <v>0</v>
      </c>
      <c r="E144" s="55"/>
      <c r="F144" s="55">
        <f t="shared" ca="1" si="6"/>
        <v>0</v>
      </c>
      <c r="G144" s="51"/>
      <c r="H144" s="78">
        <f t="shared" ca="1" si="7"/>
        <v>0</v>
      </c>
      <c r="I144" s="53">
        <f t="shared" ca="1" si="4"/>
        <v>0</v>
      </c>
      <c r="J144" s="58"/>
      <c r="K144" s="58"/>
    </row>
    <row r="145" spans="1:11" s="41" customFormat="1" ht="15">
      <c r="A145" s="50">
        <v>3</v>
      </c>
      <c r="B145" s="51" t="str">
        <f ca="1">IF($A145="","",NumList())</f>
        <v>7.1.1</v>
      </c>
      <c r="C145" s="62" t="s">
        <v>51</v>
      </c>
      <c r="D145" s="55">
        <f t="shared" ca="1" si="5"/>
        <v>1</v>
      </c>
      <c r="E145" s="55"/>
      <c r="F145" s="55">
        <f t="shared" ca="1" si="6"/>
        <v>87</v>
      </c>
      <c r="G145" s="51" t="s">
        <v>8</v>
      </c>
      <c r="H145" s="78">
        <f t="shared" ca="1" si="7"/>
        <v>65</v>
      </c>
      <c r="I145" s="53">
        <f t="shared" ca="1" si="4"/>
        <v>5655</v>
      </c>
      <c r="J145" s="58"/>
      <c r="K145" s="58"/>
    </row>
    <row r="146" spans="1:11" s="41" customFormat="1" ht="15">
      <c r="A146" s="50">
        <v>3</v>
      </c>
      <c r="B146" s="51" t="str">
        <f ca="1">IF($A146="","",NumList())</f>
        <v>7.1.2</v>
      </c>
      <c r="C146" s="62" t="s">
        <v>432</v>
      </c>
      <c r="D146" s="55">
        <f t="shared" ca="1" si="5"/>
        <v>1</v>
      </c>
      <c r="E146" s="55"/>
      <c r="F146" s="55">
        <f t="shared" ca="1" si="6"/>
        <v>42</v>
      </c>
      <c r="G146" s="51" t="s">
        <v>8</v>
      </c>
      <c r="H146" s="78">
        <f t="shared" ca="1" si="7"/>
        <v>28</v>
      </c>
      <c r="I146" s="53">
        <f t="shared" ca="1" si="4"/>
        <v>1176</v>
      </c>
      <c r="J146" s="58"/>
      <c r="K146" s="58"/>
    </row>
    <row r="147" spans="1:11" s="41" customFormat="1" ht="15">
      <c r="A147" s="50">
        <v>3</v>
      </c>
      <c r="B147" s="51" t="str">
        <f ca="1">IF($A147="","",NumList())</f>
        <v>7.1.3</v>
      </c>
      <c r="C147" s="62" t="s">
        <v>433</v>
      </c>
      <c r="D147" s="55">
        <f t="shared" ca="1" si="5"/>
        <v>1</v>
      </c>
      <c r="E147" s="55"/>
      <c r="F147" s="55">
        <f t="shared" ca="1" si="6"/>
        <v>21</v>
      </c>
      <c r="G147" s="51" t="s">
        <v>8</v>
      </c>
      <c r="H147" s="78">
        <f t="shared" ca="1" si="7"/>
        <v>98</v>
      </c>
      <c r="I147" s="53">
        <f t="shared" ca="1" si="4"/>
        <v>2058</v>
      </c>
      <c r="J147" s="58"/>
      <c r="K147" s="58"/>
    </row>
    <row r="148" spans="1:11" s="41" customFormat="1" ht="15">
      <c r="A148" s="50">
        <v>3</v>
      </c>
      <c r="B148" s="51" t="str">
        <f ca="1">IF($A148="","",NumList())</f>
        <v>7.1.4</v>
      </c>
      <c r="C148" s="62" t="s">
        <v>375</v>
      </c>
      <c r="D148" s="55">
        <f t="shared" ca="1" si="5"/>
        <v>1</v>
      </c>
      <c r="E148" s="55"/>
      <c r="F148" s="55">
        <f t="shared" ca="1" si="6"/>
        <v>67</v>
      </c>
      <c r="G148" s="51" t="s">
        <v>8</v>
      </c>
      <c r="H148" s="78">
        <f t="shared" ca="1" si="7"/>
        <v>73</v>
      </c>
      <c r="I148" s="53">
        <f t="shared" ca="1" si="4"/>
        <v>4891</v>
      </c>
      <c r="J148" s="58"/>
      <c r="K148" s="58"/>
    </row>
    <row r="149" spans="1:11" s="41" customFormat="1" ht="15" customHeight="1">
      <c r="A149" s="50">
        <v>2</v>
      </c>
      <c r="B149" s="51" t="str">
        <f ca="1">IF($A149="","",NumList())</f>
        <v>7.2</v>
      </c>
      <c r="C149" s="62" t="s">
        <v>22</v>
      </c>
      <c r="D149" s="55">
        <f t="shared" ca="1" si="5"/>
        <v>0</v>
      </c>
      <c r="E149" s="55"/>
      <c r="F149" s="55">
        <f t="shared" ca="1" si="6"/>
        <v>0</v>
      </c>
      <c r="G149" s="51"/>
      <c r="H149" s="78">
        <f t="shared" ca="1" si="7"/>
        <v>0</v>
      </c>
      <c r="I149" s="53">
        <f t="shared" ca="1" si="4"/>
        <v>0</v>
      </c>
    </row>
    <row r="150" spans="1:11" s="41" customFormat="1" ht="15">
      <c r="A150" s="50">
        <v>3</v>
      </c>
      <c r="B150" s="51" t="str">
        <f ca="1">IF($A150="","",NumList())</f>
        <v>7.2.1</v>
      </c>
      <c r="C150" s="62" t="s">
        <v>51</v>
      </c>
      <c r="D150" s="55">
        <f t="shared" ca="1" si="5"/>
        <v>1</v>
      </c>
      <c r="E150" s="55"/>
      <c r="F150" s="55">
        <f t="shared" ca="1" si="6"/>
        <v>64</v>
      </c>
      <c r="G150" s="51" t="s">
        <v>8</v>
      </c>
      <c r="H150" s="78">
        <f t="shared" ca="1" si="7"/>
        <v>38</v>
      </c>
      <c r="I150" s="53">
        <f t="shared" ca="1" si="4"/>
        <v>2432</v>
      </c>
      <c r="J150" s="58"/>
      <c r="K150" s="58"/>
    </row>
    <row r="151" spans="1:11" s="41" customFormat="1" ht="15">
      <c r="A151" s="50">
        <v>3</v>
      </c>
      <c r="B151" s="51" t="str">
        <f ca="1">IF($A151="","",NumList())</f>
        <v>7.2.2</v>
      </c>
      <c r="C151" s="62" t="s">
        <v>434</v>
      </c>
      <c r="D151" s="55">
        <f t="shared" ca="1" si="5"/>
        <v>1</v>
      </c>
      <c r="E151" s="55"/>
      <c r="F151" s="55">
        <f t="shared" ca="1" si="6"/>
        <v>67</v>
      </c>
      <c r="G151" s="51" t="s">
        <v>8</v>
      </c>
      <c r="H151" s="78">
        <f t="shared" ca="1" si="7"/>
        <v>60</v>
      </c>
      <c r="I151" s="53">
        <f t="shared" ca="1" si="4"/>
        <v>4020</v>
      </c>
      <c r="J151" s="58"/>
      <c r="K151" s="58"/>
    </row>
    <row r="152" spans="1:11" s="41" customFormat="1" ht="15">
      <c r="A152" s="50">
        <v>3</v>
      </c>
      <c r="B152" s="51" t="str">
        <f ca="1">IF($A152="","",NumList())</f>
        <v>7.2.3</v>
      </c>
      <c r="C152" s="62" t="s">
        <v>433</v>
      </c>
      <c r="D152" s="55">
        <f t="shared" ca="1" si="5"/>
        <v>1</v>
      </c>
      <c r="E152" s="55"/>
      <c r="F152" s="55">
        <f t="shared" ca="1" si="6"/>
        <v>94</v>
      </c>
      <c r="G152" s="51" t="s">
        <v>8</v>
      </c>
      <c r="H152" s="78">
        <f t="shared" ca="1" si="7"/>
        <v>47</v>
      </c>
      <c r="I152" s="53">
        <f t="shared" ca="1" si="4"/>
        <v>4418</v>
      </c>
      <c r="J152" s="58"/>
      <c r="K152" s="58"/>
    </row>
    <row r="153" spans="1:11" s="41" customFormat="1" ht="15">
      <c r="A153" s="50">
        <v>3</v>
      </c>
      <c r="B153" s="51" t="str">
        <f ca="1">IF($A153="","",NumList())</f>
        <v>7.2.4</v>
      </c>
      <c r="C153" s="62" t="s">
        <v>375</v>
      </c>
      <c r="D153" s="55">
        <f t="shared" ca="1" si="5"/>
        <v>1</v>
      </c>
      <c r="E153" s="55"/>
      <c r="F153" s="55">
        <f t="shared" ca="1" si="6"/>
        <v>72</v>
      </c>
      <c r="G153" s="51" t="s">
        <v>8</v>
      </c>
      <c r="H153" s="78">
        <f t="shared" ca="1" si="7"/>
        <v>24</v>
      </c>
      <c r="I153" s="53">
        <f t="shared" ca="1" si="4"/>
        <v>1728</v>
      </c>
      <c r="J153" s="58"/>
      <c r="K153" s="58"/>
    </row>
    <row r="154" spans="1:11" s="41" customFormat="1" ht="15">
      <c r="A154" s="50" t="s">
        <v>516</v>
      </c>
      <c r="B154" s="51" t="str">
        <f>IF($A154="","",NumList())</f>
        <v/>
      </c>
      <c r="C154" s="62"/>
      <c r="D154" s="55">
        <f t="shared" ca="1" si="5"/>
        <v>0</v>
      </c>
      <c r="E154" s="55"/>
      <c r="F154" s="55">
        <f t="shared" ca="1" si="6"/>
        <v>0</v>
      </c>
      <c r="G154" s="51"/>
      <c r="H154" s="78">
        <f t="shared" ca="1" si="7"/>
        <v>0</v>
      </c>
      <c r="I154" s="53">
        <f t="shared" ref="I154:I184" ca="1" si="8">F154*H154</f>
        <v>0</v>
      </c>
      <c r="J154" s="58"/>
      <c r="K154" s="58"/>
    </row>
    <row r="155" spans="1:11" s="41" customFormat="1" ht="15">
      <c r="A155" s="50">
        <v>2</v>
      </c>
      <c r="B155" s="51" t="str">
        <f ca="1">IF($A155="","",NumList())</f>
        <v>7.3</v>
      </c>
      <c r="C155" s="62" t="s">
        <v>229</v>
      </c>
      <c r="D155" s="55">
        <f t="shared" ca="1" si="5"/>
        <v>1</v>
      </c>
      <c r="E155" s="55"/>
      <c r="F155" s="55">
        <f t="shared" ca="1" si="6"/>
        <v>70</v>
      </c>
      <c r="G155" s="51" t="s">
        <v>8</v>
      </c>
      <c r="H155" s="78">
        <f t="shared" ca="1" si="7"/>
        <v>50</v>
      </c>
      <c r="I155" s="53">
        <f t="shared" ca="1" si="8"/>
        <v>3500</v>
      </c>
      <c r="J155" s="58"/>
      <c r="K155" s="58"/>
    </row>
    <row r="156" spans="1:11" s="41" customFormat="1" ht="28.5">
      <c r="A156" s="50">
        <v>2</v>
      </c>
      <c r="B156" s="51" t="str">
        <f ca="1">IF($A156="","",NumList())</f>
        <v>7.4</v>
      </c>
      <c r="C156" s="62" t="s">
        <v>484</v>
      </c>
      <c r="D156" s="55">
        <f t="shared" ca="1" si="5"/>
        <v>1</v>
      </c>
      <c r="E156" s="55"/>
      <c r="F156" s="55">
        <f t="shared" ca="1" si="6"/>
        <v>45</v>
      </c>
      <c r="G156" s="51" t="s">
        <v>8</v>
      </c>
      <c r="H156" s="78">
        <f t="shared" ca="1" si="7"/>
        <v>34</v>
      </c>
      <c r="I156" s="53">
        <f t="shared" ca="1" si="8"/>
        <v>1530</v>
      </c>
      <c r="J156" s="58"/>
      <c r="K156" s="58"/>
    </row>
    <row r="157" spans="1:11" s="41" customFormat="1" ht="15">
      <c r="A157" s="50" t="s">
        <v>516</v>
      </c>
      <c r="B157" s="51" t="str">
        <f>IF($A157="","",NumList())</f>
        <v/>
      </c>
      <c r="C157" s="61"/>
      <c r="D157" s="55">
        <f t="shared" ca="1" si="5"/>
        <v>0</v>
      </c>
      <c r="E157" s="55"/>
      <c r="F157" s="55">
        <f t="shared" ca="1" si="6"/>
        <v>0</v>
      </c>
      <c r="G157" s="51"/>
      <c r="H157" s="78">
        <f t="shared" ca="1" si="7"/>
        <v>0</v>
      </c>
      <c r="I157" s="53">
        <f t="shared" ca="1" si="8"/>
        <v>0</v>
      </c>
      <c r="J157" s="58"/>
      <c r="K157" s="58"/>
    </row>
    <row r="158" spans="1:11" s="41" customFormat="1" ht="15" customHeight="1">
      <c r="A158" s="50">
        <v>1</v>
      </c>
      <c r="B158" s="51">
        <f ca="1">IF($A158="","",NumList())</f>
        <v>8</v>
      </c>
      <c r="C158" s="63" t="s">
        <v>230</v>
      </c>
      <c r="D158" s="55">
        <f t="shared" ref="D158:D188" ca="1" si="9">IF(ISTEXT(G158),RANDBETWEEN(1,1),0)</f>
        <v>0</v>
      </c>
      <c r="E158" s="48"/>
      <c r="F158" s="55">
        <f t="shared" ref="F158:F185" ca="1" si="10">IF(ISTEXT(G158),RANDBETWEEN(1,100),0)</f>
        <v>0</v>
      </c>
      <c r="G158" s="46"/>
      <c r="H158" s="78">
        <f t="shared" ref="H158:H185" ca="1" si="11">IF(ISTEXT(G158),RANDBETWEEN(1,100),0)</f>
        <v>0</v>
      </c>
      <c r="I158" s="53">
        <f t="shared" ca="1" si="8"/>
        <v>0</v>
      </c>
    </row>
    <row r="159" spans="1:11" s="58" customFormat="1" ht="27.75" customHeight="1">
      <c r="A159" s="50">
        <v>2</v>
      </c>
      <c r="B159" s="51" t="str">
        <f ca="1">IF($A159="","",NumList())</f>
        <v>8.1</v>
      </c>
      <c r="C159" s="62" t="s">
        <v>430</v>
      </c>
      <c r="D159" s="55">
        <f t="shared" ca="1" si="9"/>
        <v>0</v>
      </c>
      <c r="E159" s="55"/>
      <c r="F159" s="55">
        <f t="shared" ca="1" si="10"/>
        <v>0</v>
      </c>
      <c r="G159" s="51"/>
      <c r="H159" s="78">
        <f t="shared" ca="1" si="11"/>
        <v>0</v>
      </c>
      <c r="I159" s="53">
        <f t="shared" ca="1" si="8"/>
        <v>0</v>
      </c>
    </row>
    <row r="160" spans="1:11" s="58" customFormat="1" ht="15" customHeight="1">
      <c r="A160" s="50">
        <v>3</v>
      </c>
      <c r="B160" s="51" t="str">
        <f ca="1">IF($A160="","",NumList())</f>
        <v>8.1.1</v>
      </c>
      <c r="C160" s="61" t="s">
        <v>380</v>
      </c>
      <c r="D160" s="55">
        <f t="shared" ca="1" si="9"/>
        <v>1</v>
      </c>
      <c r="E160" s="55"/>
      <c r="F160" s="55">
        <f t="shared" ca="1" si="10"/>
        <v>39</v>
      </c>
      <c r="G160" s="51" t="s">
        <v>8</v>
      </c>
      <c r="H160" s="78">
        <f t="shared" ca="1" si="11"/>
        <v>67</v>
      </c>
      <c r="I160" s="53">
        <f t="shared" ca="1" si="8"/>
        <v>2613</v>
      </c>
    </row>
    <row r="161" spans="1:11" s="58" customFormat="1" ht="15" customHeight="1">
      <c r="A161" s="50">
        <v>3</v>
      </c>
      <c r="B161" s="51" t="str">
        <f ca="1">IF($A161="","",NumList())</f>
        <v>8.1.2</v>
      </c>
      <c r="C161" s="61" t="s">
        <v>381</v>
      </c>
      <c r="D161" s="55">
        <f t="shared" ca="1" si="9"/>
        <v>0</v>
      </c>
      <c r="E161" s="55"/>
      <c r="F161" s="55">
        <f t="shared" ca="1" si="10"/>
        <v>0</v>
      </c>
      <c r="G161" s="51"/>
      <c r="H161" s="78">
        <f t="shared" ca="1" si="11"/>
        <v>0</v>
      </c>
      <c r="I161" s="53">
        <f t="shared" ca="1" si="8"/>
        <v>0</v>
      </c>
    </row>
    <row r="162" spans="1:11" s="58" customFormat="1" ht="28.5">
      <c r="A162" s="50">
        <v>3</v>
      </c>
      <c r="B162" s="51" t="str">
        <f ca="1">IF($A162="","",NumList())</f>
        <v>8.1.3</v>
      </c>
      <c r="C162" s="62" t="s">
        <v>325</v>
      </c>
      <c r="D162" s="55">
        <f t="shared" ca="1" si="9"/>
        <v>1</v>
      </c>
      <c r="E162" s="55"/>
      <c r="F162" s="55">
        <f t="shared" ca="1" si="10"/>
        <v>29</v>
      </c>
      <c r="G162" s="51" t="s">
        <v>8</v>
      </c>
      <c r="H162" s="78">
        <f t="shared" ca="1" si="11"/>
        <v>12</v>
      </c>
      <c r="I162" s="53">
        <f t="shared" ca="1" si="8"/>
        <v>348</v>
      </c>
    </row>
    <row r="163" spans="1:11" s="41" customFormat="1" ht="15" customHeight="1">
      <c r="A163" s="50" t="s">
        <v>516</v>
      </c>
      <c r="B163" s="51" t="str">
        <f>IF($A163="","",NumList())</f>
        <v/>
      </c>
      <c r="C163" s="61"/>
      <c r="D163" s="55">
        <f t="shared" ca="1" si="9"/>
        <v>0</v>
      </c>
      <c r="E163" s="55"/>
      <c r="F163" s="55">
        <f t="shared" ca="1" si="10"/>
        <v>0</v>
      </c>
      <c r="G163" s="51"/>
      <c r="H163" s="78">
        <f t="shared" ca="1" si="11"/>
        <v>0</v>
      </c>
      <c r="I163" s="53">
        <f t="shared" ca="1" si="8"/>
        <v>0</v>
      </c>
      <c r="J163" s="58"/>
      <c r="K163" s="58"/>
    </row>
    <row r="164" spans="1:11" s="41" customFormat="1" ht="15">
      <c r="A164" s="50">
        <v>2</v>
      </c>
      <c r="B164" s="51" t="str">
        <f ca="1">IF($A164="","",NumList())</f>
        <v>8.2</v>
      </c>
      <c r="C164" s="62" t="s">
        <v>39</v>
      </c>
      <c r="D164" s="55">
        <f t="shared" ca="1" si="9"/>
        <v>0</v>
      </c>
      <c r="E164" s="55"/>
      <c r="F164" s="55">
        <f t="shared" ca="1" si="10"/>
        <v>0</v>
      </c>
      <c r="G164" s="51"/>
      <c r="H164" s="78">
        <f t="shared" ca="1" si="11"/>
        <v>0</v>
      </c>
      <c r="I164" s="53">
        <f t="shared" ca="1" si="8"/>
        <v>0</v>
      </c>
      <c r="J164" s="58"/>
      <c r="K164" s="58"/>
    </row>
    <row r="165" spans="1:11" s="41" customFormat="1" ht="15">
      <c r="A165" s="50">
        <v>3</v>
      </c>
      <c r="B165" s="51" t="str">
        <f ca="1">IF($A165="","",NumList())</f>
        <v>8.2.1</v>
      </c>
      <c r="C165" s="61" t="s">
        <v>14</v>
      </c>
      <c r="D165" s="55">
        <f t="shared" ca="1" si="9"/>
        <v>1</v>
      </c>
      <c r="E165" s="55"/>
      <c r="F165" s="55">
        <f t="shared" ca="1" si="10"/>
        <v>73</v>
      </c>
      <c r="G165" s="51" t="s">
        <v>8</v>
      </c>
      <c r="H165" s="78">
        <f t="shared" ca="1" si="11"/>
        <v>72</v>
      </c>
      <c r="I165" s="53">
        <f t="shared" ca="1" si="8"/>
        <v>5256</v>
      </c>
      <c r="J165" s="58"/>
      <c r="K165" s="58"/>
    </row>
    <row r="166" spans="1:11" s="41" customFormat="1" ht="15">
      <c r="A166" s="50">
        <v>3</v>
      </c>
      <c r="B166" s="51" t="str">
        <f ca="1">IF($A166="","",NumList())</f>
        <v>8.2.2</v>
      </c>
      <c r="C166" s="61" t="s">
        <v>22</v>
      </c>
      <c r="D166" s="55">
        <f t="shared" ca="1" si="9"/>
        <v>1</v>
      </c>
      <c r="E166" s="55"/>
      <c r="F166" s="55">
        <f t="shared" ca="1" si="10"/>
        <v>72</v>
      </c>
      <c r="G166" s="51" t="s">
        <v>8</v>
      </c>
      <c r="H166" s="78">
        <f t="shared" ca="1" si="11"/>
        <v>14</v>
      </c>
      <c r="I166" s="53">
        <f t="shared" ca="1" si="8"/>
        <v>1008</v>
      </c>
      <c r="J166" s="58"/>
      <c r="K166" s="58"/>
    </row>
    <row r="167" spans="1:11" s="41" customFormat="1" ht="15">
      <c r="A167" s="50">
        <v>3</v>
      </c>
      <c r="B167" s="51" t="str">
        <f ca="1">IF($A167="","",NumList())</f>
        <v>8.2.3</v>
      </c>
      <c r="C167" s="61" t="s">
        <v>34</v>
      </c>
      <c r="D167" s="55">
        <f t="shared" ca="1" si="9"/>
        <v>1</v>
      </c>
      <c r="E167" s="55"/>
      <c r="F167" s="55">
        <f t="shared" ca="1" si="10"/>
        <v>42</v>
      </c>
      <c r="G167" s="51" t="s">
        <v>8</v>
      </c>
      <c r="H167" s="78">
        <f t="shared" ca="1" si="11"/>
        <v>18</v>
      </c>
      <c r="I167" s="53">
        <f t="shared" ca="1" si="8"/>
        <v>756</v>
      </c>
      <c r="J167" s="58"/>
      <c r="K167" s="58"/>
    </row>
    <row r="168" spans="1:11" s="41" customFormat="1" ht="15">
      <c r="A168" s="50">
        <v>3</v>
      </c>
      <c r="B168" s="51" t="str">
        <f ca="1">IF($A168="","",NumList())</f>
        <v>8.2.4</v>
      </c>
      <c r="C168" s="62" t="s">
        <v>35</v>
      </c>
      <c r="D168" s="55">
        <f t="shared" ca="1" si="9"/>
        <v>1</v>
      </c>
      <c r="E168" s="55"/>
      <c r="F168" s="55">
        <f t="shared" ca="1" si="10"/>
        <v>17</v>
      </c>
      <c r="G168" s="51" t="s">
        <v>8</v>
      </c>
      <c r="H168" s="78">
        <f t="shared" ca="1" si="11"/>
        <v>84</v>
      </c>
      <c r="I168" s="53">
        <f t="shared" ca="1" si="8"/>
        <v>1428</v>
      </c>
    </row>
    <row r="169" spans="1:11" s="58" customFormat="1" ht="15">
      <c r="A169" s="50" t="s">
        <v>516</v>
      </c>
      <c r="B169" s="51" t="str">
        <f>IF($A169="","",NumList())</f>
        <v/>
      </c>
      <c r="C169" s="61"/>
      <c r="D169" s="55">
        <f t="shared" ca="1" si="9"/>
        <v>0</v>
      </c>
      <c r="E169" s="55"/>
      <c r="F169" s="55">
        <f t="shared" ca="1" si="10"/>
        <v>0</v>
      </c>
      <c r="G169" s="51"/>
      <c r="H169" s="78">
        <f t="shared" ca="1" si="11"/>
        <v>0</v>
      </c>
      <c r="I169" s="53">
        <f t="shared" ca="1" si="8"/>
        <v>0</v>
      </c>
    </row>
    <row r="170" spans="1:11" s="58" customFormat="1" ht="15">
      <c r="A170" s="50">
        <v>2</v>
      </c>
      <c r="B170" s="51" t="str">
        <f ca="1">IF($A170="","",NumList())</f>
        <v>8.3</v>
      </c>
      <c r="C170" s="62" t="s">
        <v>49</v>
      </c>
      <c r="D170" s="55">
        <f t="shared" ca="1" si="9"/>
        <v>0</v>
      </c>
      <c r="E170" s="55"/>
      <c r="F170" s="55">
        <f t="shared" ca="1" si="10"/>
        <v>0</v>
      </c>
      <c r="G170" s="51"/>
      <c r="H170" s="78">
        <f t="shared" ca="1" si="11"/>
        <v>0</v>
      </c>
      <c r="I170" s="53">
        <f t="shared" ca="1" si="8"/>
        <v>0</v>
      </c>
    </row>
    <row r="171" spans="1:11" s="58" customFormat="1" ht="15">
      <c r="A171" s="50">
        <v>3</v>
      </c>
      <c r="B171" s="51" t="str">
        <f ca="1">IF($A171="","",NumList())</f>
        <v>8.3.1</v>
      </c>
      <c r="C171" s="62" t="s">
        <v>60</v>
      </c>
      <c r="D171" s="55">
        <f t="shared" ca="1" si="9"/>
        <v>0</v>
      </c>
      <c r="E171" s="55"/>
      <c r="F171" s="55">
        <f t="shared" ca="1" si="10"/>
        <v>0</v>
      </c>
      <c r="G171" s="51"/>
      <c r="H171" s="78">
        <f t="shared" ca="1" si="11"/>
        <v>0</v>
      </c>
      <c r="I171" s="53">
        <f t="shared" ca="1" si="8"/>
        <v>0</v>
      </c>
    </row>
    <row r="172" spans="1:11" s="58" customFormat="1" ht="15">
      <c r="A172" s="50">
        <v>4</v>
      </c>
      <c r="B172" s="51" t="str">
        <f ca="1">IF($A172="","",NumList())</f>
        <v>8.3.1.1</v>
      </c>
      <c r="C172" s="62" t="s">
        <v>61</v>
      </c>
      <c r="D172" s="55">
        <f t="shared" ca="1" si="9"/>
        <v>1</v>
      </c>
      <c r="E172" s="55"/>
      <c r="F172" s="55">
        <f t="shared" ca="1" si="10"/>
        <v>46</v>
      </c>
      <c r="G172" s="51" t="s">
        <v>8</v>
      </c>
      <c r="H172" s="78">
        <f t="shared" ca="1" si="11"/>
        <v>47</v>
      </c>
      <c r="I172" s="53">
        <f t="shared" ca="1" si="8"/>
        <v>2162</v>
      </c>
    </row>
    <row r="173" spans="1:11" s="58" customFormat="1" ht="15">
      <c r="A173" s="50">
        <v>4</v>
      </c>
      <c r="B173" s="51" t="str">
        <f ca="1">IF($A173="","",NumList())</f>
        <v>8.3.1.2</v>
      </c>
      <c r="C173" s="62" t="s">
        <v>62</v>
      </c>
      <c r="D173" s="55">
        <f t="shared" ca="1" si="9"/>
        <v>1</v>
      </c>
      <c r="E173" s="55"/>
      <c r="F173" s="55">
        <f t="shared" ca="1" si="10"/>
        <v>55</v>
      </c>
      <c r="G173" s="51" t="s">
        <v>8</v>
      </c>
      <c r="H173" s="78">
        <f t="shared" ca="1" si="11"/>
        <v>52</v>
      </c>
      <c r="I173" s="53">
        <f t="shared" ca="1" si="8"/>
        <v>2860</v>
      </c>
    </row>
    <row r="174" spans="1:11" s="58" customFormat="1" ht="15">
      <c r="A174" s="50">
        <v>4</v>
      </c>
      <c r="B174" s="51" t="str">
        <f ca="1">IF($A174="","",NumList())</f>
        <v>8.3.1.3</v>
      </c>
      <c r="C174" s="62" t="s">
        <v>262</v>
      </c>
      <c r="D174" s="55">
        <f t="shared" ca="1" si="9"/>
        <v>1</v>
      </c>
      <c r="E174" s="55"/>
      <c r="F174" s="55">
        <f t="shared" ca="1" si="10"/>
        <v>30</v>
      </c>
      <c r="G174" s="51" t="s">
        <v>8</v>
      </c>
      <c r="H174" s="78">
        <f t="shared" ca="1" si="11"/>
        <v>19</v>
      </c>
      <c r="I174" s="53">
        <f t="shared" ca="1" si="8"/>
        <v>570</v>
      </c>
    </row>
    <row r="175" spans="1:11" s="58" customFormat="1" ht="15">
      <c r="A175" s="50">
        <v>3</v>
      </c>
      <c r="B175" s="51" t="str">
        <f ca="1">IF($A175="","",NumList())</f>
        <v>8.3.2</v>
      </c>
      <c r="C175" s="62" t="s">
        <v>63</v>
      </c>
      <c r="D175" s="55">
        <f t="shared" ca="1" si="9"/>
        <v>0</v>
      </c>
      <c r="E175" s="55"/>
      <c r="F175" s="55">
        <f t="shared" ca="1" si="10"/>
        <v>0</v>
      </c>
      <c r="G175" s="51"/>
      <c r="H175" s="78">
        <f t="shared" ca="1" si="11"/>
        <v>0</v>
      </c>
      <c r="I175" s="53">
        <f t="shared" ca="1" si="8"/>
        <v>0</v>
      </c>
    </row>
    <row r="176" spans="1:11" s="58" customFormat="1" ht="15">
      <c r="A176" s="50">
        <v>4</v>
      </c>
      <c r="B176" s="51" t="str">
        <f ca="1">IF($A176="","",NumList())</f>
        <v>8.3.2.1</v>
      </c>
      <c r="C176" s="62" t="s">
        <v>61</v>
      </c>
      <c r="D176" s="55">
        <f t="shared" ca="1" si="9"/>
        <v>1</v>
      </c>
      <c r="E176" s="55"/>
      <c r="F176" s="55">
        <f t="shared" ca="1" si="10"/>
        <v>41</v>
      </c>
      <c r="G176" s="51" t="s">
        <v>8</v>
      </c>
      <c r="H176" s="78">
        <f t="shared" ca="1" si="11"/>
        <v>14</v>
      </c>
      <c r="I176" s="53">
        <f t="shared" ca="1" si="8"/>
        <v>574</v>
      </c>
    </row>
    <row r="177" spans="1:11" s="58" customFormat="1" ht="15">
      <c r="A177" s="50">
        <v>4</v>
      </c>
      <c r="B177" s="51" t="str">
        <f ca="1">IF($A177="","",NumList())</f>
        <v>8.3.2.2</v>
      </c>
      <c r="C177" s="62" t="s">
        <v>64</v>
      </c>
      <c r="D177" s="55">
        <f t="shared" ca="1" si="9"/>
        <v>1</v>
      </c>
      <c r="E177" s="55"/>
      <c r="F177" s="55">
        <f t="shared" ca="1" si="10"/>
        <v>48</v>
      </c>
      <c r="G177" s="51" t="s">
        <v>8</v>
      </c>
      <c r="H177" s="78">
        <f t="shared" ca="1" si="11"/>
        <v>81</v>
      </c>
      <c r="I177" s="53">
        <f t="shared" ca="1" si="8"/>
        <v>3888</v>
      </c>
    </row>
    <row r="178" spans="1:11" s="58" customFormat="1" ht="15">
      <c r="A178" s="50">
        <v>4</v>
      </c>
      <c r="B178" s="51" t="str">
        <f ca="1">IF($A178="","",NumList())</f>
        <v>8.3.2.3</v>
      </c>
      <c r="C178" s="62" t="s">
        <v>262</v>
      </c>
      <c r="D178" s="55">
        <f t="shared" ca="1" si="9"/>
        <v>1</v>
      </c>
      <c r="E178" s="55"/>
      <c r="F178" s="55">
        <f t="shared" ca="1" si="10"/>
        <v>74</v>
      </c>
      <c r="G178" s="51" t="s">
        <v>8</v>
      </c>
      <c r="H178" s="78">
        <f t="shared" ca="1" si="11"/>
        <v>65</v>
      </c>
      <c r="I178" s="53">
        <f t="shared" ca="1" si="8"/>
        <v>4810</v>
      </c>
    </row>
    <row r="179" spans="1:11" s="58" customFormat="1" ht="15">
      <c r="A179" s="50" t="s">
        <v>516</v>
      </c>
      <c r="B179" s="51" t="str">
        <f>IF($A179="","",NumList())</f>
        <v/>
      </c>
      <c r="C179" s="62"/>
      <c r="D179" s="55">
        <f t="shared" ca="1" si="9"/>
        <v>0</v>
      </c>
      <c r="E179" s="55"/>
      <c r="F179" s="55">
        <f t="shared" ca="1" si="10"/>
        <v>0</v>
      </c>
      <c r="G179" s="51"/>
      <c r="H179" s="78">
        <f t="shared" ca="1" si="11"/>
        <v>0</v>
      </c>
      <c r="I179" s="53">
        <f t="shared" ca="1" si="8"/>
        <v>0</v>
      </c>
    </row>
    <row r="180" spans="1:11" s="58" customFormat="1" ht="15">
      <c r="A180" s="50">
        <v>1</v>
      </c>
      <c r="B180" s="51">
        <f ca="1">IF($A180="","",NumList())</f>
        <v>9</v>
      </c>
      <c r="C180" s="69" t="s">
        <v>7</v>
      </c>
      <c r="D180" s="55">
        <f t="shared" ca="1" si="9"/>
        <v>0</v>
      </c>
      <c r="E180" s="55"/>
      <c r="F180" s="55">
        <f t="shared" ca="1" si="10"/>
        <v>0</v>
      </c>
      <c r="G180" s="51"/>
      <c r="H180" s="78">
        <f t="shared" ca="1" si="11"/>
        <v>0</v>
      </c>
      <c r="I180" s="53">
        <f t="shared" ca="1" si="8"/>
        <v>0</v>
      </c>
    </row>
    <row r="181" spans="1:11" s="58" customFormat="1" ht="42.75">
      <c r="A181" s="50">
        <v>2</v>
      </c>
      <c r="B181" s="51" t="str">
        <f ca="1">IF($A181="","",NumList())</f>
        <v>9.1</v>
      </c>
      <c r="C181" s="62" t="s">
        <v>510</v>
      </c>
      <c r="D181" s="55">
        <f t="shared" ca="1" si="9"/>
        <v>1</v>
      </c>
      <c r="E181" s="55"/>
      <c r="F181" s="55">
        <f t="shared" ca="1" si="10"/>
        <v>50</v>
      </c>
      <c r="G181" s="51" t="s">
        <v>6</v>
      </c>
      <c r="H181" s="78">
        <f t="shared" ca="1" si="11"/>
        <v>63</v>
      </c>
      <c r="I181" s="53">
        <f t="shared" ca="1" si="8"/>
        <v>3150</v>
      </c>
    </row>
    <row r="182" spans="1:11" s="58" customFormat="1" ht="29.25">
      <c r="A182" s="50">
        <v>2</v>
      </c>
      <c r="B182" s="51" t="str">
        <f ca="1">IF($A182="","",NumList())</f>
        <v>9.2</v>
      </c>
      <c r="C182" s="62" t="s">
        <v>593</v>
      </c>
      <c r="D182" s="55">
        <f t="shared" ca="1" si="9"/>
        <v>1</v>
      </c>
      <c r="E182" s="55"/>
      <c r="F182" s="55">
        <f t="shared" ca="1" si="10"/>
        <v>25</v>
      </c>
      <c r="G182" s="51" t="s">
        <v>6</v>
      </c>
      <c r="H182" s="78">
        <f t="shared" ca="1" si="11"/>
        <v>53</v>
      </c>
      <c r="I182" s="53">
        <f t="shared" ca="1" si="8"/>
        <v>1325</v>
      </c>
    </row>
    <row r="183" spans="1:11" s="41" customFormat="1" ht="15">
      <c r="A183" s="50" t="s">
        <v>516</v>
      </c>
      <c r="B183" s="51" t="str">
        <f>IF($A183="","",NumList())</f>
        <v/>
      </c>
      <c r="C183" s="61"/>
      <c r="D183" s="55">
        <f t="shared" ca="1" si="9"/>
        <v>0</v>
      </c>
      <c r="E183" s="55"/>
      <c r="F183" s="55">
        <f t="shared" ca="1" si="10"/>
        <v>0</v>
      </c>
      <c r="G183" s="51"/>
      <c r="H183" s="78">
        <f t="shared" ca="1" si="11"/>
        <v>0</v>
      </c>
      <c r="I183" s="53">
        <f t="shared" ca="1" si="8"/>
        <v>0</v>
      </c>
      <c r="J183" s="58"/>
      <c r="K183" s="58"/>
    </row>
    <row r="184" spans="1:11" s="41" customFormat="1" ht="15">
      <c r="A184" s="50">
        <v>1</v>
      </c>
      <c r="B184" s="51">
        <f ca="1">IF($A184="","",NumList())</f>
        <v>10</v>
      </c>
      <c r="C184" s="52" t="s">
        <v>11</v>
      </c>
      <c r="D184" s="55">
        <f t="shared" ca="1" si="9"/>
        <v>0</v>
      </c>
      <c r="E184" s="48"/>
      <c r="F184" s="55">
        <f t="shared" ca="1" si="10"/>
        <v>0</v>
      </c>
      <c r="G184" s="46"/>
      <c r="H184" s="78">
        <f t="shared" ca="1" si="11"/>
        <v>0</v>
      </c>
      <c r="I184" s="53">
        <f t="shared" ca="1" si="8"/>
        <v>0</v>
      </c>
    </row>
    <row r="185" spans="1:11" s="41" customFormat="1" ht="42.75">
      <c r="A185" s="50">
        <v>2</v>
      </c>
      <c r="B185" s="51" t="str">
        <f ca="1">IF($A185="","",NumList())</f>
        <v>10.1</v>
      </c>
      <c r="C185" s="62" t="s">
        <v>376</v>
      </c>
      <c r="D185" s="55">
        <f t="shared" ca="1" si="9"/>
        <v>1</v>
      </c>
      <c r="E185" s="55"/>
      <c r="F185" s="55">
        <f t="shared" ca="1" si="10"/>
        <v>15</v>
      </c>
      <c r="G185" s="51" t="s">
        <v>0</v>
      </c>
      <c r="H185" s="78">
        <f t="shared" ca="1" si="11"/>
        <v>52</v>
      </c>
      <c r="I185" s="53">
        <f ca="1">F185*H185</f>
        <v>780</v>
      </c>
      <c r="J185" s="58"/>
      <c r="K185" s="58"/>
    </row>
    <row r="186" spans="1:11" s="41" customFormat="1" ht="15">
      <c r="A186" s="50" t="s">
        <v>516</v>
      </c>
      <c r="B186" s="51" t="str">
        <f>IF($A186="","",NumList())</f>
        <v/>
      </c>
      <c r="C186" s="62"/>
      <c r="D186" s="55">
        <f t="shared" ca="1" si="9"/>
        <v>0</v>
      </c>
      <c r="E186" s="55"/>
      <c r="F186" s="55"/>
      <c r="G186" s="51"/>
      <c r="H186" s="78"/>
      <c r="I186" s="53">
        <f>F186*H186</f>
        <v>0</v>
      </c>
      <c r="J186" s="58"/>
      <c r="K186" s="58"/>
    </row>
    <row r="187" spans="1:11" s="41" customFormat="1" ht="15">
      <c r="A187" s="50">
        <v>1</v>
      </c>
      <c r="B187" s="51">
        <f ca="1">IF($A187="","",NumList())</f>
        <v>11</v>
      </c>
      <c r="C187" s="52" t="s">
        <v>65</v>
      </c>
      <c r="D187" s="55">
        <f t="shared" ca="1" si="9"/>
        <v>0</v>
      </c>
      <c r="E187" s="55"/>
      <c r="F187" s="55"/>
      <c r="H187" s="78"/>
      <c r="I187" s="53">
        <f>F187*H187</f>
        <v>0</v>
      </c>
      <c r="J187" s="58"/>
      <c r="K187" s="58"/>
    </row>
    <row r="188" spans="1:11" s="41" customFormat="1" ht="30">
      <c r="A188" s="50" t="s">
        <v>516</v>
      </c>
      <c r="B188" s="51" t="str">
        <f>IF($A188="","",NumList())</f>
        <v/>
      </c>
      <c r="C188" s="62" t="s">
        <v>602</v>
      </c>
      <c r="D188" s="55">
        <f t="shared" ca="1" si="9"/>
        <v>1</v>
      </c>
      <c r="E188" s="55"/>
      <c r="F188" s="55">
        <v>1</v>
      </c>
      <c r="G188" s="51" t="s">
        <v>0</v>
      </c>
      <c r="H188" s="62" t="s">
        <v>73</v>
      </c>
      <c r="I188" s="53"/>
      <c r="J188" s="58"/>
      <c r="K188" s="58"/>
    </row>
    <row r="189" spans="1:11" s="41" customFormat="1" ht="15">
      <c r="A189" s="50" t="s">
        <v>516</v>
      </c>
      <c r="B189" s="51" t="str">
        <f>IF($A189="","",NumList())</f>
        <v/>
      </c>
      <c r="C189" s="62"/>
      <c r="D189" s="55"/>
      <c r="E189" s="55"/>
      <c r="F189" s="55"/>
      <c r="G189" s="51"/>
      <c r="H189" s="78"/>
      <c r="I189" s="53">
        <f>F189*H189</f>
        <v>0</v>
      </c>
      <c r="J189" s="58"/>
      <c r="K189" s="58"/>
    </row>
    <row r="190" spans="1:11" s="41" customFormat="1" ht="15">
      <c r="A190" s="50"/>
      <c r="B190" s="32"/>
      <c r="C190" s="70"/>
      <c r="D190" s="71"/>
      <c r="E190" s="71"/>
      <c r="F190" s="71"/>
      <c r="G190" s="30"/>
      <c r="H190" s="82" t="s">
        <v>12</v>
      </c>
      <c r="I190" s="78">
        <f ca="1">SUM(I25:I189)</f>
        <v>254923</v>
      </c>
      <c r="J190" s="58"/>
      <c r="K190" s="58"/>
    </row>
    <row r="191" spans="1:11" s="41" customFormat="1" ht="15">
      <c r="A191" s="50"/>
      <c r="B191" s="32"/>
      <c r="C191" s="70"/>
      <c r="D191" s="71"/>
      <c r="E191" s="71"/>
      <c r="F191" s="71"/>
      <c r="G191" s="30"/>
      <c r="H191" s="83"/>
      <c r="I191" s="77"/>
      <c r="J191" s="58"/>
      <c r="K191" s="58"/>
    </row>
    <row r="192" spans="1:11" s="41" customFormat="1" ht="15">
      <c r="A192" s="50"/>
      <c r="B192" s="30"/>
      <c r="C192" s="70"/>
      <c r="D192" s="71"/>
      <c r="E192" s="71"/>
      <c r="F192" s="71"/>
      <c r="G192" s="30"/>
      <c r="H192" s="77"/>
      <c r="I192" s="77"/>
      <c r="J192" s="58"/>
      <c r="K192" s="58"/>
    </row>
    <row r="193" spans="1:11" s="41" customFormat="1" ht="15">
      <c r="A193" s="50"/>
      <c r="B193" s="30"/>
      <c r="C193" s="30" t="s">
        <v>18</v>
      </c>
      <c r="D193" s="31"/>
      <c r="E193" s="31"/>
      <c r="F193" s="31"/>
      <c r="G193" s="84"/>
      <c r="H193" s="85"/>
      <c r="I193" s="86"/>
      <c r="J193" s="58"/>
      <c r="K193" s="58"/>
    </row>
    <row r="194" spans="1:11" s="41" customFormat="1" ht="15">
      <c r="A194" s="50"/>
      <c r="B194" s="30"/>
      <c r="C194" s="30"/>
      <c r="D194" s="34"/>
      <c r="E194" s="34"/>
      <c r="F194" s="34"/>
      <c r="G194" s="32"/>
      <c r="H194" s="33"/>
      <c r="I194" s="30"/>
      <c r="J194" s="58"/>
      <c r="K194" s="58"/>
    </row>
    <row r="195" spans="1:11" s="41" customFormat="1" ht="15">
      <c r="A195" s="50"/>
      <c r="B195" s="30"/>
      <c r="C195" s="30" t="s">
        <v>19</v>
      </c>
      <c r="D195" s="31"/>
      <c r="E195" s="31"/>
      <c r="F195" s="31"/>
      <c r="G195" s="84"/>
      <c r="H195" s="85"/>
      <c r="I195" s="86"/>
      <c r="J195" s="58"/>
      <c r="K195" s="58"/>
    </row>
    <row r="196" spans="1:11">
      <c r="A196" s="50"/>
      <c r="C196" s="70"/>
    </row>
    <row r="197" spans="1:11" ht="56.25">
      <c r="A197" s="50"/>
      <c r="C197" s="74" t="s">
        <v>188</v>
      </c>
    </row>
    <row r="198" spans="1:11">
      <c r="A198" s="50"/>
      <c r="C198" s="70"/>
    </row>
    <row r="199" spans="1:11">
      <c r="A199" s="50"/>
      <c r="C199" s="70"/>
    </row>
    <row r="200" spans="1:11">
      <c r="A200" s="50"/>
      <c r="C200" s="70"/>
    </row>
    <row r="201" spans="1:11">
      <c r="A201" s="50"/>
      <c r="C201" s="70"/>
    </row>
    <row r="202" spans="1:11">
      <c r="A202" s="50"/>
      <c r="C202" s="70"/>
    </row>
    <row r="203" spans="1:11">
      <c r="A203" s="50"/>
      <c r="C203" s="70"/>
    </row>
    <row r="204" spans="1:11">
      <c r="A204" s="50"/>
      <c r="C204" s="70"/>
    </row>
    <row r="205" spans="1:11">
      <c r="A205" s="50"/>
      <c r="C205" s="70"/>
    </row>
    <row r="206" spans="1:11">
      <c r="A206" s="50"/>
      <c r="C206" s="70"/>
    </row>
    <row r="207" spans="1:11">
      <c r="A207" s="50"/>
      <c r="C207" s="70"/>
    </row>
    <row r="208" spans="1:11">
      <c r="A208" s="50"/>
      <c r="C208" s="70"/>
    </row>
    <row r="209" spans="1:3">
      <c r="A209" s="50"/>
      <c r="C209" s="70"/>
    </row>
    <row r="210" spans="1:3">
      <c r="A210" s="50"/>
      <c r="C210" s="70"/>
    </row>
    <row r="211" spans="1:3">
      <c r="A211" s="50"/>
      <c r="C211" s="70"/>
    </row>
    <row r="212" spans="1:3">
      <c r="A212" s="50"/>
      <c r="C212" s="70"/>
    </row>
    <row r="213" spans="1:3">
      <c r="A213" s="50"/>
      <c r="C213" s="70"/>
    </row>
    <row r="214" spans="1:3">
      <c r="A214" s="50"/>
      <c r="C214" s="70"/>
    </row>
    <row r="215" spans="1:3">
      <c r="A215" s="50"/>
      <c r="C215" s="70"/>
    </row>
    <row r="216" spans="1:3">
      <c r="A216" s="50"/>
      <c r="C216" s="70"/>
    </row>
    <row r="217" spans="1:3">
      <c r="A217" s="50"/>
      <c r="C217" s="70"/>
    </row>
    <row r="218" spans="1:3">
      <c r="A218" s="50"/>
      <c r="C218" s="70"/>
    </row>
    <row r="219" spans="1:3">
      <c r="A219" s="50"/>
      <c r="C219" s="70"/>
    </row>
    <row r="220" spans="1:3">
      <c r="A220" s="50"/>
      <c r="C220" s="70"/>
    </row>
    <row r="221" spans="1:3">
      <c r="A221" s="50"/>
      <c r="C221" s="70"/>
    </row>
    <row r="222" spans="1:3">
      <c r="A222" s="50"/>
      <c r="C222" s="70"/>
    </row>
    <row r="223" spans="1:3">
      <c r="A223" s="50"/>
      <c r="C223" s="70"/>
    </row>
    <row r="224" spans="1:3">
      <c r="A224" s="50"/>
      <c r="C224" s="70"/>
    </row>
    <row r="225" spans="1:3">
      <c r="A225" s="50"/>
      <c r="C225" s="70"/>
    </row>
    <row r="226" spans="1:3">
      <c r="A226" s="50"/>
      <c r="C226" s="70"/>
    </row>
    <row r="227" spans="1:3">
      <c r="A227" s="50"/>
      <c r="C227" s="70"/>
    </row>
    <row r="228" spans="1:3">
      <c r="A228" s="50"/>
      <c r="C228" s="70"/>
    </row>
    <row r="229" spans="1:3">
      <c r="A229" s="50"/>
      <c r="C229" s="70"/>
    </row>
    <row r="230" spans="1:3">
      <c r="A230" s="50"/>
      <c r="C230" s="70"/>
    </row>
    <row r="231" spans="1:3">
      <c r="A231" s="50"/>
      <c r="C231" s="70"/>
    </row>
    <row r="232" spans="1:3">
      <c r="A232" s="50"/>
      <c r="C232" s="70"/>
    </row>
    <row r="233" spans="1:3">
      <c r="A233" s="50"/>
      <c r="C233" s="70"/>
    </row>
    <row r="234" spans="1:3">
      <c r="A234" s="50"/>
      <c r="C234" s="70"/>
    </row>
    <row r="235" spans="1:3">
      <c r="A235" s="50"/>
      <c r="C235" s="70"/>
    </row>
    <row r="236" spans="1:3">
      <c r="A236" s="50"/>
      <c r="C236" s="70"/>
    </row>
    <row r="237" spans="1:3">
      <c r="A237" s="50"/>
      <c r="C237" s="70"/>
    </row>
    <row r="238" spans="1:3">
      <c r="A238" s="50"/>
      <c r="C238" s="70"/>
    </row>
    <row r="239" spans="1:3">
      <c r="A239" s="50"/>
      <c r="C239" s="70"/>
    </row>
    <row r="240" spans="1:3">
      <c r="A240" s="50"/>
      <c r="C240" s="70"/>
    </row>
    <row r="241" spans="1:3">
      <c r="A241" s="50"/>
      <c r="C241" s="70"/>
    </row>
    <row r="242" spans="1:3">
      <c r="A242" s="50"/>
      <c r="C242" s="70"/>
    </row>
    <row r="243" spans="1:3">
      <c r="A243" s="50"/>
      <c r="C243" s="70"/>
    </row>
    <row r="244" spans="1:3">
      <c r="A244" s="50"/>
      <c r="C244" s="70"/>
    </row>
    <row r="245" spans="1:3">
      <c r="A245" s="50"/>
      <c r="C245" s="70"/>
    </row>
    <row r="246" spans="1:3">
      <c r="A246" s="50"/>
      <c r="C246" s="70"/>
    </row>
    <row r="247" spans="1:3">
      <c r="A247" s="50"/>
      <c r="C247" s="70"/>
    </row>
    <row r="248" spans="1:3">
      <c r="A248" s="50"/>
      <c r="C248" s="70"/>
    </row>
    <row r="249" spans="1:3">
      <c r="A249" s="50"/>
      <c r="C249" s="70"/>
    </row>
    <row r="250" spans="1:3">
      <c r="A250" s="50"/>
      <c r="C250" s="70"/>
    </row>
    <row r="251" spans="1:3">
      <c r="A251" s="50"/>
      <c r="C251" s="70"/>
    </row>
    <row r="252" spans="1:3">
      <c r="A252" s="50"/>
      <c r="C252" s="70"/>
    </row>
    <row r="253" spans="1:3">
      <c r="A253" s="50"/>
      <c r="C253" s="70"/>
    </row>
    <row r="254" spans="1:3">
      <c r="A254" s="50"/>
      <c r="C254" s="70"/>
    </row>
    <row r="255" spans="1:3">
      <c r="A255" s="50"/>
      <c r="C255" s="70"/>
    </row>
    <row r="256" spans="1:3">
      <c r="A256" s="50"/>
      <c r="C256" s="70"/>
    </row>
    <row r="257" spans="1:3">
      <c r="A257" s="50"/>
      <c r="C257" s="70"/>
    </row>
    <row r="258" spans="1:3">
      <c r="A258" s="50"/>
      <c r="C258" s="70"/>
    </row>
    <row r="259" spans="1:3">
      <c r="A259" s="50"/>
      <c r="C259" s="70"/>
    </row>
    <row r="260" spans="1:3">
      <c r="A260" s="50"/>
      <c r="C260" s="70"/>
    </row>
    <row r="261" spans="1:3">
      <c r="A261" s="50"/>
      <c r="C261" s="70"/>
    </row>
    <row r="262" spans="1:3">
      <c r="A262" s="50"/>
      <c r="C262" s="70"/>
    </row>
    <row r="263" spans="1:3">
      <c r="A263" s="50"/>
      <c r="C263" s="70"/>
    </row>
    <row r="264" spans="1:3">
      <c r="A264" s="50"/>
      <c r="C264" s="70"/>
    </row>
    <row r="265" spans="1:3">
      <c r="A265" s="50"/>
      <c r="C265" s="70"/>
    </row>
    <row r="266" spans="1:3">
      <c r="A266" s="50"/>
      <c r="C266" s="70"/>
    </row>
    <row r="267" spans="1:3">
      <c r="A267" s="50"/>
      <c r="C267" s="70"/>
    </row>
    <row r="268" spans="1:3">
      <c r="A268" s="50"/>
      <c r="C268" s="70"/>
    </row>
    <row r="269" spans="1:3">
      <c r="A269" s="50"/>
      <c r="C269" s="70"/>
    </row>
    <row r="270" spans="1:3">
      <c r="A270" s="50"/>
      <c r="C270" s="70"/>
    </row>
    <row r="271" spans="1:3">
      <c r="A271" s="50"/>
      <c r="C271" s="70"/>
    </row>
    <row r="272" spans="1:3">
      <c r="A272" s="50"/>
      <c r="C272" s="70"/>
    </row>
    <row r="273" spans="1:3">
      <c r="A273" s="50"/>
      <c r="C273" s="70"/>
    </row>
    <row r="274" spans="1:3">
      <c r="A274" s="50"/>
      <c r="C274" s="70"/>
    </row>
    <row r="275" spans="1:3">
      <c r="A275" s="50"/>
      <c r="C275" s="70"/>
    </row>
    <row r="276" spans="1:3">
      <c r="A276" s="50"/>
      <c r="C276" s="70"/>
    </row>
    <row r="277" spans="1:3">
      <c r="A277" s="50"/>
      <c r="C277" s="70"/>
    </row>
    <row r="278" spans="1:3">
      <c r="A278" s="50"/>
      <c r="C278" s="70"/>
    </row>
    <row r="279" spans="1:3">
      <c r="A279" s="50"/>
      <c r="C279" s="70"/>
    </row>
    <row r="280" spans="1:3">
      <c r="A280" s="50"/>
      <c r="C280" s="70"/>
    </row>
    <row r="281" spans="1:3">
      <c r="A281" s="50"/>
      <c r="C281" s="70"/>
    </row>
    <row r="282" spans="1:3">
      <c r="A282" s="50"/>
      <c r="C282" s="70"/>
    </row>
    <row r="283" spans="1:3">
      <c r="A283" s="50"/>
      <c r="C283" s="70"/>
    </row>
    <row r="284" spans="1:3">
      <c r="A284" s="50"/>
      <c r="C284" s="70"/>
    </row>
    <row r="285" spans="1:3">
      <c r="A285" s="50"/>
      <c r="C285" s="70"/>
    </row>
    <row r="286" spans="1:3">
      <c r="A286" s="50"/>
      <c r="C286" s="70"/>
    </row>
    <row r="287" spans="1:3">
      <c r="A287" s="50"/>
      <c r="C287" s="70"/>
    </row>
    <row r="288" spans="1:3">
      <c r="A288" s="50"/>
      <c r="C288" s="70"/>
    </row>
    <row r="289" spans="1:3">
      <c r="A289" s="50"/>
      <c r="C289" s="70"/>
    </row>
    <row r="290" spans="1:3">
      <c r="A290" s="50"/>
      <c r="C290" s="70"/>
    </row>
    <row r="291" spans="1:3">
      <c r="A291" s="50"/>
      <c r="C291" s="70"/>
    </row>
    <row r="292" spans="1:3">
      <c r="A292" s="50"/>
      <c r="C292" s="70"/>
    </row>
    <row r="293" spans="1:3">
      <c r="A293" s="50"/>
      <c r="C293" s="70"/>
    </row>
    <row r="294" spans="1:3">
      <c r="A294" s="50"/>
      <c r="C294" s="70"/>
    </row>
    <row r="295" spans="1:3">
      <c r="A295" s="50"/>
      <c r="C295" s="70"/>
    </row>
    <row r="296" spans="1:3">
      <c r="A296" s="50"/>
      <c r="C296" s="70"/>
    </row>
    <row r="297" spans="1:3">
      <c r="A297" s="50"/>
      <c r="C297" s="70"/>
    </row>
    <row r="298" spans="1:3">
      <c r="A298" s="50"/>
      <c r="C298" s="70"/>
    </row>
    <row r="299" spans="1:3">
      <c r="A299" s="50"/>
      <c r="C299" s="70"/>
    </row>
    <row r="300" spans="1:3">
      <c r="A300" s="50"/>
      <c r="C300" s="70"/>
    </row>
    <row r="301" spans="1:3">
      <c r="A301" s="50"/>
      <c r="C301" s="70"/>
    </row>
    <row r="302" spans="1:3">
      <c r="A302" s="50"/>
      <c r="C302" s="70"/>
    </row>
    <row r="303" spans="1:3">
      <c r="A303" s="50"/>
      <c r="C303" s="70"/>
    </row>
    <row r="304" spans="1:3">
      <c r="A304" s="50"/>
      <c r="C304" s="70"/>
    </row>
    <row r="305" spans="1:3">
      <c r="A305" s="50"/>
      <c r="C305" s="70"/>
    </row>
    <row r="306" spans="1:3">
      <c r="A306" s="50"/>
      <c r="C306" s="70"/>
    </row>
    <row r="307" spans="1:3">
      <c r="A307" s="50"/>
      <c r="C307" s="70"/>
    </row>
    <row r="308" spans="1:3">
      <c r="A308" s="50"/>
      <c r="C308" s="70"/>
    </row>
    <row r="309" spans="1:3">
      <c r="A309" s="50"/>
      <c r="C309" s="70"/>
    </row>
    <row r="310" spans="1:3">
      <c r="A310" s="50"/>
      <c r="C310" s="70"/>
    </row>
    <row r="311" spans="1:3">
      <c r="A311" s="50"/>
      <c r="C311" s="70"/>
    </row>
    <row r="312" spans="1:3">
      <c r="A312" s="50"/>
      <c r="C312" s="70"/>
    </row>
    <row r="313" spans="1:3">
      <c r="A313" s="50"/>
      <c r="C313" s="70"/>
    </row>
    <row r="314" spans="1:3">
      <c r="A314" s="50"/>
      <c r="C314" s="70"/>
    </row>
    <row r="315" spans="1:3">
      <c r="A315" s="50"/>
      <c r="C315" s="70"/>
    </row>
    <row r="316" spans="1:3">
      <c r="A316" s="50"/>
      <c r="C316" s="70"/>
    </row>
    <row r="317" spans="1:3">
      <c r="A317" s="50"/>
      <c r="C317" s="70"/>
    </row>
    <row r="318" spans="1:3">
      <c r="A318" s="50"/>
      <c r="C318" s="70"/>
    </row>
    <row r="319" spans="1:3">
      <c r="A319" s="50"/>
      <c r="C319" s="70"/>
    </row>
    <row r="320" spans="1:3">
      <c r="A320" s="50"/>
      <c r="C320" s="70"/>
    </row>
    <row r="321" spans="1:3">
      <c r="A321" s="50"/>
      <c r="C321" s="70"/>
    </row>
    <row r="322" spans="1:3">
      <c r="A322" s="50"/>
      <c r="C322" s="70"/>
    </row>
    <row r="323" spans="1:3">
      <c r="A323" s="50"/>
      <c r="C323" s="70"/>
    </row>
    <row r="324" spans="1:3">
      <c r="A324" s="50"/>
      <c r="C324" s="70"/>
    </row>
    <row r="325" spans="1:3">
      <c r="A325" s="50"/>
      <c r="C325" s="70"/>
    </row>
    <row r="326" spans="1:3">
      <c r="A326" s="50"/>
      <c r="C326" s="70"/>
    </row>
    <row r="327" spans="1:3">
      <c r="A327" s="50"/>
      <c r="C327" s="70"/>
    </row>
    <row r="328" spans="1:3">
      <c r="A328" s="50"/>
      <c r="C328" s="70"/>
    </row>
    <row r="329" spans="1:3">
      <c r="A329" s="50"/>
      <c r="C329" s="70"/>
    </row>
    <row r="330" spans="1:3">
      <c r="A330" s="50"/>
      <c r="C330" s="70"/>
    </row>
    <row r="331" spans="1:3">
      <c r="A331" s="50"/>
      <c r="C331" s="70"/>
    </row>
    <row r="332" spans="1:3">
      <c r="A332" s="50"/>
      <c r="C332" s="70"/>
    </row>
    <row r="333" spans="1:3">
      <c r="A333" s="50"/>
      <c r="C333" s="70"/>
    </row>
    <row r="334" spans="1:3">
      <c r="A334" s="50"/>
      <c r="C334" s="70"/>
    </row>
    <row r="335" spans="1:3">
      <c r="A335" s="50"/>
      <c r="C335" s="70"/>
    </row>
    <row r="336" spans="1:3">
      <c r="A336" s="50"/>
      <c r="C336" s="70"/>
    </row>
    <row r="337" spans="1:3">
      <c r="A337" s="50"/>
      <c r="C337" s="70"/>
    </row>
    <row r="338" spans="1:3">
      <c r="A338" s="50"/>
      <c r="C338" s="70"/>
    </row>
    <row r="339" spans="1:3">
      <c r="A339" s="50"/>
      <c r="C339" s="70"/>
    </row>
    <row r="340" spans="1:3">
      <c r="A340" s="50"/>
      <c r="C340" s="70"/>
    </row>
    <row r="341" spans="1:3">
      <c r="A341" s="50"/>
      <c r="C341" s="70"/>
    </row>
    <row r="342" spans="1:3">
      <c r="A342" s="50"/>
      <c r="C342" s="70"/>
    </row>
    <row r="343" spans="1:3">
      <c r="A343" s="50"/>
      <c r="C343" s="70"/>
    </row>
    <row r="344" spans="1:3">
      <c r="A344" s="50"/>
      <c r="C344" s="70"/>
    </row>
    <row r="345" spans="1:3">
      <c r="A345" s="50"/>
      <c r="C345" s="70"/>
    </row>
    <row r="346" spans="1:3">
      <c r="A346" s="50"/>
      <c r="C346" s="70"/>
    </row>
    <row r="347" spans="1:3">
      <c r="A347" s="50"/>
      <c r="C347" s="70"/>
    </row>
    <row r="348" spans="1:3">
      <c r="A348" s="50"/>
      <c r="C348" s="70"/>
    </row>
    <row r="349" spans="1:3">
      <c r="A349" s="50"/>
      <c r="C349" s="70"/>
    </row>
    <row r="350" spans="1:3">
      <c r="A350" s="50"/>
      <c r="C350" s="70"/>
    </row>
    <row r="351" spans="1:3">
      <c r="A351" s="50"/>
      <c r="C351" s="70"/>
    </row>
    <row r="352" spans="1:3">
      <c r="A352" s="50"/>
      <c r="C352" s="70"/>
    </row>
    <row r="353" spans="1:3">
      <c r="A353" s="50"/>
      <c r="C353" s="70"/>
    </row>
    <row r="354" spans="1:3">
      <c r="A354" s="50"/>
      <c r="C354" s="70"/>
    </row>
    <row r="355" spans="1:3">
      <c r="A355" s="50"/>
      <c r="C355" s="70"/>
    </row>
    <row r="356" spans="1:3">
      <c r="A356" s="50"/>
      <c r="C356" s="70"/>
    </row>
    <row r="357" spans="1:3">
      <c r="A357" s="50"/>
      <c r="C357" s="70"/>
    </row>
    <row r="358" spans="1:3">
      <c r="A358" s="50"/>
      <c r="C358" s="70"/>
    </row>
    <row r="359" spans="1:3">
      <c r="A359" s="50"/>
      <c r="C359" s="70"/>
    </row>
    <row r="360" spans="1:3">
      <c r="A360" s="50"/>
      <c r="C360" s="70"/>
    </row>
    <row r="361" spans="1:3">
      <c r="A361" s="50"/>
      <c r="C361" s="70"/>
    </row>
    <row r="362" spans="1:3">
      <c r="A362" s="50"/>
      <c r="C362" s="70"/>
    </row>
    <row r="363" spans="1:3">
      <c r="A363" s="50"/>
      <c r="C363" s="70"/>
    </row>
    <row r="364" spans="1:3">
      <c r="A364" s="50"/>
      <c r="C364" s="70"/>
    </row>
    <row r="365" spans="1:3">
      <c r="A365" s="50"/>
      <c r="C365" s="70"/>
    </row>
    <row r="366" spans="1:3">
      <c r="A366" s="50"/>
      <c r="C366" s="70"/>
    </row>
    <row r="367" spans="1:3">
      <c r="A367" s="50"/>
      <c r="C367" s="70"/>
    </row>
    <row r="368" spans="1:3">
      <c r="A368" s="50"/>
      <c r="C368" s="70"/>
    </row>
    <row r="369" spans="1:3">
      <c r="A369" s="50"/>
      <c r="C369" s="70"/>
    </row>
    <row r="370" spans="1:3">
      <c r="A370" s="50"/>
      <c r="C370" s="70"/>
    </row>
    <row r="371" spans="1:3">
      <c r="A371" s="50"/>
      <c r="C371" s="70"/>
    </row>
    <row r="372" spans="1:3">
      <c r="A372" s="50"/>
      <c r="C372" s="70"/>
    </row>
    <row r="373" spans="1:3">
      <c r="A373" s="50"/>
      <c r="C373" s="70"/>
    </row>
    <row r="374" spans="1:3">
      <c r="A374" s="50"/>
      <c r="C374" s="70"/>
    </row>
    <row r="375" spans="1:3">
      <c r="A375" s="50"/>
      <c r="C375" s="70"/>
    </row>
    <row r="376" spans="1:3">
      <c r="A376" s="50"/>
      <c r="C376" s="70"/>
    </row>
    <row r="377" spans="1:3">
      <c r="A377" s="50"/>
      <c r="C377" s="70"/>
    </row>
    <row r="378" spans="1:3">
      <c r="A378" s="50"/>
      <c r="C378" s="70"/>
    </row>
    <row r="379" spans="1:3">
      <c r="A379" s="50"/>
      <c r="C379" s="70"/>
    </row>
    <row r="380" spans="1:3">
      <c r="A380" s="50"/>
      <c r="C380" s="70"/>
    </row>
    <row r="381" spans="1:3">
      <c r="A381" s="50"/>
      <c r="C381" s="70"/>
    </row>
    <row r="382" spans="1:3">
      <c r="A382" s="50"/>
      <c r="C382" s="70"/>
    </row>
    <row r="383" spans="1:3">
      <c r="A383" s="50"/>
      <c r="C383" s="70"/>
    </row>
    <row r="384" spans="1:3">
      <c r="A384" s="50"/>
      <c r="C384" s="70"/>
    </row>
    <row r="385" spans="1:3">
      <c r="A385" s="50"/>
      <c r="C385" s="70"/>
    </row>
    <row r="386" spans="1:3">
      <c r="A386" s="50"/>
      <c r="C386" s="70"/>
    </row>
    <row r="387" spans="1:3">
      <c r="A387" s="50"/>
      <c r="C387" s="70"/>
    </row>
    <row r="388" spans="1:3">
      <c r="A388" s="50"/>
      <c r="C388" s="70"/>
    </row>
    <row r="389" spans="1:3">
      <c r="A389" s="50"/>
      <c r="C389" s="70"/>
    </row>
    <row r="390" spans="1:3">
      <c r="A390" s="50"/>
      <c r="C390" s="70"/>
    </row>
    <row r="391" spans="1:3">
      <c r="A391" s="50"/>
      <c r="C391" s="70"/>
    </row>
    <row r="392" spans="1:3">
      <c r="A392" s="50"/>
      <c r="C392" s="70"/>
    </row>
    <row r="393" spans="1:3">
      <c r="A393" s="50"/>
      <c r="C393" s="70"/>
    </row>
    <row r="394" spans="1:3">
      <c r="A394" s="50"/>
      <c r="C394" s="70"/>
    </row>
    <row r="395" spans="1:3">
      <c r="A395" s="50"/>
      <c r="C395" s="70"/>
    </row>
    <row r="396" spans="1:3">
      <c r="A396" s="50"/>
      <c r="C396" s="70"/>
    </row>
    <row r="397" spans="1:3">
      <c r="A397" s="50"/>
      <c r="C397" s="70"/>
    </row>
    <row r="398" spans="1:3">
      <c r="A398" s="50"/>
      <c r="C398" s="70"/>
    </row>
    <row r="399" spans="1:3">
      <c r="A399" s="50"/>
      <c r="C399" s="70"/>
    </row>
    <row r="400" spans="1:3">
      <c r="A400" s="50"/>
      <c r="C400" s="70"/>
    </row>
    <row r="401" spans="1:3">
      <c r="A401" s="50"/>
      <c r="C401" s="70"/>
    </row>
    <row r="402" spans="1:3">
      <c r="A402" s="50"/>
      <c r="C402" s="70"/>
    </row>
    <row r="403" spans="1:3">
      <c r="A403" s="50"/>
      <c r="C403" s="70"/>
    </row>
    <row r="404" spans="1:3">
      <c r="A404" s="50"/>
      <c r="C404" s="70"/>
    </row>
    <row r="405" spans="1:3">
      <c r="A405" s="50"/>
      <c r="C405" s="70"/>
    </row>
    <row r="406" spans="1:3">
      <c r="A406" s="50"/>
      <c r="C406" s="70"/>
    </row>
    <row r="407" spans="1:3">
      <c r="A407" s="50"/>
      <c r="C407" s="70"/>
    </row>
    <row r="408" spans="1:3">
      <c r="A408" s="50"/>
      <c r="C408" s="70"/>
    </row>
    <row r="409" spans="1:3">
      <c r="A409" s="50"/>
      <c r="C409" s="70"/>
    </row>
    <row r="410" spans="1:3">
      <c r="A410" s="50"/>
      <c r="C410" s="70"/>
    </row>
    <row r="411" spans="1:3">
      <c r="A411" s="50"/>
      <c r="C411" s="70"/>
    </row>
    <row r="412" spans="1:3">
      <c r="A412" s="50"/>
      <c r="C412" s="70"/>
    </row>
    <row r="413" spans="1:3">
      <c r="A413" s="50"/>
      <c r="C413" s="70"/>
    </row>
    <row r="414" spans="1:3">
      <c r="A414" s="50"/>
      <c r="C414" s="70"/>
    </row>
    <row r="415" spans="1:3">
      <c r="A415" s="50"/>
      <c r="C415" s="70"/>
    </row>
    <row r="416" spans="1:3">
      <c r="A416" s="50"/>
      <c r="C416" s="70"/>
    </row>
    <row r="417" spans="1:3">
      <c r="A417" s="50"/>
      <c r="C417" s="70"/>
    </row>
    <row r="418" spans="1:3">
      <c r="A418" s="50"/>
      <c r="C418" s="70"/>
    </row>
    <row r="419" spans="1:3">
      <c r="A419" s="50"/>
      <c r="C419" s="70"/>
    </row>
    <row r="420" spans="1:3">
      <c r="A420" s="50"/>
      <c r="C420" s="70"/>
    </row>
    <row r="421" spans="1:3">
      <c r="A421" s="50"/>
      <c r="C421" s="70"/>
    </row>
    <row r="422" spans="1:3">
      <c r="A422" s="50"/>
      <c r="C422" s="70"/>
    </row>
    <row r="423" spans="1:3">
      <c r="A423" s="50"/>
      <c r="C423" s="70"/>
    </row>
    <row r="424" spans="1:3">
      <c r="A424" s="50"/>
      <c r="C424" s="70"/>
    </row>
    <row r="425" spans="1:3">
      <c r="A425" s="50"/>
      <c r="C425" s="70"/>
    </row>
    <row r="426" spans="1:3">
      <c r="A426" s="50"/>
      <c r="C426" s="70"/>
    </row>
    <row r="427" spans="1:3">
      <c r="A427" s="50"/>
      <c r="C427" s="70"/>
    </row>
    <row r="428" spans="1:3">
      <c r="A428" s="50"/>
      <c r="C428" s="70"/>
    </row>
    <row r="429" spans="1:3">
      <c r="A429" s="50"/>
      <c r="C429" s="70"/>
    </row>
    <row r="430" spans="1:3">
      <c r="A430" s="50"/>
      <c r="C430" s="70"/>
    </row>
    <row r="431" spans="1:3">
      <c r="A431" s="50"/>
      <c r="C431" s="70"/>
    </row>
    <row r="432" spans="1:3">
      <c r="A432" s="50"/>
      <c r="C432" s="70"/>
    </row>
    <row r="433" spans="1:3">
      <c r="A433" s="50"/>
      <c r="C433" s="70"/>
    </row>
    <row r="434" spans="1:3">
      <c r="A434" s="50"/>
      <c r="C434" s="70"/>
    </row>
    <row r="435" spans="1:3">
      <c r="A435" s="50"/>
      <c r="C435" s="70"/>
    </row>
    <row r="436" spans="1:3">
      <c r="A436" s="50"/>
      <c r="C436" s="70"/>
    </row>
    <row r="437" spans="1:3">
      <c r="A437" s="50"/>
      <c r="C437" s="70"/>
    </row>
    <row r="438" spans="1:3">
      <c r="A438" s="50"/>
      <c r="C438" s="70"/>
    </row>
    <row r="439" spans="1:3">
      <c r="A439" s="50"/>
      <c r="C439" s="70"/>
    </row>
    <row r="440" spans="1:3">
      <c r="A440" s="50"/>
      <c r="C440" s="70"/>
    </row>
    <row r="441" spans="1:3">
      <c r="A441" s="50"/>
      <c r="C441" s="70"/>
    </row>
    <row r="442" spans="1:3">
      <c r="A442" s="50"/>
      <c r="C442" s="70"/>
    </row>
    <row r="443" spans="1:3">
      <c r="A443" s="50"/>
      <c r="C443" s="70"/>
    </row>
    <row r="444" spans="1:3">
      <c r="A444" s="50"/>
      <c r="C444" s="70"/>
    </row>
    <row r="445" spans="1:3">
      <c r="A445" s="50"/>
      <c r="C445" s="70"/>
    </row>
    <row r="446" spans="1:3">
      <c r="A446" s="50"/>
      <c r="C446" s="70"/>
    </row>
    <row r="447" spans="1:3">
      <c r="A447" s="50"/>
      <c r="C447" s="70"/>
    </row>
    <row r="448" spans="1:3">
      <c r="A448" s="50"/>
      <c r="C448" s="70"/>
    </row>
    <row r="449" spans="1:3">
      <c r="A449" s="50"/>
      <c r="C449" s="70"/>
    </row>
    <row r="450" spans="1:3">
      <c r="A450" s="50"/>
      <c r="C450" s="70"/>
    </row>
    <row r="451" spans="1:3">
      <c r="A451" s="50"/>
      <c r="C451" s="70"/>
    </row>
    <row r="452" spans="1:3">
      <c r="A452" s="50"/>
      <c r="C452" s="70"/>
    </row>
    <row r="453" spans="1:3">
      <c r="A453" s="50"/>
      <c r="C453" s="70"/>
    </row>
    <row r="454" spans="1:3">
      <c r="A454" s="50"/>
      <c r="C454" s="70"/>
    </row>
    <row r="455" spans="1:3">
      <c r="A455" s="50"/>
      <c r="C455" s="70"/>
    </row>
    <row r="456" spans="1:3">
      <c r="A456" s="50"/>
      <c r="C456" s="70"/>
    </row>
    <row r="457" spans="1:3">
      <c r="A457" s="50"/>
      <c r="C457" s="70"/>
    </row>
    <row r="458" spans="1:3">
      <c r="A458" s="50"/>
      <c r="C458" s="70"/>
    </row>
    <row r="459" spans="1:3">
      <c r="A459" s="50"/>
      <c r="C459" s="70"/>
    </row>
    <row r="460" spans="1:3">
      <c r="A460" s="50"/>
      <c r="C460" s="70"/>
    </row>
    <row r="461" spans="1:3">
      <c r="A461" s="50"/>
      <c r="C461" s="70"/>
    </row>
    <row r="462" spans="1:3">
      <c r="A462" s="50"/>
      <c r="C462" s="70"/>
    </row>
    <row r="463" spans="1:3">
      <c r="A463" s="50"/>
      <c r="C463" s="70"/>
    </row>
    <row r="464" spans="1:3">
      <c r="A464" s="50"/>
      <c r="C464" s="70"/>
    </row>
    <row r="465" spans="1:3">
      <c r="A465" s="50"/>
      <c r="C465" s="70"/>
    </row>
    <row r="466" spans="1:3">
      <c r="A466" s="50"/>
      <c r="C466" s="70"/>
    </row>
    <row r="467" spans="1:3">
      <c r="A467" s="50"/>
      <c r="C467" s="70"/>
    </row>
    <row r="468" spans="1:3">
      <c r="A468" s="50"/>
      <c r="C468" s="70"/>
    </row>
    <row r="469" spans="1:3">
      <c r="A469" s="50"/>
      <c r="C469" s="70"/>
    </row>
    <row r="470" spans="1:3">
      <c r="A470" s="50"/>
      <c r="C470" s="70"/>
    </row>
    <row r="471" spans="1:3">
      <c r="A471" s="50"/>
      <c r="C471" s="70"/>
    </row>
    <row r="472" spans="1:3">
      <c r="A472" s="50"/>
      <c r="C472" s="70"/>
    </row>
    <row r="473" spans="1:3">
      <c r="A473" s="50"/>
      <c r="C473" s="70"/>
    </row>
    <row r="474" spans="1:3">
      <c r="A474" s="50"/>
      <c r="C474" s="70"/>
    </row>
    <row r="475" spans="1:3">
      <c r="A475" s="50"/>
      <c r="C475" s="70"/>
    </row>
    <row r="476" spans="1:3">
      <c r="A476" s="50"/>
      <c r="C476" s="70"/>
    </row>
    <row r="477" spans="1:3">
      <c r="A477" s="50"/>
      <c r="C477" s="70"/>
    </row>
    <row r="478" spans="1:3">
      <c r="A478" s="50"/>
      <c r="C478" s="70"/>
    </row>
    <row r="479" spans="1:3">
      <c r="A479" s="50"/>
      <c r="C479" s="70"/>
    </row>
    <row r="480" spans="1:3">
      <c r="A480" s="50"/>
      <c r="C480" s="70"/>
    </row>
    <row r="481" spans="1:3">
      <c r="A481" s="50"/>
      <c r="C481" s="70"/>
    </row>
    <row r="482" spans="1:3">
      <c r="A482" s="50"/>
      <c r="C482" s="70"/>
    </row>
    <row r="483" spans="1:3">
      <c r="A483" s="50"/>
      <c r="C483" s="70"/>
    </row>
    <row r="484" spans="1:3">
      <c r="A484" s="50"/>
      <c r="C484" s="70"/>
    </row>
    <row r="485" spans="1:3">
      <c r="A485" s="50"/>
      <c r="C485" s="70"/>
    </row>
    <row r="486" spans="1:3">
      <c r="A486" s="50"/>
      <c r="C486" s="70"/>
    </row>
    <row r="487" spans="1:3">
      <c r="A487" s="50"/>
      <c r="C487" s="70"/>
    </row>
    <row r="488" spans="1:3">
      <c r="A488" s="50"/>
      <c r="C488" s="70"/>
    </row>
    <row r="489" spans="1:3">
      <c r="A489" s="50"/>
      <c r="C489" s="70"/>
    </row>
    <row r="490" spans="1:3">
      <c r="A490" s="50"/>
      <c r="C490" s="70"/>
    </row>
    <row r="491" spans="1:3">
      <c r="A491" s="50"/>
      <c r="C491" s="70"/>
    </row>
    <row r="492" spans="1:3">
      <c r="A492" s="50"/>
      <c r="C492" s="70"/>
    </row>
    <row r="493" spans="1:3">
      <c r="A493" s="50"/>
      <c r="C493" s="70"/>
    </row>
    <row r="494" spans="1:3">
      <c r="A494" s="50"/>
      <c r="C494" s="70"/>
    </row>
    <row r="495" spans="1:3">
      <c r="A495" s="50"/>
      <c r="C495" s="70"/>
    </row>
    <row r="496" spans="1:3">
      <c r="A496" s="50"/>
      <c r="C496" s="70"/>
    </row>
    <row r="497" spans="1:3">
      <c r="A497" s="50"/>
      <c r="C497" s="70"/>
    </row>
    <row r="498" spans="1:3">
      <c r="A498" s="50"/>
      <c r="C498" s="70"/>
    </row>
    <row r="499" spans="1:3">
      <c r="A499" s="50"/>
      <c r="C499" s="70"/>
    </row>
    <row r="500" spans="1:3">
      <c r="A500" s="50"/>
      <c r="C500" s="70"/>
    </row>
    <row r="501" spans="1:3">
      <c r="A501" s="50"/>
      <c r="C501" s="70"/>
    </row>
    <row r="502" spans="1:3">
      <c r="A502" s="50"/>
      <c r="C502" s="70"/>
    </row>
    <row r="503" spans="1:3">
      <c r="A503" s="50"/>
      <c r="C503" s="70"/>
    </row>
    <row r="504" spans="1:3">
      <c r="A504" s="50"/>
      <c r="C504" s="70"/>
    </row>
    <row r="505" spans="1:3">
      <c r="A505" s="50"/>
      <c r="C505" s="70"/>
    </row>
    <row r="506" spans="1:3">
      <c r="A506" s="50"/>
      <c r="C506" s="70"/>
    </row>
    <row r="507" spans="1:3">
      <c r="A507" s="50"/>
      <c r="C507" s="70"/>
    </row>
    <row r="508" spans="1:3">
      <c r="A508" s="50"/>
      <c r="C508" s="70"/>
    </row>
    <row r="509" spans="1:3">
      <c r="A509" s="50"/>
      <c r="C509" s="70"/>
    </row>
    <row r="510" spans="1:3">
      <c r="A510" s="50"/>
      <c r="C510" s="70"/>
    </row>
    <row r="511" spans="1:3">
      <c r="A511" s="50"/>
      <c r="C511" s="70"/>
    </row>
    <row r="512" spans="1:3">
      <c r="A512" s="50"/>
      <c r="C512" s="70"/>
    </row>
    <row r="513" spans="1:3">
      <c r="A513" s="50"/>
      <c r="C513" s="70"/>
    </row>
    <row r="514" spans="1:3">
      <c r="A514" s="50"/>
      <c r="C514" s="70"/>
    </row>
    <row r="515" spans="1:3">
      <c r="A515" s="50"/>
      <c r="C515" s="70"/>
    </row>
    <row r="516" spans="1:3">
      <c r="A516" s="50"/>
      <c r="C516" s="70"/>
    </row>
    <row r="517" spans="1:3">
      <c r="A517" s="50"/>
      <c r="C517" s="70"/>
    </row>
    <row r="518" spans="1:3">
      <c r="A518" s="50"/>
      <c r="C518" s="70"/>
    </row>
    <row r="519" spans="1:3">
      <c r="A519" s="50"/>
      <c r="C519" s="70"/>
    </row>
    <row r="520" spans="1:3">
      <c r="A520" s="50"/>
      <c r="C520" s="70"/>
    </row>
    <row r="521" spans="1:3">
      <c r="A521" s="50"/>
      <c r="C521" s="70"/>
    </row>
    <row r="522" spans="1:3">
      <c r="A522" s="50"/>
      <c r="C522" s="70"/>
    </row>
    <row r="523" spans="1:3">
      <c r="A523" s="50"/>
      <c r="C523" s="70"/>
    </row>
    <row r="524" spans="1:3">
      <c r="A524" s="50"/>
      <c r="C524" s="70"/>
    </row>
    <row r="525" spans="1:3">
      <c r="A525" s="50"/>
      <c r="C525" s="70"/>
    </row>
    <row r="526" spans="1:3">
      <c r="A526" s="50"/>
      <c r="C526" s="70"/>
    </row>
    <row r="527" spans="1:3">
      <c r="A527" s="50"/>
      <c r="C527" s="70"/>
    </row>
    <row r="528" spans="1:3">
      <c r="A528" s="50"/>
      <c r="C528" s="70"/>
    </row>
    <row r="529" spans="1:3">
      <c r="A529" s="50"/>
      <c r="C529" s="70"/>
    </row>
    <row r="530" spans="1:3">
      <c r="A530" s="50"/>
      <c r="C530" s="70"/>
    </row>
    <row r="531" spans="1:3">
      <c r="A531" s="50"/>
      <c r="C531" s="70"/>
    </row>
    <row r="532" spans="1:3">
      <c r="A532" s="50"/>
      <c r="C532" s="70"/>
    </row>
    <row r="533" spans="1:3">
      <c r="C533" s="70"/>
    </row>
    <row r="534" spans="1:3">
      <c r="C534" s="70"/>
    </row>
    <row r="535" spans="1:3">
      <c r="C535" s="70"/>
    </row>
    <row r="536" spans="1:3">
      <c r="C536" s="70"/>
    </row>
    <row r="537" spans="1:3">
      <c r="C537" s="70"/>
    </row>
    <row r="538" spans="1:3">
      <c r="C538" s="70"/>
    </row>
    <row r="539" spans="1:3">
      <c r="C539" s="70"/>
    </row>
    <row r="540" spans="1:3">
      <c r="C540" s="70"/>
    </row>
    <row r="541" spans="1:3">
      <c r="C541" s="70"/>
    </row>
    <row r="542" spans="1:3">
      <c r="C542" s="70"/>
    </row>
    <row r="543" spans="1:3">
      <c r="C543" s="70"/>
    </row>
    <row r="544" spans="1:3">
      <c r="C544" s="70"/>
    </row>
    <row r="545" spans="3:3">
      <c r="C545" s="70"/>
    </row>
    <row r="546" spans="3:3">
      <c r="C546" s="70"/>
    </row>
    <row r="547" spans="3:3">
      <c r="C547" s="70"/>
    </row>
    <row r="548" spans="3:3">
      <c r="C548" s="70"/>
    </row>
    <row r="549" spans="3:3">
      <c r="C549" s="70"/>
    </row>
    <row r="550" spans="3:3">
      <c r="C550" s="70"/>
    </row>
    <row r="551" spans="3:3">
      <c r="C551" s="70"/>
    </row>
    <row r="552" spans="3:3">
      <c r="C552" s="70"/>
    </row>
    <row r="553" spans="3:3">
      <c r="C553" s="70"/>
    </row>
    <row r="554" spans="3:3">
      <c r="C554" s="70"/>
    </row>
    <row r="555" spans="3:3">
      <c r="C555" s="70"/>
    </row>
    <row r="556" spans="3:3">
      <c r="C556" s="70"/>
    </row>
    <row r="557" spans="3:3">
      <c r="C557" s="70"/>
    </row>
    <row r="558" spans="3:3">
      <c r="C558" s="70"/>
    </row>
    <row r="559" spans="3:3">
      <c r="C559" s="70"/>
    </row>
    <row r="560" spans="3:3">
      <c r="C560" s="70"/>
    </row>
    <row r="561" spans="3:3">
      <c r="C561" s="70"/>
    </row>
    <row r="562" spans="3:3">
      <c r="C562" s="70"/>
    </row>
    <row r="563" spans="3:3">
      <c r="C563" s="70"/>
    </row>
    <row r="564" spans="3:3">
      <c r="C564" s="70"/>
    </row>
    <row r="565" spans="3:3">
      <c r="C565" s="70"/>
    </row>
    <row r="566" spans="3:3">
      <c r="C566" s="70"/>
    </row>
    <row r="567" spans="3:3">
      <c r="C567" s="70"/>
    </row>
    <row r="568" spans="3:3">
      <c r="C568" s="70"/>
    </row>
    <row r="569" spans="3:3">
      <c r="C569" s="70"/>
    </row>
    <row r="570" spans="3:3">
      <c r="C570" s="70"/>
    </row>
    <row r="571" spans="3:3">
      <c r="C571" s="70"/>
    </row>
    <row r="572" spans="3:3">
      <c r="C572" s="70"/>
    </row>
    <row r="573" spans="3:3">
      <c r="C573" s="70"/>
    </row>
    <row r="574" spans="3:3">
      <c r="C574" s="70"/>
    </row>
    <row r="575" spans="3:3">
      <c r="C575" s="70"/>
    </row>
    <row r="576" spans="3:3">
      <c r="C576" s="70"/>
    </row>
    <row r="577" spans="3:3">
      <c r="C577" s="70"/>
    </row>
    <row r="578" spans="3:3">
      <c r="C578" s="70"/>
    </row>
    <row r="579" spans="3:3">
      <c r="C579" s="70"/>
    </row>
    <row r="580" spans="3:3">
      <c r="C580" s="70"/>
    </row>
    <row r="581" spans="3:3">
      <c r="C581" s="70"/>
    </row>
    <row r="582" spans="3:3">
      <c r="C582" s="70"/>
    </row>
    <row r="583" spans="3:3">
      <c r="C583" s="70"/>
    </row>
    <row r="584" spans="3:3">
      <c r="C584" s="70"/>
    </row>
    <row r="585" spans="3:3">
      <c r="C585" s="70"/>
    </row>
    <row r="586" spans="3:3">
      <c r="C586" s="70"/>
    </row>
    <row r="587" spans="3:3">
      <c r="C587" s="70"/>
    </row>
    <row r="588" spans="3:3">
      <c r="C588" s="70"/>
    </row>
    <row r="589" spans="3:3">
      <c r="C589" s="70"/>
    </row>
    <row r="590" spans="3:3">
      <c r="C590" s="70"/>
    </row>
    <row r="591" spans="3:3">
      <c r="C591" s="70"/>
    </row>
    <row r="592" spans="3:3">
      <c r="C592" s="70"/>
    </row>
    <row r="593" spans="3:3">
      <c r="C593" s="70"/>
    </row>
    <row r="594" spans="3:3">
      <c r="C594" s="70"/>
    </row>
    <row r="595" spans="3:3">
      <c r="C595" s="70"/>
    </row>
    <row r="596" spans="3:3">
      <c r="C596" s="70"/>
    </row>
    <row r="597" spans="3:3">
      <c r="C597" s="70"/>
    </row>
    <row r="598" spans="3:3">
      <c r="C598" s="70"/>
    </row>
    <row r="599" spans="3:3">
      <c r="C599" s="70"/>
    </row>
    <row r="600" spans="3:3">
      <c r="C600" s="70"/>
    </row>
    <row r="601" spans="3:3">
      <c r="C601" s="70"/>
    </row>
    <row r="602" spans="3:3">
      <c r="C602" s="70"/>
    </row>
    <row r="603" spans="3:3">
      <c r="C603" s="70"/>
    </row>
    <row r="604" spans="3:3">
      <c r="C604" s="70"/>
    </row>
    <row r="605" spans="3:3">
      <c r="C605" s="70"/>
    </row>
    <row r="606" spans="3:3">
      <c r="C606" s="70"/>
    </row>
    <row r="607" spans="3:3">
      <c r="C607" s="70"/>
    </row>
    <row r="608" spans="3:3">
      <c r="C608" s="70"/>
    </row>
    <row r="609" spans="3:3">
      <c r="C609" s="70"/>
    </row>
    <row r="610" spans="3:3">
      <c r="C610" s="70"/>
    </row>
    <row r="611" spans="3:3">
      <c r="C611" s="70"/>
    </row>
    <row r="612" spans="3:3">
      <c r="C612" s="70"/>
    </row>
    <row r="613" spans="3:3">
      <c r="C613" s="70"/>
    </row>
    <row r="614" spans="3:3">
      <c r="C614" s="70"/>
    </row>
    <row r="615" spans="3:3">
      <c r="C615" s="70"/>
    </row>
    <row r="616" spans="3:3">
      <c r="C616" s="70"/>
    </row>
    <row r="617" spans="3:3">
      <c r="C617" s="70"/>
    </row>
    <row r="618" spans="3:3">
      <c r="C618" s="70"/>
    </row>
    <row r="619" spans="3:3">
      <c r="C619" s="70"/>
    </row>
    <row r="620" spans="3:3">
      <c r="C620" s="70"/>
    </row>
    <row r="621" spans="3:3">
      <c r="C621" s="70"/>
    </row>
    <row r="622" spans="3:3">
      <c r="C622" s="70"/>
    </row>
    <row r="623" spans="3:3">
      <c r="C623" s="70"/>
    </row>
    <row r="624" spans="3:3">
      <c r="C624" s="70"/>
    </row>
    <row r="625" spans="3:3">
      <c r="C625" s="70"/>
    </row>
    <row r="626" spans="3:3">
      <c r="C626" s="70"/>
    </row>
    <row r="627" spans="3:3">
      <c r="C627" s="70"/>
    </row>
    <row r="628" spans="3:3">
      <c r="C628" s="70"/>
    </row>
    <row r="629" spans="3:3">
      <c r="C629" s="70"/>
    </row>
    <row r="630" spans="3:3">
      <c r="C630" s="70"/>
    </row>
    <row r="631" spans="3:3">
      <c r="C631" s="70"/>
    </row>
    <row r="632" spans="3:3">
      <c r="C632" s="70"/>
    </row>
    <row r="633" spans="3:3">
      <c r="C633" s="70"/>
    </row>
    <row r="634" spans="3:3">
      <c r="C634" s="70"/>
    </row>
    <row r="635" spans="3:3">
      <c r="C635" s="70"/>
    </row>
    <row r="636" spans="3:3">
      <c r="C636" s="70"/>
    </row>
    <row r="637" spans="3:3">
      <c r="C637" s="70"/>
    </row>
    <row r="638" spans="3:3">
      <c r="C638" s="70"/>
    </row>
    <row r="639" spans="3:3">
      <c r="C639" s="70"/>
    </row>
    <row r="640" spans="3:3">
      <c r="C640" s="70"/>
    </row>
    <row r="641" spans="3:3">
      <c r="C641" s="70"/>
    </row>
    <row r="642" spans="3:3">
      <c r="C642" s="70"/>
    </row>
    <row r="643" spans="3:3">
      <c r="C643" s="70"/>
    </row>
    <row r="644" spans="3:3">
      <c r="C644" s="70"/>
    </row>
    <row r="645" spans="3:3">
      <c r="C645" s="70"/>
    </row>
    <row r="646" spans="3:3">
      <c r="C646" s="70"/>
    </row>
    <row r="647" spans="3:3">
      <c r="C647" s="70"/>
    </row>
    <row r="648" spans="3:3">
      <c r="C648" s="70"/>
    </row>
    <row r="649" spans="3:3">
      <c r="C649" s="70"/>
    </row>
    <row r="650" spans="3:3">
      <c r="C650" s="70"/>
    </row>
    <row r="651" spans="3:3">
      <c r="C651" s="70"/>
    </row>
    <row r="652" spans="3:3">
      <c r="C652" s="70"/>
    </row>
    <row r="653" spans="3:3">
      <c r="C653" s="70"/>
    </row>
    <row r="654" spans="3:3">
      <c r="C654" s="70"/>
    </row>
    <row r="655" spans="3:3">
      <c r="C655" s="70"/>
    </row>
    <row r="656" spans="3:3">
      <c r="C656" s="70"/>
    </row>
    <row r="657" spans="3:3">
      <c r="C657" s="70"/>
    </row>
    <row r="658" spans="3:3">
      <c r="C658" s="70"/>
    </row>
    <row r="659" spans="3:3">
      <c r="C659" s="70"/>
    </row>
    <row r="660" spans="3:3">
      <c r="C660" s="70"/>
    </row>
    <row r="661" spans="3:3">
      <c r="C661" s="70"/>
    </row>
    <row r="662" spans="3:3">
      <c r="C662" s="70"/>
    </row>
    <row r="663" spans="3:3">
      <c r="C663" s="70"/>
    </row>
    <row r="664" spans="3:3">
      <c r="C664" s="70"/>
    </row>
    <row r="665" spans="3:3">
      <c r="C665" s="70"/>
    </row>
    <row r="666" spans="3:3">
      <c r="C666" s="70"/>
    </row>
    <row r="667" spans="3:3">
      <c r="C667" s="70"/>
    </row>
    <row r="668" spans="3:3">
      <c r="C668" s="70"/>
    </row>
    <row r="669" spans="3:3">
      <c r="C669" s="70"/>
    </row>
    <row r="670" spans="3:3">
      <c r="C670" s="70"/>
    </row>
    <row r="671" spans="3:3">
      <c r="C671" s="70"/>
    </row>
    <row r="672" spans="3:3">
      <c r="C672" s="70"/>
    </row>
    <row r="673" spans="3:3">
      <c r="C673" s="70"/>
    </row>
    <row r="674" spans="3:3">
      <c r="C674" s="70"/>
    </row>
    <row r="675" spans="3:3">
      <c r="C675" s="70"/>
    </row>
    <row r="676" spans="3:3">
      <c r="C676" s="70"/>
    </row>
    <row r="677" spans="3:3">
      <c r="C677" s="70"/>
    </row>
    <row r="678" spans="3:3">
      <c r="C678" s="70"/>
    </row>
    <row r="679" spans="3:3">
      <c r="C679" s="70"/>
    </row>
    <row r="680" spans="3:3">
      <c r="C680" s="70"/>
    </row>
    <row r="681" spans="3:3">
      <c r="C681" s="70"/>
    </row>
    <row r="682" spans="3:3">
      <c r="C682" s="70"/>
    </row>
    <row r="683" spans="3:3">
      <c r="C683" s="70"/>
    </row>
    <row r="684" spans="3:3">
      <c r="C684" s="70"/>
    </row>
    <row r="685" spans="3:3">
      <c r="C685" s="70"/>
    </row>
    <row r="686" spans="3:3">
      <c r="C686" s="70"/>
    </row>
    <row r="687" spans="3:3">
      <c r="C687" s="70"/>
    </row>
    <row r="688" spans="3:3">
      <c r="C688" s="70"/>
    </row>
    <row r="689" spans="3:3">
      <c r="C689" s="70"/>
    </row>
    <row r="690" spans="3:3">
      <c r="C690" s="70"/>
    </row>
    <row r="691" spans="3:3">
      <c r="C691" s="70"/>
    </row>
    <row r="692" spans="3:3">
      <c r="C692" s="70"/>
    </row>
    <row r="693" spans="3:3">
      <c r="C693" s="70"/>
    </row>
    <row r="694" spans="3:3">
      <c r="C694" s="70"/>
    </row>
    <row r="695" spans="3:3">
      <c r="C695" s="70"/>
    </row>
    <row r="696" spans="3:3">
      <c r="C696" s="70"/>
    </row>
    <row r="697" spans="3:3">
      <c r="C697" s="70"/>
    </row>
    <row r="698" spans="3:3">
      <c r="C698" s="70"/>
    </row>
    <row r="699" spans="3:3">
      <c r="C699" s="70"/>
    </row>
    <row r="700" spans="3:3">
      <c r="C700" s="70"/>
    </row>
    <row r="701" spans="3:3">
      <c r="C701" s="70"/>
    </row>
    <row r="702" spans="3:3">
      <c r="C702" s="70"/>
    </row>
    <row r="703" spans="3:3">
      <c r="C703" s="70"/>
    </row>
    <row r="704" spans="3:3">
      <c r="C704" s="70"/>
    </row>
    <row r="705" spans="3:3">
      <c r="C705" s="70"/>
    </row>
    <row r="706" spans="3:3">
      <c r="C706" s="70"/>
    </row>
    <row r="707" spans="3:3">
      <c r="C707" s="70"/>
    </row>
    <row r="708" spans="3:3">
      <c r="C708" s="70"/>
    </row>
    <row r="709" spans="3:3">
      <c r="C709" s="70"/>
    </row>
    <row r="710" spans="3:3">
      <c r="C710" s="70"/>
    </row>
    <row r="711" spans="3:3">
      <c r="C711" s="70"/>
    </row>
    <row r="712" spans="3:3">
      <c r="C712" s="70"/>
    </row>
    <row r="713" spans="3:3">
      <c r="C713" s="70"/>
    </row>
    <row r="714" spans="3:3">
      <c r="C714" s="70"/>
    </row>
    <row r="715" spans="3:3">
      <c r="C715" s="70"/>
    </row>
    <row r="716" spans="3:3">
      <c r="C716" s="70"/>
    </row>
    <row r="717" spans="3:3">
      <c r="C717" s="70"/>
    </row>
    <row r="718" spans="3:3">
      <c r="C718" s="70"/>
    </row>
    <row r="719" spans="3:3">
      <c r="C719" s="70"/>
    </row>
    <row r="720" spans="3:3">
      <c r="C720" s="70"/>
    </row>
    <row r="721" spans="3:3">
      <c r="C721" s="70"/>
    </row>
    <row r="722" spans="3:3">
      <c r="C722" s="70"/>
    </row>
    <row r="723" spans="3:3">
      <c r="C723" s="70"/>
    </row>
    <row r="724" spans="3:3">
      <c r="C724" s="70"/>
    </row>
    <row r="725" spans="3:3">
      <c r="C725" s="70"/>
    </row>
    <row r="726" spans="3:3">
      <c r="C726" s="70"/>
    </row>
    <row r="727" spans="3:3">
      <c r="C727" s="70"/>
    </row>
    <row r="728" spans="3:3">
      <c r="C728" s="70"/>
    </row>
    <row r="729" spans="3:3">
      <c r="C729" s="70"/>
    </row>
    <row r="730" spans="3:3">
      <c r="C730" s="70"/>
    </row>
    <row r="731" spans="3:3">
      <c r="C731" s="70"/>
    </row>
    <row r="732" spans="3:3">
      <c r="C732" s="70"/>
    </row>
    <row r="733" spans="3:3">
      <c r="C733" s="70"/>
    </row>
    <row r="734" spans="3:3">
      <c r="C734" s="70"/>
    </row>
    <row r="735" spans="3:3">
      <c r="C735" s="70"/>
    </row>
    <row r="736" spans="3:3">
      <c r="C736" s="70"/>
    </row>
    <row r="737" spans="3:3">
      <c r="C737" s="70"/>
    </row>
    <row r="738" spans="3:3">
      <c r="C738" s="70"/>
    </row>
    <row r="739" spans="3:3">
      <c r="C739" s="70"/>
    </row>
    <row r="740" spans="3:3">
      <c r="C740" s="70"/>
    </row>
    <row r="741" spans="3:3">
      <c r="C741" s="70"/>
    </row>
    <row r="742" spans="3:3">
      <c r="C742" s="70"/>
    </row>
    <row r="743" spans="3:3">
      <c r="C743" s="70"/>
    </row>
    <row r="744" spans="3:3">
      <c r="C744" s="70"/>
    </row>
    <row r="745" spans="3:3">
      <c r="C745" s="70"/>
    </row>
    <row r="746" spans="3:3">
      <c r="C746" s="70"/>
    </row>
    <row r="747" spans="3:3">
      <c r="C747" s="70"/>
    </row>
    <row r="748" spans="3:3">
      <c r="C748" s="70"/>
    </row>
    <row r="749" spans="3:3">
      <c r="C749" s="70"/>
    </row>
    <row r="750" spans="3:3">
      <c r="C750" s="70"/>
    </row>
    <row r="751" spans="3:3">
      <c r="C751" s="70"/>
    </row>
    <row r="752" spans="3:3">
      <c r="C752" s="70"/>
    </row>
    <row r="753" spans="3:3">
      <c r="C753" s="70"/>
    </row>
    <row r="754" spans="3:3">
      <c r="C754" s="70"/>
    </row>
    <row r="755" spans="3:3">
      <c r="C755" s="70"/>
    </row>
    <row r="756" spans="3:3">
      <c r="C756" s="70"/>
    </row>
    <row r="757" spans="3:3">
      <c r="C757" s="70"/>
    </row>
    <row r="758" spans="3:3">
      <c r="C758" s="70"/>
    </row>
    <row r="759" spans="3:3">
      <c r="C759" s="70"/>
    </row>
    <row r="760" spans="3:3">
      <c r="C760" s="70"/>
    </row>
    <row r="761" spans="3:3">
      <c r="C761" s="70"/>
    </row>
    <row r="762" spans="3:3">
      <c r="C762" s="70"/>
    </row>
    <row r="763" spans="3:3">
      <c r="C763" s="70"/>
    </row>
    <row r="764" spans="3:3">
      <c r="C764" s="70"/>
    </row>
    <row r="765" spans="3:3">
      <c r="C765" s="70"/>
    </row>
    <row r="766" spans="3:3">
      <c r="C766" s="70"/>
    </row>
    <row r="767" spans="3:3">
      <c r="C767" s="70"/>
    </row>
    <row r="768" spans="3:3">
      <c r="C768" s="70"/>
    </row>
    <row r="769" spans="3:3">
      <c r="C769" s="70"/>
    </row>
    <row r="770" spans="3:3">
      <c r="C770" s="70"/>
    </row>
    <row r="771" spans="3:3">
      <c r="C771" s="70"/>
    </row>
    <row r="772" spans="3:3">
      <c r="C772" s="70"/>
    </row>
    <row r="773" spans="3:3">
      <c r="C773" s="70"/>
    </row>
    <row r="774" spans="3:3">
      <c r="C774" s="70"/>
    </row>
    <row r="775" spans="3:3">
      <c r="C775" s="70"/>
    </row>
    <row r="776" spans="3:3">
      <c r="C776" s="70"/>
    </row>
    <row r="777" spans="3:3">
      <c r="C777" s="70"/>
    </row>
    <row r="778" spans="3:3">
      <c r="C778" s="70"/>
    </row>
    <row r="779" spans="3:3">
      <c r="C779" s="70"/>
    </row>
    <row r="780" spans="3:3">
      <c r="C780" s="70"/>
    </row>
    <row r="781" spans="3:3">
      <c r="C781" s="70"/>
    </row>
    <row r="782" spans="3:3">
      <c r="C782" s="70"/>
    </row>
    <row r="783" spans="3:3">
      <c r="C783" s="70"/>
    </row>
    <row r="784" spans="3:3">
      <c r="C784" s="70"/>
    </row>
    <row r="785" spans="3:3">
      <c r="C785" s="70"/>
    </row>
    <row r="786" spans="3:3">
      <c r="C786" s="70"/>
    </row>
    <row r="787" spans="3:3">
      <c r="C787" s="70"/>
    </row>
    <row r="788" spans="3:3">
      <c r="C788" s="70"/>
    </row>
    <row r="789" spans="3:3">
      <c r="C789" s="70"/>
    </row>
    <row r="790" spans="3:3">
      <c r="C790" s="70"/>
    </row>
    <row r="791" spans="3:3">
      <c r="C791" s="70"/>
    </row>
    <row r="792" spans="3:3">
      <c r="C792" s="70"/>
    </row>
    <row r="793" spans="3:3">
      <c r="C793" s="70"/>
    </row>
    <row r="794" spans="3:3">
      <c r="C794" s="70"/>
    </row>
    <row r="795" spans="3:3">
      <c r="C795" s="70"/>
    </row>
    <row r="796" spans="3:3">
      <c r="C796" s="70"/>
    </row>
    <row r="797" spans="3:3">
      <c r="C797" s="70"/>
    </row>
    <row r="798" spans="3:3">
      <c r="C798" s="70"/>
    </row>
    <row r="799" spans="3:3">
      <c r="C799" s="70"/>
    </row>
    <row r="800" spans="3:3">
      <c r="C800" s="70"/>
    </row>
    <row r="801" spans="3:3">
      <c r="C801" s="70"/>
    </row>
    <row r="802" spans="3:3">
      <c r="C802" s="70"/>
    </row>
    <row r="803" spans="3:3">
      <c r="C803" s="70"/>
    </row>
    <row r="804" spans="3:3">
      <c r="C804" s="70"/>
    </row>
    <row r="805" spans="3:3">
      <c r="C805" s="70"/>
    </row>
    <row r="806" spans="3:3">
      <c r="C806" s="70"/>
    </row>
    <row r="807" spans="3:3">
      <c r="C807" s="70"/>
    </row>
    <row r="808" spans="3:3">
      <c r="C808" s="70"/>
    </row>
    <row r="809" spans="3:3">
      <c r="C809" s="70"/>
    </row>
    <row r="810" spans="3:3">
      <c r="C810" s="70"/>
    </row>
    <row r="811" spans="3:3">
      <c r="C811" s="70"/>
    </row>
    <row r="812" spans="3:3">
      <c r="C812" s="70"/>
    </row>
    <row r="813" spans="3:3">
      <c r="C813" s="70"/>
    </row>
    <row r="814" spans="3:3">
      <c r="C814" s="70"/>
    </row>
    <row r="815" spans="3:3">
      <c r="C815" s="70"/>
    </row>
    <row r="816" spans="3:3">
      <c r="C816" s="70"/>
    </row>
    <row r="817" spans="3:3">
      <c r="C817" s="70"/>
    </row>
    <row r="818" spans="3:3">
      <c r="C818" s="70"/>
    </row>
    <row r="819" spans="3:3">
      <c r="C819" s="70"/>
    </row>
    <row r="820" spans="3:3">
      <c r="C820" s="70"/>
    </row>
    <row r="821" spans="3:3">
      <c r="C821" s="70"/>
    </row>
    <row r="822" spans="3:3">
      <c r="C822" s="70"/>
    </row>
    <row r="823" spans="3:3">
      <c r="C823" s="70"/>
    </row>
    <row r="824" spans="3:3">
      <c r="C824" s="70"/>
    </row>
    <row r="825" spans="3:3">
      <c r="C825" s="70"/>
    </row>
    <row r="826" spans="3:3">
      <c r="C826" s="70"/>
    </row>
    <row r="827" spans="3:3">
      <c r="C827" s="70"/>
    </row>
    <row r="828" spans="3:3">
      <c r="C828" s="70"/>
    </row>
    <row r="829" spans="3:3">
      <c r="C829" s="70"/>
    </row>
    <row r="830" spans="3:3">
      <c r="C830" s="70"/>
    </row>
    <row r="831" spans="3:3">
      <c r="C831" s="70"/>
    </row>
    <row r="832" spans="3:3">
      <c r="C832" s="70"/>
    </row>
    <row r="833" spans="3:3">
      <c r="C833" s="70"/>
    </row>
    <row r="834" spans="3:3">
      <c r="C834" s="70"/>
    </row>
    <row r="835" spans="3:3">
      <c r="C835" s="70"/>
    </row>
    <row r="836" spans="3:3">
      <c r="C836" s="70"/>
    </row>
    <row r="837" spans="3:3">
      <c r="C837" s="70"/>
    </row>
    <row r="838" spans="3:3">
      <c r="C838" s="70"/>
    </row>
    <row r="839" spans="3:3">
      <c r="C839" s="70"/>
    </row>
    <row r="840" spans="3:3">
      <c r="C840" s="70"/>
    </row>
    <row r="841" spans="3:3">
      <c r="C841" s="70"/>
    </row>
    <row r="842" spans="3:3">
      <c r="C842" s="70"/>
    </row>
    <row r="843" spans="3:3">
      <c r="C843" s="70"/>
    </row>
    <row r="844" spans="3:3">
      <c r="C844" s="70"/>
    </row>
    <row r="845" spans="3:3">
      <c r="C845" s="70"/>
    </row>
    <row r="846" spans="3:3">
      <c r="C846" s="70"/>
    </row>
    <row r="847" spans="3:3">
      <c r="C847" s="70"/>
    </row>
    <row r="848" spans="3:3">
      <c r="C848" s="70"/>
    </row>
    <row r="849" spans="3:3">
      <c r="C849" s="70"/>
    </row>
    <row r="850" spans="3:3">
      <c r="C850" s="70"/>
    </row>
    <row r="851" spans="3:3">
      <c r="C851" s="70"/>
    </row>
    <row r="852" spans="3:3">
      <c r="C852" s="70"/>
    </row>
    <row r="853" spans="3:3">
      <c r="C853" s="70"/>
    </row>
    <row r="854" spans="3:3">
      <c r="C854" s="70"/>
    </row>
    <row r="855" spans="3:3">
      <c r="C855" s="70"/>
    </row>
    <row r="856" spans="3:3">
      <c r="C856" s="70"/>
    </row>
    <row r="857" spans="3:3">
      <c r="C857" s="70"/>
    </row>
    <row r="858" spans="3:3">
      <c r="C858" s="70"/>
    </row>
    <row r="859" spans="3:3">
      <c r="C859" s="70"/>
    </row>
    <row r="860" spans="3:3">
      <c r="C860" s="70"/>
    </row>
    <row r="861" spans="3:3">
      <c r="C861" s="70"/>
    </row>
    <row r="862" spans="3:3">
      <c r="C862" s="70"/>
    </row>
    <row r="863" spans="3:3">
      <c r="C863" s="70"/>
    </row>
    <row r="864" spans="3:3">
      <c r="C864" s="70"/>
    </row>
    <row r="865" spans="3:3">
      <c r="C865" s="70"/>
    </row>
    <row r="866" spans="3:3">
      <c r="C866" s="70"/>
    </row>
    <row r="867" spans="3:3">
      <c r="C867" s="70"/>
    </row>
    <row r="868" spans="3:3">
      <c r="C868" s="70"/>
    </row>
    <row r="869" spans="3:3">
      <c r="C869" s="70"/>
    </row>
    <row r="870" spans="3:3">
      <c r="C870" s="70"/>
    </row>
    <row r="871" spans="3:3">
      <c r="C871" s="70"/>
    </row>
    <row r="872" spans="3:3">
      <c r="C872" s="70"/>
    </row>
    <row r="873" spans="3:3">
      <c r="C873" s="70"/>
    </row>
    <row r="874" spans="3:3">
      <c r="C874" s="70"/>
    </row>
    <row r="875" spans="3:3">
      <c r="C875" s="70"/>
    </row>
    <row r="876" spans="3:3">
      <c r="C876" s="70"/>
    </row>
    <row r="877" spans="3:3">
      <c r="C877" s="70"/>
    </row>
    <row r="878" spans="3:3">
      <c r="C878" s="70"/>
    </row>
    <row r="879" spans="3:3">
      <c r="C879" s="70"/>
    </row>
    <row r="880" spans="3:3">
      <c r="C880" s="70"/>
    </row>
    <row r="881" spans="3:3">
      <c r="C881" s="70"/>
    </row>
    <row r="882" spans="3:3">
      <c r="C882" s="70"/>
    </row>
    <row r="883" spans="3:3">
      <c r="C883" s="70"/>
    </row>
    <row r="884" spans="3:3">
      <c r="C884" s="70"/>
    </row>
    <row r="885" spans="3:3">
      <c r="C885" s="70"/>
    </row>
    <row r="886" spans="3:3">
      <c r="C886" s="70"/>
    </row>
    <row r="887" spans="3:3">
      <c r="C887" s="70"/>
    </row>
    <row r="888" spans="3:3">
      <c r="C888" s="70"/>
    </row>
    <row r="889" spans="3:3">
      <c r="C889" s="70"/>
    </row>
    <row r="890" spans="3:3">
      <c r="C890" s="70"/>
    </row>
    <row r="891" spans="3:3">
      <c r="C891" s="70"/>
    </row>
    <row r="892" spans="3:3">
      <c r="C892" s="70"/>
    </row>
    <row r="893" spans="3:3">
      <c r="C893" s="70"/>
    </row>
    <row r="894" spans="3:3">
      <c r="C894" s="70"/>
    </row>
    <row r="895" spans="3:3">
      <c r="C895" s="70"/>
    </row>
    <row r="896" spans="3:3">
      <c r="C896" s="70"/>
    </row>
    <row r="897" spans="3:3">
      <c r="C897" s="70"/>
    </row>
    <row r="898" spans="3:3">
      <c r="C898" s="70"/>
    </row>
    <row r="899" spans="3:3">
      <c r="C899" s="70"/>
    </row>
    <row r="900" spans="3:3">
      <c r="C900" s="70"/>
    </row>
    <row r="901" spans="3:3">
      <c r="C901" s="70"/>
    </row>
    <row r="902" spans="3:3">
      <c r="C902" s="70"/>
    </row>
    <row r="903" spans="3:3">
      <c r="C903" s="70"/>
    </row>
    <row r="904" spans="3:3">
      <c r="C904" s="70"/>
    </row>
    <row r="905" spans="3:3">
      <c r="C905" s="70"/>
    </row>
    <row r="906" spans="3:3">
      <c r="C906" s="70"/>
    </row>
    <row r="907" spans="3:3">
      <c r="C907" s="70"/>
    </row>
    <row r="908" spans="3:3">
      <c r="C908" s="70"/>
    </row>
    <row r="909" spans="3:3">
      <c r="C909" s="70"/>
    </row>
    <row r="910" spans="3:3">
      <c r="C910" s="70"/>
    </row>
    <row r="911" spans="3:3">
      <c r="C911" s="70"/>
    </row>
    <row r="912" spans="3:3">
      <c r="C912" s="70"/>
    </row>
    <row r="913" spans="3:3">
      <c r="C913" s="70"/>
    </row>
    <row r="914" spans="3:3">
      <c r="C914" s="70"/>
    </row>
    <row r="915" spans="3:3">
      <c r="C915" s="70"/>
    </row>
    <row r="916" spans="3:3">
      <c r="C916" s="70"/>
    </row>
    <row r="917" spans="3:3">
      <c r="C917" s="70"/>
    </row>
    <row r="918" spans="3:3">
      <c r="C918" s="70"/>
    </row>
    <row r="919" spans="3:3">
      <c r="C919" s="70"/>
    </row>
    <row r="920" spans="3:3">
      <c r="C920" s="70"/>
    </row>
    <row r="921" spans="3:3">
      <c r="C921" s="70"/>
    </row>
    <row r="922" spans="3:3">
      <c r="C922" s="70"/>
    </row>
    <row r="923" spans="3:3">
      <c r="C923" s="70"/>
    </row>
    <row r="924" spans="3:3">
      <c r="C924" s="70"/>
    </row>
    <row r="925" spans="3:3">
      <c r="C925" s="70"/>
    </row>
    <row r="926" spans="3:3">
      <c r="C926" s="70"/>
    </row>
    <row r="927" spans="3:3">
      <c r="C927" s="70"/>
    </row>
    <row r="928" spans="3:3">
      <c r="C928" s="70"/>
    </row>
    <row r="929" spans="3:3">
      <c r="C929" s="70"/>
    </row>
    <row r="930" spans="3:3">
      <c r="C930" s="70"/>
    </row>
    <row r="931" spans="3:3">
      <c r="C931" s="70"/>
    </row>
    <row r="932" spans="3:3">
      <c r="C932" s="70"/>
    </row>
    <row r="933" spans="3:3">
      <c r="C933" s="70"/>
    </row>
    <row r="934" spans="3:3">
      <c r="C934" s="70"/>
    </row>
    <row r="935" spans="3:3">
      <c r="C935" s="70"/>
    </row>
    <row r="936" spans="3:3">
      <c r="C936" s="70"/>
    </row>
    <row r="937" spans="3:3">
      <c r="C937" s="70"/>
    </row>
    <row r="938" spans="3:3">
      <c r="C938" s="70"/>
    </row>
    <row r="939" spans="3:3">
      <c r="C939" s="70"/>
    </row>
    <row r="940" spans="3:3">
      <c r="C940" s="70"/>
    </row>
    <row r="941" spans="3:3">
      <c r="C941" s="70"/>
    </row>
    <row r="942" spans="3:3">
      <c r="C942" s="70"/>
    </row>
    <row r="943" spans="3:3">
      <c r="C943" s="70"/>
    </row>
    <row r="944" spans="3:3">
      <c r="C944" s="70"/>
    </row>
    <row r="945" spans="3:3">
      <c r="C945" s="70"/>
    </row>
    <row r="946" spans="3:3">
      <c r="C946" s="70"/>
    </row>
    <row r="947" spans="3:3">
      <c r="C947" s="70"/>
    </row>
    <row r="948" spans="3:3">
      <c r="C948" s="70"/>
    </row>
    <row r="949" spans="3:3">
      <c r="C949" s="70"/>
    </row>
    <row r="950" spans="3:3">
      <c r="C950" s="70"/>
    </row>
    <row r="951" spans="3:3">
      <c r="C951" s="70"/>
    </row>
    <row r="952" spans="3:3">
      <c r="C952" s="70"/>
    </row>
    <row r="953" spans="3:3">
      <c r="C953" s="70"/>
    </row>
    <row r="954" spans="3:3">
      <c r="C954" s="70"/>
    </row>
    <row r="955" spans="3:3">
      <c r="C955" s="70"/>
    </row>
    <row r="956" spans="3:3">
      <c r="C956" s="70"/>
    </row>
    <row r="957" spans="3:3">
      <c r="C957" s="70"/>
    </row>
    <row r="958" spans="3:3">
      <c r="C958" s="70"/>
    </row>
    <row r="959" spans="3:3">
      <c r="C959" s="70"/>
    </row>
    <row r="960" spans="3:3">
      <c r="C960" s="70"/>
    </row>
    <row r="961" spans="3:3">
      <c r="C961" s="70"/>
    </row>
    <row r="962" spans="3:3">
      <c r="C962" s="70"/>
    </row>
    <row r="963" spans="3:3">
      <c r="C963" s="70"/>
    </row>
    <row r="964" spans="3:3">
      <c r="C964" s="70"/>
    </row>
    <row r="965" spans="3:3">
      <c r="C965" s="70"/>
    </row>
    <row r="966" spans="3:3">
      <c r="C966" s="70"/>
    </row>
    <row r="967" spans="3:3">
      <c r="C967" s="70"/>
    </row>
    <row r="968" spans="3:3">
      <c r="C968" s="70"/>
    </row>
    <row r="969" spans="3:3">
      <c r="C969" s="70"/>
    </row>
    <row r="970" spans="3:3">
      <c r="C970" s="70"/>
    </row>
    <row r="971" spans="3:3">
      <c r="C971" s="70"/>
    </row>
    <row r="972" spans="3:3">
      <c r="C972" s="70"/>
    </row>
    <row r="973" spans="3:3">
      <c r="C973" s="70"/>
    </row>
    <row r="974" spans="3:3">
      <c r="C974" s="70"/>
    </row>
    <row r="975" spans="3:3">
      <c r="C975" s="70"/>
    </row>
    <row r="976" spans="3:3">
      <c r="C976" s="70"/>
    </row>
    <row r="977" spans="3:3">
      <c r="C977" s="70"/>
    </row>
    <row r="978" spans="3:3">
      <c r="C978" s="70"/>
    </row>
    <row r="979" spans="3:3">
      <c r="C979" s="70"/>
    </row>
    <row r="980" spans="3:3">
      <c r="C980" s="70"/>
    </row>
    <row r="981" spans="3:3">
      <c r="C981" s="70"/>
    </row>
    <row r="982" spans="3:3">
      <c r="C982" s="70"/>
    </row>
    <row r="983" spans="3:3">
      <c r="C983" s="70"/>
    </row>
    <row r="984" spans="3:3">
      <c r="C984" s="70"/>
    </row>
    <row r="985" spans="3:3">
      <c r="C985" s="70"/>
    </row>
    <row r="986" spans="3:3">
      <c r="C986" s="70"/>
    </row>
    <row r="987" spans="3:3">
      <c r="C987" s="70"/>
    </row>
    <row r="988" spans="3:3">
      <c r="C988" s="70"/>
    </row>
    <row r="989" spans="3:3">
      <c r="C989" s="70"/>
    </row>
    <row r="990" spans="3:3">
      <c r="C990" s="70"/>
    </row>
    <row r="991" spans="3:3">
      <c r="C991" s="70"/>
    </row>
    <row r="992" spans="3:3">
      <c r="C992" s="70"/>
    </row>
    <row r="993" spans="3:3">
      <c r="C993" s="70"/>
    </row>
    <row r="994" spans="3:3">
      <c r="C994" s="70"/>
    </row>
    <row r="995" spans="3:3">
      <c r="C995" s="70"/>
    </row>
    <row r="996" spans="3:3">
      <c r="C996" s="70"/>
    </row>
    <row r="997" spans="3:3">
      <c r="C997" s="70"/>
    </row>
    <row r="998" spans="3:3">
      <c r="C998" s="70"/>
    </row>
    <row r="999" spans="3:3">
      <c r="C999" s="70"/>
    </row>
    <row r="1000" spans="3:3">
      <c r="C1000" s="70"/>
    </row>
    <row r="1001" spans="3:3">
      <c r="C1001" s="70"/>
    </row>
    <row r="1002" spans="3:3">
      <c r="C1002" s="70"/>
    </row>
    <row r="1003" spans="3:3">
      <c r="C1003" s="70"/>
    </row>
    <row r="1004" spans="3:3">
      <c r="C1004" s="70"/>
    </row>
    <row r="1005" spans="3:3">
      <c r="C1005" s="70"/>
    </row>
    <row r="1006" spans="3:3">
      <c r="C1006" s="70"/>
    </row>
    <row r="1007" spans="3:3">
      <c r="C1007" s="70"/>
    </row>
    <row r="1008" spans="3:3">
      <c r="C1008" s="70"/>
    </row>
    <row r="1009" spans="3:3">
      <c r="C1009" s="70"/>
    </row>
    <row r="1010" spans="3:3">
      <c r="C1010" s="70"/>
    </row>
    <row r="1011" spans="3:3">
      <c r="C1011" s="70"/>
    </row>
    <row r="1012" spans="3:3">
      <c r="C1012" s="70"/>
    </row>
    <row r="1013" spans="3:3">
      <c r="C1013" s="70"/>
    </row>
    <row r="1014" spans="3:3">
      <c r="C1014" s="70"/>
    </row>
    <row r="1015" spans="3:3">
      <c r="C1015" s="70"/>
    </row>
    <row r="1016" spans="3:3">
      <c r="C1016" s="70"/>
    </row>
    <row r="1017" spans="3:3">
      <c r="C1017" s="70"/>
    </row>
    <row r="1018" spans="3:3">
      <c r="C1018" s="70"/>
    </row>
    <row r="1019" spans="3:3">
      <c r="C1019" s="70"/>
    </row>
    <row r="1020" spans="3:3">
      <c r="C1020" s="70"/>
    </row>
    <row r="1021" spans="3:3">
      <c r="C1021" s="70"/>
    </row>
    <row r="1022" spans="3:3">
      <c r="C1022" s="70"/>
    </row>
    <row r="1023" spans="3:3">
      <c r="C1023" s="70"/>
    </row>
    <row r="1024" spans="3:3">
      <c r="C1024" s="70"/>
    </row>
    <row r="1025" spans="3:3">
      <c r="C1025" s="70"/>
    </row>
    <row r="1026" spans="3:3">
      <c r="C1026" s="70"/>
    </row>
    <row r="1027" spans="3:3">
      <c r="C1027" s="70"/>
    </row>
    <row r="1028" spans="3:3">
      <c r="C1028" s="70"/>
    </row>
    <row r="1029" spans="3:3">
      <c r="C1029" s="70"/>
    </row>
    <row r="1030" spans="3:3">
      <c r="C1030" s="70"/>
    </row>
    <row r="1031" spans="3:3">
      <c r="C1031" s="70"/>
    </row>
    <row r="1032" spans="3:3">
      <c r="C1032" s="70"/>
    </row>
    <row r="1033" spans="3:3">
      <c r="C1033" s="70"/>
    </row>
    <row r="1034" spans="3:3">
      <c r="C1034" s="70"/>
    </row>
    <row r="1035" spans="3:3">
      <c r="C1035" s="70"/>
    </row>
    <row r="1036" spans="3:3">
      <c r="C1036" s="70"/>
    </row>
    <row r="1037" spans="3:3">
      <c r="C1037" s="70"/>
    </row>
    <row r="1038" spans="3:3">
      <c r="C1038" s="70"/>
    </row>
    <row r="1039" spans="3:3">
      <c r="C1039" s="70"/>
    </row>
    <row r="1040" spans="3:3">
      <c r="C1040" s="70"/>
    </row>
    <row r="1041" spans="3:3">
      <c r="C1041" s="70"/>
    </row>
    <row r="1042" spans="3:3">
      <c r="C1042" s="70"/>
    </row>
    <row r="1043" spans="3:3">
      <c r="C1043" s="70"/>
    </row>
    <row r="1044" spans="3:3">
      <c r="C1044" s="70"/>
    </row>
    <row r="1045" spans="3:3">
      <c r="C1045" s="70"/>
    </row>
    <row r="1046" spans="3:3">
      <c r="C1046" s="70"/>
    </row>
    <row r="1047" spans="3:3">
      <c r="C1047" s="70"/>
    </row>
    <row r="1048" spans="3:3">
      <c r="C1048" s="70"/>
    </row>
    <row r="1049" spans="3:3">
      <c r="C1049" s="70"/>
    </row>
    <row r="1050" spans="3:3">
      <c r="C1050" s="70"/>
    </row>
    <row r="1051" spans="3:3">
      <c r="C1051" s="70"/>
    </row>
    <row r="1052" spans="3:3">
      <c r="C1052" s="70"/>
    </row>
    <row r="1053" spans="3:3">
      <c r="C1053" s="70"/>
    </row>
    <row r="1054" spans="3:3">
      <c r="C1054" s="70"/>
    </row>
    <row r="1055" spans="3:3">
      <c r="C1055" s="70"/>
    </row>
    <row r="1056" spans="3:3">
      <c r="C1056" s="70"/>
    </row>
    <row r="1057" spans="3:3">
      <c r="C1057" s="70"/>
    </row>
    <row r="1058" spans="3:3">
      <c r="C1058" s="70"/>
    </row>
    <row r="1059" spans="3:3">
      <c r="C1059" s="70"/>
    </row>
    <row r="1060" spans="3:3">
      <c r="C1060" s="70"/>
    </row>
    <row r="1061" spans="3:3">
      <c r="C1061" s="70"/>
    </row>
    <row r="1062" spans="3:3">
      <c r="C1062" s="70"/>
    </row>
    <row r="1063" spans="3:3">
      <c r="C1063" s="70"/>
    </row>
    <row r="1064" spans="3:3">
      <c r="C1064" s="70"/>
    </row>
    <row r="1065" spans="3:3">
      <c r="C1065" s="70"/>
    </row>
    <row r="1066" spans="3:3">
      <c r="C1066" s="70"/>
    </row>
    <row r="1067" spans="3:3">
      <c r="C1067" s="70"/>
    </row>
  </sheetData>
  <mergeCells count="3">
    <mergeCell ref="B17:C17"/>
    <mergeCell ref="B19:C19"/>
    <mergeCell ref="B21:C21"/>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K1054"/>
  <sheetViews>
    <sheetView showZeros="0" zoomScale="80" zoomScaleNormal="80" workbookViewId="0">
      <selection activeCell="M129" sqref="M129"/>
    </sheetView>
  </sheetViews>
  <sheetFormatPr defaultColWidth="8.85546875" defaultRowHeight="14.25"/>
  <cols>
    <col min="1" max="1" width="8.85546875" style="36"/>
    <col min="2" max="2" width="7.7109375" style="30" customWidth="1"/>
    <col min="3" max="3" width="53.7109375" style="30" customWidth="1"/>
    <col min="4" max="6" width="10.7109375" style="71" customWidth="1"/>
    <col min="7" max="7" width="6.7109375" style="30" customWidth="1"/>
    <col min="8" max="8" width="12.7109375" style="77" customWidth="1"/>
    <col min="9" max="9" width="16" style="77" customWidth="1"/>
    <col min="10" max="11" width="9.140625" style="58" customWidth="1"/>
    <col min="12" max="16384" width="8.85546875" style="3"/>
  </cols>
  <sheetData>
    <row r="1" spans="2:11" ht="15.75">
      <c r="B1" s="1" t="str">
        <f>'Drawings &amp; Data'!A1</f>
        <v>ESTATE NAME</v>
      </c>
      <c r="C1" s="1"/>
      <c r="D1" s="1"/>
      <c r="E1" s="1"/>
      <c r="F1" s="1"/>
      <c r="G1" s="1"/>
      <c r="H1" s="1"/>
      <c r="I1" s="1"/>
      <c r="J1" s="3"/>
      <c r="K1" s="3"/>
    </row>
    <row r="2" spans="2:11" ht="15.75">
      <c r="B2" s="4" t="str">
        <f>'Drawings &amp; Data'!A2</f>
        <v>STAGE X</v>
      </c>
      <c r="C2" s="1"/>
      <c r="D2" s="1"/>
      <c r="E2" s="1"/>
      <c r="F2" s="1"/>
      <c r="G2" s="1"/>
      <c r="H2" s="1"/>
      <c r="I2" s="1"/>
      <c r="J2" s="3"/>
      <c r="K2" s="3"/>
    </row>
    <row r="3" spans="2:11" ht="15.75">
      <c r="B3" s="1"/>
      <c r="C3" s="1"/>
      <c r="D3" s="1"/>
      <c r="E3" s="1"/>
      <c r="F3" s="1"/>
      <c r="G3" s="1"/>
      <c r="H3" s="1"/>
      <c r="I3" s="1"/>
      <c r="J3" s="3"/>
      <c r="K3" s="3"/>
    </row>
    <row r="4" spans="2:11" ht="15.75">
      <c r="B4" s="5" t="s">
        <v>9</v>
      </c>
      <c r="C4" s="1"/>
      <c r="D4" s="1"/>
      <c r="E4" s="1"/>
      <c r="F4" s="1"/>
      <c r="G4" s="1"/>
      <c r="H4" s="1"/>
      <c r="I4" s="1"/>
      <c r="J4" s="3"/>
      <c r="K4" s="3"/>
    </row>
    <row r="5" spans="2:11" ht="15.75">
      <c r="B5" s="6" t="str">
        <f>'Drawings &amp; Data'!A5</f>
        <v>Name and/or entity</v>
      </c>
      <c r="C5" s="1"/>
      <c r="D5" s="1"/>
      <c r="E5" s="1"/>
      <c r="F5" s="1"/>
      <c r="G5" s="1"/>
      <c r="H5" s="1"/>
      <c r="I5" s="1"/>
      <c r="J5" s="3"/>
      <c r="K5" s="3"/>
    </row>
    <row r="6" spans="2:11" ht="15.75">
      <c r="B6" s="6" t="str">
        <f>'Drawings &amp; Data'!A6</f>
        <v>Address 1</v>
      </c>
      <c r="C6" s="1"/>
      <c r="D6" s="1"/>
      <c r="E6" s="1"/>
      <c r="F6" s="1"/>
      <c r="G6" s="1"/>
      <c r="H6" s="1"/>
      <c r="I6" s="1"/>
      <c r="J6" s="3"/>
      <c r="K6" s="3"/>
    </row>
    <row r="7" spans="2:11" ht="15.75">
      <c r="B7" s="6" t="str">
        <f>'Drawings &amp; Data'!A7</f>
        <v>Address 2</v>
      </c>
      <c r="C7" s="1"/>
      <c r="D7" s="1"/>
      <c r="E7" s="1"/>
      <c r="F7" s="1"/>
      <c r="G7" s="1"/>
      <c r="H7" s="1"/>
      <c r="I7" s="1"/>
      <c r="J7" s="3"/>
      <c r="K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266</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1" ht="59.45"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58.9"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45" customHeight="1">
      <c r="B21" s="110" t="s">
        <v>183</v>
      </c>
      <c r="C21" s="110"/>
      <c r="D21" s="38"/>
      <c r="E21" s="38"/>
      <c r="F21" s="38"/>
      <c r="G21" s="39"/>
      <c r="H21" s="40"/>
      <c r="I21" s="40"/>
    </row>
    <row r="22" spans="1:11" s="41" customFormat="1" ht="15">
      <c r="A22" s="43" t="s">
        <v>513</v>
      </c>
      <c r="B22" s="75"/>
      <c r="C22" s="75"/>
      <c r="D22" s="76"/>
      <c r="E22" s="76"/>
      <c r="F22" s="76"/>
      <c r="G22" s="75"/>
      <c r="H22" s="77"/>
      <c r="I22" s="77"/>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53">
        <f t="shared" ref="I24:I87" si="0">F24*H24</f>
        <v>0</v>
      </c>
    </row>
    <row r="25" spans="1:11" s="41" customFormat="1" ht="15">
      <c r="A25" s="50">
        <v>1</v>
      </c>
      <c r="B25" s="51">
        <f ca="1">IF($A25="","",NumList())</f>
        <v>1</v>
      </c>
      <c r="C25" s="52" t="s">
        <v>75</v>
      </c>
      <c r="D25" s="48"/>
      <c r="E25" s="46"/>
      <c r="F25" s="46"/>
      <c r="G25" s="46"/>
      <c r="H25" s="49"/>
      <c r="I25" s="53">
        <f t="shared" si="0"/>
        <v>0</v>
      </c>
    </row>
    <row r="26" spans="1:11" s="41" customFormat="1" ht="15">
      <c r="A26" s="50">
        <v>2</v>
      </c>
      <c r="B26" s="51" t="str">
        <f ca="1">IF($A26="","",NumList())</f>
        <v>1.1</v>
      </c>
      <c r="C26" s="54" t="s">
        <v>76</v>
      </c>
      <c r="D26" s="55"/>
      <c r="E26" s="51"/>
      <c r="F26" s="51"/>
      <c r="G26" s="46"/>
      <c r="H26" s="49"/>
      <c r="I26" s="53">
        <f t="shared" si="0"/>
        <v>0</v>
      </c>
    </row>
    <row r="27" spans="1:11" s="41" customFormat="1" ht="85.5">
      <c r="A27" s="50">
        <v>3</v>
      </c>
      <c r="B27" s="51" t="str">
        <f ca="1">IF($A27="","",NumList())</f>
        <v>1.1.1</v>
      </c>
      <c r="C27" s="88" t="s">
        <v>349</v>
      </c>
      <c r="D27" s="55">
        <f ca="1">IF(ISTEXT(G27),RANDBETWEEN(1,1),0)</f>
        <v>1</v>
      </c>
      <c r="E27" s="51"/>
      <c r="F27" s="51">
        <f ca="1">IF(ISTEXT(G27),RANDBETWEEN(1,100),0)</f>
        <v>4</v>
      </c>
      <c r="G27" s="51" t="s">
        <v>0</v>
      </c>
      <c r="H27" s="49">
        <f ca="1">IF(ISTEXT(G27),RANDBETWEEN(1,100),0)</f>
        <v>9</v>
      </c>
      <c r="I27" s="53">
        <f t="shared" ca="1" si="0"/>
        <v>36</v>
      </c>
    </row>
    <row r="28" spans="1:11" s="41" customFormat="1" ht="71.25">
      <c r="A28" s="50">
        <v>3</v>
      </c>
      <c r="B28" s="51" t="str">
        <f ca="1">IF($A28="","",NumList())</f>
        <v>1.1.2</v>
      </c>
      <c r="C28" s="88" t="s">
        <v>350</v>
      </c>
      <c r="D28" s="55">
        <f t="shared" ref="D28:D91" ca="1" si="1">IF(ISTEXT(G28),RANDBETWEEN(1,1),0)</f>
        <v>1</v>
      </c>
      <c r="E28" s="51"/>
      <c r="F28" s="51">
        <f t="shared" ref="F28:F91" ca="1" si="2">IF(ISTEXT(G28),RANDBETWEEN(1,100),0)</f>
        <v>33</v>
      </c>
      <c r="G28" s="51" t="s">
        <v>0</v>
      </c>
      <c r="H28" s="49">
        <f t="shared" ref="H28:H91" ca="1" si="3">IF(ISTEXT(G28),RANDBETWEEN(1,100),0)</f>
        <v>47</v>
      </c>
      <c r="I28" s="53">
        <f t="shared" ca="1" si="0"/>
        <v>1551</v>
      </c>
    </row>
    <row r="29" spans="1:11" s="41" customFormat="1" ht="15">
      <c r="A29" s="50">
        <v>3</v>
      </c>
      <c r="B29" s="51" t="str">
        <f ca="1">IF($A29="","",NumList())</f>
        <v>1.1.3</v>
      </c>
      <c r="C29" s="90" t="s">
        <v>351</v>
      </c>
      <c r="D29" s="55">
        <f t="shared" ca="1" si="1"/>
        <v>1</v>
      </c>
      <c r="E29" s="51"/>
      <c r="F29" s="51">
        <f t="shared" ca="1" si="2"/>
        <v>3</v>
      </c>
      <c r="G29" s="51" t="s">
        <v>0</v>
      </c>
      <c r="H29" s="49">
        <f t="shared" ca="1" si="3"/>
        <v>4</v>
      </c>
      <c r="I29" s="53">
        <f t="shared" ca="1" si="0"/>
        <v>12</v>
      </c>
    </row>
    <row r="30" spans="1:11" s="41" customFormat="1" ht="15">
      <c r="A30" s="50">
        <v>3</v>
      </c>
      <c r="B30" s="51" t="str">
        <f ca="1">IF($A30="","",NumList())</f>
        <v>1.1.4</v>
      </c>
      <c r="C30" s="90" t="s">
        <v>352</v>
      </c>
      <c r="D30" s="55">
        <f t="shared" ca="1" si="1"/>
        <v>1</v>
      </c>
      <c r="E30" s="51"/>
      <c r="F30" s="51">
        <f t="shared" ca="1" si="2"/>
        <v>12</v>
      </c>
      <c r="G30" s="51" t="s">
        <v>0</v>
      </c>
      <c r="H30" s="49">
        <f t="shared" ca="1" si="3"/>
        <v>59</v>
      </c>
      <c r="I30" s="53">
        <f t="shared" ca="1" si="0"/>
        <v>708</v>
      </c>
    </row>
    <row r="31" spans="1:11" s="41" customFormat="1" ht="15">
      <c r="A31" s="50">
        <v>3</v>
      </c>
      <c r="B31" s="51" t="str">
        <f ca="1">IF($A31="","",NumList())</f>
        <v>1.1.5</v>
      </c>
      <c r="C31" s="90" t="s">
        <v>353</v>
      </c>
      <c r="D31" s="55">
        <f t="shared" ca="1" si="1"/>
        <v>1</v>
      </c>
      <c r="E31" s="51"/>
      <c r="F31" s="51">
        <f t="shared" ca="1" si="2"/>
        <v>43</v>
      </c>
      <c r="G31" s="51" t="s">
        <v>0</v>
      </c>
      <c r="H31" s="49">
        <f t="shared" ca="1" si="3"/>
        <v>86</v>
      </c>
      <c r="I31" s="53">
        <f t="shared" ca="1" si="0"/>
        <v>3698</v>
      </c>
    </row>
    <row r="32" spans="1:11" s="41" customFormat="1" ht="15">
      <c r="A32" s="50">
        <v>3</v>
      </c>
      <c r="B32" s="51" t="str">
        <f ca="1">IF($A32="","",NumList())</f>
        <v>1.1.6</v>
      </c>
      <c r="C32" s="90" t="s">
        <v>354</v>
      </c>
      <c r="D32" s="55">
        <f t="shared" ca="1" si="1"/>
        <v>1</v>
      </c>
      <c r="E32" s="51"/>
      <c r="F32" s="51">
        <f t="shared" ca="1" si="2"/>
        <v>1</v>
      </c>
      <c r="G32" s="51" t="s">
        <v>0</v>
      </c>
      <c r="H32" s="49">
        <f t="shared" ca="1" si="3"/>
        <v>31</v>
      </c>
      <c r="I32" s="53">
        <f t="shared" ca="1" si="0"/>
        <v>31</v>
      </c>
    </row>
    <row r="33" spans="1:11" s="41" customFormat="1" ht="15">
      <c r="A33" s="50" t="s">
        <v>516</v>
      </c>
      <c r="B33" s="51" t="str">
        <f>IF($A33="","",NumList())</f>
        <v/>
      </c>
      <c r="C33" s="54"/>
      <c r="D33" s="55">
        <f t="shared" ca="1" si="1"/>
        <v>0</v>
      </c>
      <c r="E33" s="51"/>
      <c r="F33" s="51">
        <f t="shared" ca="1" si="2"/>
        <v>0</v>
      </c>
      <c r="G33" s="51"/>
      <c r="H33" s="49">
        <f t="shared" ca="1" si="3"/>
        <v>0</v>
      </c>
      <c r="I33" s="53">
        <f t="shared" ca="1" si="0"/>
        <v>0</v>
      </c>
    </row>
    <row r="34" spans="1:11" s="41" customFormat="1" ht="15">
      <c r="A34" s="50">
        <v>1</v>
      </c>
      <c r="B34" s="51">
        <f ca="1">IF($A34="","",NumList())</f>
        <v>2</v>
      </c>
      <c r="C34" s="63" t="s">
        <v>40</v>
      </c>
      <c r="D34" s="55">
        <f t="shared" ca="1" si="1"/>
        <v>0</v>
      </c>
      <c r="E34" s="48"/>
      <c r="F34" s="51">
        <f t="shared" ca="1" si="2"/>
        <v>0</v>
      </c>
      <c r="G34" s="46"/>
      <c r="H34" s="49">
        <f t="shared" ca="1" si="3"/>
        <v>0</v>
      </c>
      <c r="I34" s="53">
        <f t="shared" ca="1" si="0"/>
        <v>0</v>
      </c>
    </row>
    <row r="35" spans="1:11" s="41" customFormat="1" ht="35.25" customHeight="1">
      <c r="A35" s="50" t="s">
        <v>516</v>
      </c>
      <c r="B35" s="51" t="str">
        <f>IF($A35="","",NumList())</f>
        <v/>
      </c>
      <c r="C35" s="63" t="s">
        <v>288</v>
      </c>
      <c r="D35" s="55">
        <f t="shared" ca="1" si="1"/>
        <v>0</v>
      </c>
      <c r="E35" s="48"/>
      <c r="F35" s="51">
        <f t="shared" ca="1" si="2"/>
        <v>0</v>
      </c>
      <c r="G35" s="46"/>
      <c r="H35" s="49">
        <f t="shared" ca="1" si="3"/>
        <v>0</v>
      </c>
      <c r="I35" s="53">
        <f t="shared" ca="1" si="0"/>
        <v>0</v>
      </c>
    </row>
    <row r="36" spans="1:11" s="58" customFormat="1" ht="59.25">
      <c r="A36" s="50">
        <v>2</v>
      </c>
      <c r="B36" s="51" t="str">
        <f ca="1">IF($A36="","",NumList())</f>
        <v>2.1</v>
      </c>
      <c r="C36" s="62" t="s">
        <v>580</v>
      </c>
      <c r="D36" s="55">
        <f t="shared" ca="1" si="1"/>
        <v>0</v>
      </c>
      <c r="E36" s="55"/>
      <c r="F36" s="51">
        <f t="shared" ca="1" si="2"/>
        <v>0</v>
      </c>
      <c r="G36" s="51"/>
      <c r="H36" s="49">
        <f t="shared" ca="1" si="3"/>
        <v>0</v>
      </c>
      <c r="I36" s="53">
        <f t="shared" ca="1" si="0"/>
        <v>0</v>
      </c>
    </row>
    <row r="37" spans="1:11" s="41" customFormat="1" ht="15">
      <c r="A37" s="50">
        <v>3</v>
      </c>
      <c r="B37" s="51" t="str">
        <f ca="1">IF($A37="","",NumList())</f>
        <v>2.1.1</v>
      </c>
      <c r="C37" s="61" t="s">
        <v>35</v>
      </c>
      <c r="D37" s="55">
        <f t="shared" ca="1" si="1"/>
        <v>0</v>
      </c>
      <c r="E37" s="55"/>
      <c r="F37" s="51">
        <f t="shared" ca="1" si="2"/>
        <v>0</v>
      </c>
      <c r="G37" s="51"/>
      <c r="H37" s="49">
        <f t="shared" ca="1" si="3"/>
        <v>0</v>
      </c>
      <c r="I37" s="53">
        <f t="shared" ca="1" si="0"/>
        <v>0</v>
      </c>
      <c r="J37" s="58"/>
      <c r="K37" s="58"/>
    </row>
    <row r="38" spans="1:11" s="41" customFormat="1" ht="15">
      <c r="A38" s="50">
        <v>4</v>
      </c>
      <c r="B38" s="51" t="str">
        <f ca="1">IF($A38="","",NumList())</f>
        <v>2.1.1.1</v>
      </c>
      <c r="C38" s="61" t="s">
        <v>56</v>
      </c>
      <c r="D38" s="55">
        <f t="shared" ca="1" si="1"/>
        <v>1</v>
      </c>
      <c r="E38" s="55"/>
      <c r="F38" s="51">
        <f t="shared" ca="1" si="2"/>
        <v>3</v>
      </c>
      <c r="G38" s="51" t="s">
        <v>6</v>
      </c>
      <c r="H38" s="49">
        <f t="shared" ca="1" si="3"/>
        <v>20</v>
      </c>
      <c r="I38" s="53">
        <f t="shared" ca="1" si="0"/>
        <v>60</v>
      </c>
      <c r="J38" s="58"/>
      <c r="K38" s="58"/>
    </row>
    <row r="39" spans="1:11" s="41" customFormat="1" ht="15">
      <c r="A39" s="50">
        <v>4</v>
      </c>
      <c r="B39" s="51" t="str">
        <f ca="1">IF($A39="","",NumList())</f>
        <v>2.1.1.2</v>
      </c>
      <c r="C39" s="61" t="s">
        <v>57</v>
      </c>
      <c r="D39" s="55">
        <f t="shared" ca="1" si="1"/>
        <v>1</v>
      </c>
      <c r="E39" s="55"/>
      <c r="F39" s="51">
        <f t="shared" ca="1" si="2"/>
        <v>38</v>
      </c>
      <c r="G39" s="51" t="s">
        <v>6</v>
      </c>
      <c r="H39" s="49">
        <f t="shared" ca="1" si="3"/>
        <v>34</v>
      </c>
      <c r="I39" s="53">
        <f t="shared" ca="1" si="0"/>
        <v>1292</v>
      </c>
      <c r="J39" s="58"/>
      <c r="K39" s="58"/>
    </row>
    <row r="40" spans="1:11" s="41" customFormat="1" ht="15">
      <c r="A40" s="50">
        <v>4</v>
      </c>
      <c r="B40" s="51" t="str">
        <f ca="1">IF($A40="","",NumList())</f>
        <v>2.1.1.3</v>
      </c>
      <c r="C40" s="61" t="s">
        <v>58</v>
      </c>
      <c r="D40" s="55">
        <f t="shared" ca="1" si="1"/>
        <v>1</v>
      </c>
      <c r="E40" s="55"/>
      <c r="F40" s="51">
        <f t="shared" ca="1" si="2"/>
        <v>97</v>
      </c>
      <c r="G40" s="51" t="s">
        <v>6</v>
      </c>
      <c r="H40" s="49">
        <f t="shared" ca="1" si="3"/>
        <v>60</v>
      </c>
      <c r="I40" s="53">
        <f t="shared" ca="1" si="0"/>
        <v>5820</v>
      </c>
      <c r="J40" s="58"/>
      <c r="K40" s="58"/>
    </row>
    <row r="41" spans="1:11" s="41" customFormat="1" ht="15">
      <c r="A41" s="50">
        <v>3</v>
      </c>
      <c r="B41" s="51" t="str">
        <f ca="1">IF($A41="","",NumList())</f>
        <v>2.1.2</v>
      </c>
      <c r="C41" s="61" t="s">
        <v>269</v>
      </c>
      <c r="D41" s="55">
        <f t="shared" ca="1" si="1"/>
        <v>0</v>
      </c>
      <c r="E41" s="55"/>
      <c r="F41" s="51">
        <f t="shared" ca="1" si="2"/>
        <v>0</v>
      </c>
      <c r="G41" s="51"/>
      <c r="H41" s="49">
        <f t="shared" ca="1" si="3"/>
        <v>0</v>
      </c>
      <c r="I41" s="53">
        <f t="shared" ca="1" si="0"/>
        <v>0</v>
      </c>
      <c r="J41" s="58"/>
      <c r="K41" s="58"/>
    </row>
    <row r="42" spans="1:11" s="41" customFormat="1" ht="15">
      <c r="A42" s="50">
        <v>4</v>
      </c>
      <c r="B42" s="51" t="str">
        <f ca="1">IF($A42="","",NumList())</f>
        <v>2.1.2.1</v>
      </c>
      <c r="C42" s="61" t="s">
        <v>56</v>
      </c>
      <c r="D42" s="55">
        <f t="shared" ca="1" si="1"/>
        <v>1</v>
      </c>
      <c r="E42" s="55"/>
      <c r="F42" s="51">
        <f t="shared" ca="1" si="2"/>
        <v>57</v>
      </c>
      <c r="G42" s="51" t="s">
        <v>6</v>
      </c>
      <c r="H42" s="49">
        <f t="shared" ca="1" si="3"/>
        <v>74</v>
      </c>
      <c r="I42" s="53">
        <f t="shared" ca="1" si="0"/>
        <v>4218</v>
      </c>
      <c r="J42" s="58"/>
      <c r="K42" s="58"/>
    </row>
    <row r="43" spans="1:11" s="41" customFormat="1" ht="15">
      <c r="A43" s="50">
        <v>4</v>
      </c>
      <c r="B43" s="51" t="str">
        <f ca="1">IF($A43="","",NumList())</f>
        <v>2.1.2.2</v>
      </c>
      <c r="C43" s="61" t="s">
        <v>57</v>
      </c>
      <c r="D43" s="55">
        <f t="shared" ca="1" si="1"/>
        <v>1</v>
      </c>
      <c r="E43" s="55"/>
      <c r="F43" s="51">
        <f t="shared" ca="1" si="2"/>
        <v>75</v>
      </c>
      <c r="G43" s="51" t="s">
        <v>6</v>
      </c>
      <c r="H43" s="49">
        <f t="shared" ca="1" si="3"/>
        <v>38</v>
      </c>
      <c r="I43" s="53">
        <f t="shared" ca="1" si="0"/>
        <v>2850</v>
      </c>
      <c r="J43" s="58"/>
      <c r="K43" s="58"/>
    </row>
    <row r="44" spans="1:11" s="41" customFormat="1" ht="15">
      <c r="A44" s="50">
        <v>4</v>
      </c>
      <c r="B44" s="51" t="str">
        <f ca="1">IF($A44="","",NumList())</f>
        <v>2.1.2.3</v>
      </c>
      <c r="C44" s="61" t="s">
        <v>58</v>
      </c>
      <c r="D44" s="55">
        <f t="shared" ca="1" si="1"/>
        <v>1</v>
      </c>
      <c r="E44" s="55"/>
      <c r="F44" s="51">
        <f t="shared" ca="1" si="2"/>
        <v>5</v>
      </c>
      <c r="G44" s="51" t="s">
        <v>6</v>
      </c>
      <c r="H44" s="49">
        <f t="shared" ca="1" si="3"/>
        <v>92</v>
      </c>
      <c r="I44" s="53">
        <f t="shared" ca="1" si="0"/>
        <v>460</v>
      </c>
      <c r="J44" s="58"/>
      <c r="K44" s="58"/>
    </row>
    <row r="45" spans="1:11" s="41" customFormat="1" ht="15">
      <c r="A45" s="50">
        <v>3</v>
      </c>
      <c r="B45" s="51" t="str">
        <f ca="1">IF($A45="","",NumList())</f>
        <v>2.1.3</v>
      </c>
      <c r="C45" s="61" t="s">
        <v>270</v>
      </c>
      <c r="D45" s="55">
        <f t="shared" ca="1" si="1"/>
        <v>0</v>
      </c>
      <c r="E45" s="55"/>
      <c r="F45" s="51">
        <f t="shared" ca="1" si="2"/>
        <v>0</v>
      </c>
      <c r="G45" s="51"/>
      <c r="H45" s="49">
        <f t="shared" ca="1" si="3"/>
        <v>0</v>
      </c>
      <c r="I45" s="53">
        <f t="shared" ca="1" si="0"/>
        <v>0</v>
      </c>
      <c r="J45" s="58"/>
      <c r="K45" s="58"/>
    </row>
    <row r="46" spans="1:11" s="41" customFormat="1" ht="15">
      <c r="A46" s="50">
        <v>4</v>
      </c>
      <c r="B46" s="51" t="str">
        <f ca="1">IF($A46="","",NumList())</f>
        <v>2.1.3.1</v>
      </c>
      <c r="C46" s="61" t="s">
        <v>56</v>
      </c>
      <c r="D46" s="55">
        <f t="shared" ca="1" si="1"/>
        <v>1</v>
      </c>
      <c r="E46" s="55"/>
      <c r="F46" s="51">
        <f t="shared" ca="1" si="2"/>
        <v>18</v>
      </c>
      <c r="G46" s="51" t="s">
        <v>6</v>
      </c>
      <c r="H46" s="49">
        <f t="shared" ca="1" si="3"/>
        <v>1</v>
      </c>
      <c r="I46" s="53">
        <f t="shared" ca="1" si="0"/>
        <v>18</v>
      </c>
      <c r="J46" s="58"/>
      <c r="K46" s="58"/>
    </row>
    <row r="47" spans="1:11" s="41" customFormat="1" ht="15">
      <c r="A47" s="50">
        <v>4</v>
      </c>
      <c r="B47" s="51" t="str">
        <f ca="1">IF($A47="","",NumList())</f>
        <v>2.1.3.2</v>
      </c>
      <c r="C47" s="61" t="s">
        <v>57</v>
      </c>
      <c r="D47" s="55">
        <f t="shared" ca="1" si="1"/>
        <v>1</v>
      </c>
      <c r="E47" s="55"/>
      <c r="F47" s="51">
        <f t="shared" ca="1" si="2"/>
        <v>97</v>
      </c>
      <c r="G47" s="51" t="s">
        <v>6</v>
      </c>
      <c r="H47" s="49">
        <f t="shared" ca="1" si="3"/>
        <v>25</v>
      </c>
      <c r="I47" s="53">
        <f t="shared" ca="1" si="0"/>
        <v>2425</v>
      </c>
      <c r="J47" s="58"/>
      <c r="K47" s="58"/>
    </row>
    <row r="48" spans="1:11" s="41" customFormat="1" ht="15">
      <c r="A48" s="50">
        <v>4</v>
      </c>
      <c r="B48" s="51" t="str">
        <f ca="1">IF($A48="","",NumList())</f>
        <v>2.1.3.3</v>
      </c>
      <c r="C48" s="61" t="s">
        <v>58</v>
      </c>
      <c r="D48" s="55">
        <f t="shared" ca="1" si="1"/>
        <v>1</v>
      </c>
      <c r="E48" s="55"/>
      <c r="F48" s="51">
        <f t="shared" ca="1" si="2"/>
        <v>79</v>
      </c>
      <c r="G48" s="51" t="s">
        <v>6</v>
      </c>
      <c r="H48" s="49">
        <f t="shared" ca="1" si="3"/>
        <v>72</v>
      </c>
      <c r="I48" s="53">
        <f t="shared" ca="1" si="0"/>
        <v>5688</v>
      </c>
      <c r="J48" s="58"/>
      <c r="K48" s="58"/>
    </row>
    <row r="49" spans="1:11" s="41" customFormat="1" ht="15">
      <c r="A49" s="50">
        <v>3</v>
      </c>
      <c r="B49" s="51" t="str">
        <f ca="1">IF($A49="","",NumList())</f>
        <v>2.1.4</v>
      </c>
      <c r="C49" s="61" t="s">
        <v>271</v>
      </c>
      <c r="D49" s="55">
        <f t="shared" ca="1" si="1"/>
        <v>0</v>
      </c>
      <c r="E49" s="55"/>
      <c r="F49" s="51">
        <f t="shared" ca="1" si="2"/>
        <v>0</v>
      </c>
      <c r="G49" s="51"/>
      <c r="H49" s="49">
        <f t="shared" ca="1" si="3"/>
        <v>0</v>
      </c>
      <c r="I49" s="53">
        <f t="shared" ca="1" si="0"/>
        <v>0</v>
      </c>
      <c r="J49" s="58"/>
      <c r="K49" s="58"/>
    </row>
    <row r="50" spans="1:11" s="41" customFormat="1" ht="15">
      <c r="A50" s="50">
        <v>4</v>
      </c>
      <c r="B50" s="51" t="str">
        <f ca="1">IF($A50="","",NumList())</f>
        <v>2.1.4.1</v>
      </c>
      <c r="C50" s="61" t="s">
        <v>56</v>
      </c>
      <c r="D50" s="55">
        <f t="shared" ca="1" si="1"/>
        <v>1</v>
      </c>
      <c r="E50" s="55"/>
      <c r="F50" s="51">
        <f t="shared" ca="1" si="2"/>
        <v>43</v>
      </c>
      <c r="G50" s="51" t="s">
        <v>6</v>
      </c>
      <c r="H50" s="49">
        <f t="shared" ca="1" si="3"/>
        <v>56</v>
      </c>
      <c r="I50" s="53">
        <f t="shared" ca="1" si="0"/>
        <v>2408</v>
      </c>
      <c r="J50" s="58"/>
      <c r="K50" s="58"/>
    </row>
    <row r="51" spans="1:11" s="41" customFormat="1" ht="15">
      <c r="A51" s="50">
        <v>4</v>
      </c>
      <c r="B51" s="51" t="str">
        <f ca="1">IF($A51="","",NumList())</f>
        <v>2.1.4.2</v>
      </c>
      <c r="C51" s="61" t="s">
        <v>57</v>
      </c>
      <c r="D51" s="55">
        <f t="shared" ca="1" si="1"/>
        <v>1</v>
      </c>
      <c r="E51" s="55"/>
      <c r="F51" s="51">
        <f t="shared" ca="1" si="2"/>
        <v>43</v>
      </c>
      <c r="G51" s="51" t="s">
        <v>6</v>
      </c>
      <c r="H51" s="49">
        <f t="shared" ca="1" si="3"/>
        <v>4</v>
      </c>
      <c r="I51" s="53">
        <f t="shared" ca="1" si="0"/>
        <v>172</v>
      </c>
      <c r="J51" s="58"/>
      <c r="K51" s="58"/>
    </row>
    <row r="52" spans="1:11" s="41" customFormat="1" ht="15">
      <c r="A52" s="50">
        <v>4</v>
      </c>
      <c r="B52" s="51" t="str">
        <f ca="1">IF($A52="","",NumList())</f>
        <v>2.1.4.3</v>
      </c>
      <c r="C52" s="61" t="s">
        <v>58</v>
      </c>
      <c r="D52" s="55">
        <f t="shared" ca="1" si="1"/>
        <v>1</v>
      </c>
      <c r="E52" s="55"/>
      <c r="F52" s="51">
        <f t="shared" ca="1" si="2"/>
        <v>31</v>
      </c>
      <c r="G52" s="51" t="s">
        <v>6</v>
      </c>
      <c r="H52" s="49">
        <f t="shared" ca="1" si="3"/>
        <v>51</v>
      </c>
      <c r="I52" s="53">
        <f t="shared" ca="1" si="0"/>
        <v>1581</v>
      </c>
      <c r="J52" s="58"/>
      <c r="K52" s="58"/>
    </row>
    <row r="53" spans="1:11" s="41" customFormat="1" ht="15">
      <c r="A53" s="50" t="s">
        <v>516</v>
      </c>
      <c r="B53" s="51" t="str">
        <f>IF($A53="","",NumList())</f>
        <v/>
      </c>
      <c r="C53" s="54"/>
      <c r="D53" s="55">
        <f t="shared" ca="1" si="1"/>
        <v>0</v>
      </c>
      <c r="E53" s="55"/>
      <c r="F53" s="51">
        <f t="shared" ca="1" si="2"/>
        <v>0</v>
      </c>
      <c r="G53" s="51"/>
      <c r="H53" s="49">
        <f t="shared" ca="1" si="3"/>
        <v>0</v>
      </c>
      <c r="I53" s="53">
        <f t="shared" ca="1" si="0"/>
        <v>0</v>
      </c>
      <c r="J53" s="58"/>
      <c r="K53" s="58"/>
    </row>
    <row r="54" spans="1:11" s="41" customFormat="1" ht="15">
      <c r="A54" s="50">
        <v>2</v>
      </c>
      <c r="B54" s="51" t="str">
        <f ca="1">IF($A54="","",NumList())</f>
        <v>2.2</v>
      </c>
      <c r="C54" s="61" t="s">
        <v>390</v>
      </c>
      <c r="D54" s="55">
        <f t="shared" ca="1" si="1"/>
        <v>0</v>
      </c>
      <c r="E54" s="55"/>
      <c r="F54" s="51">
        <f t="shared" ca="1" si="2"/>
        <v>0</v>
      </c>
      <c r="G54" s="51"/>
      <c r="H54" s="49">
        <f t="shared" ca="1" si="3"/>
        <v>0</v>
      </c>
      <c r="I54" s="53">
        <f t="shared" ca="1" si="0"/>
        <v>0</v>
      </c>
      <c r="J54" s="58"/>
      <c r="K54" s="58"/>
    </row>
    <row r="55" spans="1:11" s="41" customFormat="1" ht="15">
      <c r="A55" s="50">
        <v>3</v>
      </c>
      <c r="B55" s="51" t="str">
        <f ca="1">IF($A55="","",NumList())</f>
        <v>2.2.1</v>
      </c>
      <c r="C55" s="61" t="s">
        <v>35</v>
      </c>
      <c r="D55" s="55">
        <f t="shared" ca="1" si="1"/>
        <v>0</v>
      </c>
      <c r="E55" s="55"/>
      <c r="F55" s="51">
        <f t="shared" ca="1" si="2"/>
        <v>0</v>
      </c>
      <c r="G55" s="51"/>
      <c r="H55" s="49">
        <f t="shared" ca="1" si="3"/>
        <v>0</v>
      </c>
      <c r="I55" s="53">
        <f t="shared" ca="1" si="0"/>
        <v>0</v>
      </c>
      <c r="J55" s="58"/>
      <c r="K55" s="58"/>
    </row>
    <row r="56" spans="1:11" s="41" customFormat="1" ht="15">
      <c r="A56" s="50">
        <v>4</v>
      </c>
      <c r="B56" s="51" t="str">
        <f ca="1">IF($A56="","",NumList())</f>
        <v>2.2.1.1</v>
      </c>
      <c r="C56" s="61" t="s">
        <v>56</v>
      </c>
      <c r="D56" s="55">
        <f t="shared" ca="1" si="1"/>
        <v>1</v>
      </c>
      <c r="E56" s="55"/>
      <c r="F56" s="51">
        <f t="shared" ca="1" si="2"/>
        <v>71</v>
      </c>
      <c r="G56" s="51" t="s">
        <v>6</v>
      </c>
      <c r="H56" s="49">
        <f t="shared" ca="1" si="3"/>
        <v>56</v>
      </c>
      <c r="I56" s="53">
        <f t="shared" ca="1" si="0"/>
        <v>3976</v>
      </c>
      <c r="J56" s="58"/>
      <c r="K56" s="58"/>
    </row>
    <row r="57" spans="1:11" s="41" customFormat="1" ht="15">
      <c r="A57" s="50">
        <v>4</v>
      </c>
      <c r="B57" s="51" t="str">
        <f ca="1">IF($A57="","",NumList())</f>
        <v>2.2.1.2</v>
      </c>
      <c r="C57" s="61" t="s">
        <v>57</v>
      </c>
      <c r="D57" s="55">
        <f t="shared" ca="1" si="1"/>
        <v>1</v>
      </c>
      <c r="E57" s="55"/>
      <c r="F57" s="51">
        <f t="shared" ca="1" si="2"/>
        <v>60</v>
      </c>
      <c r="G57" s="51" t="s">
        <v>6</v>
      </c>
      <c r="H57" s="49">
        <f t="shared" ca="1" si="3"/>
        <v>2</v>
      </c>
      <c r="I57" s="53">
        <f t="shared" ca="1" si="0"/>
        <v>120</v>
      </c>
      <c r="J57" s="58"/>
      <c r="K57" s="58"/>
    </row>
    <row r="58" spans="1:11" s="41" customFormat="1" ht="15">
      <c r="A58" s="50">
        <v>4</v>
      </c>
      <c r="B58" s="51" t="str">
        <f ca="1">IF($A58="","",NumList())</f>
        <v>2.2.1.3</v>
      </c>
      <c r="C58" s="61" t="s">
        <v>58</v>
      </c>
      <c r="D58" s="55">
        <f t="shared" ca="1" si="1"/>
        <v>1</v>
      </c>
      <c r="E58" s="55"/>
      <c r="F58" s="51">
        <f t="shared" ca="1" si="2"/>
        <v>14</v>
      </c>
      <c r="G58" s="51" t="s">
        <v>6</v>
      </c>
      <c r="H58" s="49">
        <f t="shared" ca="1" si="3"/>
        <v>16</v>
      </c>
      <c r="I58" s="53">
        <f t="shared" ca="1" si="0"/>
        <v>224</v>
      </c>
      <c r="J58" s="58"/>
      <c r="K58" s="58"/>
    </row>
    <row r="59" spans="1:11" s="41" customFormat="1" ht="15">
      <c r="A59" s="50">
        <v>3</v>
      </c>
      <c r="B59" s="51" t="str">
        <f ca="1">IF($A59="","",NumList())</f>
        <v>2.2.2</v>
      </c>
      <c r="C59" s="61" t="s">
        <v>269</v>
      </c>
      <c r="D59" s="55">
        <f t="shared" ca="1" si="1"/>
        <v>0</v>
      </c>
      <c r="E59" s="55"/>
      <c r="F59" s="51">
        <f t="shared" ca="1" si="2"/>
        <v>0</v>
      </c>
      <c r="G59" s="51"/>
      <c r="H59" s="49">
        <f t="shared" ca="1" si="3"/>
        <v>0</v>
      </c>
      <c r="I59" s="53">
        <f t="shared" ca="1" si="0"/>
        <v>0</v>
      </c>
      <c r="J59" s="58"/>
      <c r="K59" s="58"/>
    </row>
    <row r="60" spans="1:11" s="41" customFormat="1" ht="15">
      <c r="A60" s="50">
        <v>4</v>
      </c>
      <c r="B60" s="51" t="str">
        <f ca="1">IF($A60="","",NumList())</f>
        <v>2.2.2.1</v>
      </c>
      <c r="C60" s="61" t="s">
        <v>56</v>
      </c>
      <c r="D60" s="55">
        <f t="shared" ca="1" si="1"/>
        <v>1</v>
      </c>
      <c r="E60" s="55"/>
      <c r="F60" s="51">
        <f t="shared" ca="1" si="2"/>
        <v>70</v>
      </c>
      <c r="G60" s="51" t="s">
        <v>6</v>
      </c>
      <c r="H60" s="49">
        <f t="shared" ca="1" si="3"/>
        <v>86</v>
      </c>
      <c r="I60" s="53">
        <f t="shared" ca="1" si="0"/>
        <v>6020</v>
      </c>
      <c r="J60" s="58"/>
      <c r="K60" s="58"/>
    </row>
    <row r="61" spans="1:11" s="41" customFormat="1" ht="15">
      <c r="A61" s="50">
        <v>4</v>
      </c>
      <c r="B61" s="51" t="str">
        <f ca="1">IF($A61="","",NumList())</f>
        <v>2.2.2.2</v>
      </c>
      <c r="C61" s="61" t="s">
        <v>57</v>
      </c>
      <c r="D61" s="55">
        <f t="shared" ca="1" si="1"/>
        <v>1</v>
      </c>
      <c r="E61" s="55"/>
      <c r="F61" s="51">
        <f t="shared" ca="1" si="2"/>
        <v>86</v>
      </c>
      <c r="G61" s="51" t="s">
        <v>6</v>
      </c>
      <c r="H61" s="49">
        <f t="shared" ca="1" si="3"/>
        <v>99</v>
      </c>
      <c r="I61" s="53">
        <f t="shared" ca="1" si="0"/>
        <v>8514</v>
      </c>
      <c r="J61" s="58"/>
      <c r="K61" s="58"/>
    </row>
    <row r="62" spans="1:11" s="41" customFormat="1" ht="15">
      <c r="A62" s="50">
        <v>4</v>
      </c>
      <c r="B62" s="51" t="str">
        <f ca="1">IF($A62="","",NumList())</f>
        <v>2.2.2.3</v>
      </c>
      <c r="C62" s="61" t="s">
        <v>58</v>
      </c>
      <c r="D62" s="55">
        <f t="shared" ca="1" si="1"/>
        <v>1</v>
      </c>
      <c r="E62" s="55"/>
      <c r="F62" s="51">
        <f t="shared" ca="1" si="2"/>
        <v>38</v>
      </c>
      <c r="G62" s="51" t="s">
        <v>6</v>
      </c>
      <c r="H62" s="49">
        <f t="shared" ca="1" si="3"/>
        <v>13</v>
      </c>
      <c r="I62" s="53">
        <f t="shared" ca="1" si="0"/>
        <v>494</v>
      </c>
      <c r="J62" s="58"/>
      <c r="K62" s="58"/>
    </row>
    <row r="63" spans="1:11" s="41" customFormat="1" ht="15">
      <c r="A63" s="50">
        <v>3</v>
      </c>
      <c r="B63" s="51" t="str">
        <f ca="1">IF($A63="","",NumList())</f>
        <v>2.2.3</v>
      </c>
      <c r="C63" s="61" t="s">
        <v>270</v>
      </c>
      <c r="D63" s="55">
        <f t="shared" ca="1" si="1"/>
        <v>0</v>
      </c>
      <c r="E63" s="55"/>
      <c r="F63" s="51">
        <f t="shared" ca="1" si="2"/>
        <v>0</v>
      </c>
      <c r="G63" s="51"/>
      <c r="H63" s="49">
        <f t="shared" ca="1" si="3"/>
        <v>0</v>
      </c>
      <c r="I63" s="53">
        <f t="shared" ca="1" si="0"/>
        <v>0</v>
      </c>
      <c r="J63" s="58"/>
      <c r="K63" s="58"/>
    </row>
    <row r="64" spans="1:11" s="41" customFormat="1" ht="15">
      <c r="A64" s="50">
        <v>4</v>
      </c>
      <c r="B64" s="51" t="str">
        <f ca="1">IF($A64="","",NumList())</f>
        <v>2.2.3.1</v>
      </c>
      <c r="C64" s="61" t="s">
        <v>56</v>
      </c>
      <c r="D64" s="55">
        <f t="shared" ca="1" si="1"/>
        <v>1</v>
      </c>
      <c r="E64" s="55"/>
      <c r="F64" s="51">
        <f t="shared" ca="1" si="2"/>
        <v>54</v>
      </c>
      <c r="G64" s="51" t="s">
        <v>6</v>
      </c>
      <c r="H64" s="49">
        <f t="shared" ca="1" si="3"/>
        <v>12</v>
      </c>
      <c r="I64" s="53">
        <f t="shared" ca="1" si="0"/>
        <v>648</v>
      </c>
      <c r="J64" s="58"/>
      <c r="K64" s="58"/>
    </row>
    <row r="65" spans="1:11" s="41" customFormat="1" ht="15">
      <c r="A65" s="50">
        <v>4</v>
      </c>
      <c r="B65" s="51" t="str">
        <f ca="1">IF($A65="","",NumList())</f>
        <v>2.2.3.2</v>
      </c>
      <c r="C65" s="61" t="s">
        <v>57</v>
      </c>
      <c r="D65" s="55">
        <f t="shared" ca="1" si="1"/>
        <v>1</v>
      </c>
      <c r="E65" s="55"/>
      <c r="F65" s="51">
        <f t="shared" ca="1" si="2"/>
        <v>26</v>
      </c>
      <c r="G65" s="51" t="s">
        <v>6</v>
      </c>
      <c r="H65" s="49">
        <f t="shared" ca="1" si="3"/>
        <v>41</v>
      </c>
      <c r="I65" s="53">
        <f t="shared" ca="1" si="0"/>
        <v>1066</v>
      </c>
      <c r="J65" s="58"/>
      <c r="K65" s="58"/>
    </row>
    <row r="66" spans="1:11" s="41" customFormat="1" ht="15">
      <c r="A66" s="50">
        <v>4</v>
      </c>
      <c r="B66" s="51" t="str">
        <f ca="1">IF($A66="","",NumList())</f>
        <v>2.2.3.3</v>
      </c>
      <c r="C66" s="61" t="s">
        <v>58</v>
      </c>
      <c r="D66" s="55">
        <f t="shared" ca="1" si="1"/>
        <v>1</v>
      </c>
      <c r="E66" s="55"/>
      <c r="F66" s="51">
        <f t="shared" ca="1" si="2"/>
        <v>79</v>
      </c>
      <c r="G66" s="51" t="s">
        <v>6</v>
      </c>
      <c r="H66" s="49">
        <f t="shared" ca="1" si="3"/>
        <v>98</v>
      </c>
      <c r="I66" s="53">
        <f t="shared" ca="1" si="0"/>
        <v>7742</v>
      </c>
      <c r="J66" s="58"/>
      <c r="K66" s="58"/>
    </row>
    <row r="67" spans="1:11" s="41" customFormat="1" ht="15">
      <c r="A67" s="50">
        <v>3</v>
      </c>
      <c r="B67" s="51" t="str">
        <f ca="1">IF($A67="","",NumList())</f>
        <v>2.2.4</v>
      </c>
      <c r="C67" s="61" t="s">
        <v>271</v>
      </c>
      <c r="D67" s="55">
        <f t="shared" ca="1" si="1"/>
        <v>0</v>
      </c>
      <c r="E67" s="55"/>
      <c r="F67" s="51">
        <f t="shared" ca="1" si="2"/>
        <v>0</v>
      </c>
      <c r="G67" s="51"/>
      <c r="H67" s="49">
        <f t="shared" ca="1" si="3"/>
        <v>0</v>
      </c>
      <c r="I67" s="53">
        <f t="shared" ca="1" si="0"/>
        <v>0</v>
      </c>
      <c r="J67" s="58"/>
      <c r="K67" s="58"/>
    </row>
    <row r="68" spans="1:11" s="41" customFormat="1" ht="15">
      <c r="A68" s="50">
        <v>4</v>
      </c>
      <c r="B68" s="51" t="str">
        <f ca="1">IF($A68="","",NumList())</f>
        <v>2.2.4.1</v>
      </c>
      <c r="C68" s="61" t="s">
        <v>56</v>
      </c>
      <c r="D68" s="55">
        <f t="shared" ca="1" si="1"/>
        <v>1</v>
      </c>
      <c r="E68" s="55"/>
      <c r="F68" s="51">
        <f t="shared" ca="1" si="2"/>
        <v>60</v>
      </c>
      <c r="G68" s="51" t="s">
        <v>6</v>
      </c>
      <c r="H68" s="49">
        <f t="shared" ca="1" si="3"/>
        <v>64</v>
      </c>
      <c r="I68" s="53">
        <f t="shared" ca="1" si="0"/>
        <v>3840</v>
      </c>
      <c r="J68" s="58"/>
      <c r="K68" s="58"/>
    </row>
    <row r="69" spans="1:11" s="41" customFormat="1" ht="15">
      <c r="A69" s="50">
        <v>4</v>
      </c>
      <c r="B69" s="51" t="str">
        <f ca="1">IF($A69="","",NumList())</f>
        <v>2.2.4.2</v>
      </c>
      <c r="C69" s="61" t="s">
        <v>57</v>
      </c>
      <c r="D69" s="55">
        <f t="shared" ca="1" si="1"/>
        <v>1</v>
      </c>
      <c r="E69" s="55"/>
      <c r="F69" s="51">
        <f t="shared" ca="1" si="2"/>
        <v>46</v>
      </c>
      <c r="G69" s="51" t="s">
        <v>6</v>
      </c>
      <c r="H69" s="49">
        <f t="shared" ca="1" si="3"/>
        <v>46</v>
      </c>
      <c r="I69" s="53">
        <f t="shared" ca="1" si="0"/>
        <v>2116</v>
      </c>
      <c r="J69" s="58"/>
      <c r="K69" s="58"/>
    </row>
    <row r="70" spans="1:11" s="41" customFormat="1" ht="15">
      <c r="A70" s="50">
        <v>4</v>
      </c>
      <c r="B70" s="51" t="str">
        <f ca="1">IF($A70="","",NumList())</f>
        <v>2.2.4.3</v>
      </c>
      <c r="C70" s="61" t="s">
        <v>58</v>
      </c>
      <c r="D70" s="55">
        <f t="shared" ca="1" si="1"/>
        <v>1</v>
      </c>
      <c r="E70" s="55"/>
      <c r="F70" s="51">
        <f t="shared" ca="1" si="2"/>
        <v>99</v>
      </c>
      <c r="G70" s="51" t="s">
        <v>6</v>
      </c>
      <c r="H70" s="49">
        <f t="shared" ca="1" si="3"/>
        <v>32</v>
      </c>
      <c r="I70" s="53">
        <f t="shared" ca="1" si="0"/>
        <v>3168</v>
      </c>
      <c r="J70" s="58"/>
      <c r="K70" s="58"/>
    </row>
    <row r="71" spans="1:11" s="41" customFormat="1" ht="15">
      <c r="A71" s="50" t="s">
        <v>516</v>
      </c>
      <c r="B71" s="51" t="str">
        <f>IF($A71="","",NumList())</f>
        <v/>
      </c>
      <c r="C71" s="54"/>
      <c r="D71" s="55">
        <f t="shared" ca="1" si="1"/>
        <v>0</v>
      </c>
      <c r="E71" s="55"/>
      <c r="F71" s="51">
        <f t="shared" ca="1" si="2"/>
        <v>0</v>
      </c>
      <c r="G71" s="51"/>
      <c r="H71" s="49">
        <f t="shared" ca="1" si="3"/>
        <v>0</v>
      </c>
      <c r="I71" s="53">
        <f t="shared" ca="1" si="0"/>
        <v>0</v>
      </c>
      <c r="J71" s="58"/>
      <c r="K71" s="58"/>
    </row>
    <row r="72" spans="1:11" s="41" customFormat="1" ht="28.5">
      <c r="A72" s="50">
        <v>2</v>
      </c>
      <c r="B72" s="51" t="str">
        <f ca="1">IF($A72="","",NumList())</f>
        <v>2.3</v>
      </c>
      <c r="C72" s="61" t="s">
        <v>392</v>
      </c>
      <c r="D72" s="55">
        <f t="shared" ca="1" si="1"/>
        <v>0</v>
      </c>
      <c r="E72" s="55"/>
      <c r="F72" s="51">
        <f t="shared" ca="1" si="2"/>
        <v>0</v>
      </c>
      <c r="G72" s="51"/>
      <c r="H72" s="49">
        <f t="shared" ca="1" si="3"/>
        <v>0</v>
      </c>
      <c r="I72" s="53">
        <f t="shared" ca="1" si="0"/>
        <v>0</v>
      </c>
      <c r="J72" s="58"/>
      <c r="K72" s="58"/>
    </row>
    <row r="73" spans="1:11" s="41" customFormat="1" ht="15">
      <c r="A73" s="50">
        <v>3</v>
      </c>
      <c r="B73" s="51" t="str">
        <f ca="1">IF($A73="","",NumList())</f>
        <v>2.3.1</v>
      </c>
      <c r="C73" s="61" t="s">
        <v>35</v>
      </c>
      <c r="D73" s="55">
        <f t="shared" ca="1" si="1"/>
        <v>1</v>
      </c>
      <c r="E73" s="55"/>
      <c r="F73" s="51">
        <f t="shared" ca="1" si="2"/>
        <v>55</v>
      </c>
      <c r="G73" s="51" t="s">
        <v>6</v>
      </c>
      <c r="H73" s="49">
        <f t="shared" ca="1" si="3"/>
        <v>52</v>
      </c>
      <c r="I73" s="53">
        <f t="shared" ca="1" si="0"/>
        <v>2860</v>
      </c>
      <c r="J73" s="58"/>
      <c r="K73" s="58"/>
    </row>
    <row r="74" spans="1:11" s="41" customFormat="1" ht="15">
      <c r="A74" s="50">
        <v>3</v>
      </c>
      <c r="B74" s="51" t="str">
        <f ca="1">IF($A74="","",NumList())</f>
        <v>2.3.2</v>
      </c>
      <c r="C74" s="61" t="s">
        <v>269</v>
      </c>
      <c r="D74" s="55">
        <f t="shared" ca="1" si="1"/>
        <v>1</v>
      </c>
      <c r="E74" s="55"/>
      <c r="F74" s="51">
        <f t="shared" ca="1" si="2"/>
        <v>12</v>
      </c>
      <c r="G74" s="51" t="s">
        <v>6</v>
      </c>
      <c r="H74" s="49">
        <f t="shared" ca="1" si="3"/>
        <v>39</v>
      </c>
      <c r="I74" s="53">
        <f t="shared" ca="1" si="0"/>
        <v>468</v>
      </c>
      <c r="J74" s="58"/>
      <c r="K74" s="58"/>
    </row>
    <row r="75" spans="1:11" s="41" customFormat="1" ht="15">
      <c r="A75" s="50">
        <v>3</v>
      </c>
      <c r="B75" s="51" t="str">
        <f ca="1">IF($A75="","",NumList())</f>
        <v>2.3.3</v>
      </c>
      <c r="C75" s="61" t="s">
        <v>270</v>
      </c>
      <c r="D75" s="55">
        <f t="shared" ca="1" si="1"/>
        <v>1</v>
      </c>
      <c r="E75" s="55"/>
      <c r="F75" s="51">
        <f t="shared" ca="1" si="2"/>
        <v>78</v>
      </c>
      <c r="G75" s="51" t="s">
        <v>6</v>
      </c>
      <c r="H75" s="49">
        <f t="shared" ca="1" si="3"/>
        <v>51</v>
      </c>
      <c r="I75" s="53">
        <f t="shared" ca="1" si="0"/>
        <v>3978</v>
      </c>
      <c r="J75" s="58"/>
      <c r="K75" s="58"/>
    </row>
    <row r="76" spans="1:11" s="41" customFormat="1" ht="15">
      <c r="A76" s="50">
        <v>3</v>
      </c>
      <c r="B76" s="51" t="str">
        <f ca="1">IF($A76="","",NumList())</f>
        <v>2.3.4</v>
      </c>
      <c r="C76" s="61" t="s">
        <v>271</v>
      </c>
      <c r="D76" s="55">
        <f t="shared" ca="1" si="1"/>
        <v>1</v>
      </c>
      <c r="E76" s="55"/>
      <c r="F76" s="51">
        <f t="shared" ca="1" si="2"/>
        <v>57</v>
      </c>
      <c r="G76" s="51" t="s">
        <v>6</v>
      </c>
      <c r="H76" s="49">
        <f t="shared" ca="1" si="3"/>
        <v>75</v>
      </c>
      <c r="I76" s="53">
        <f t="shared" ca="1" si="0"/>
        <v>4275</v>
      </c>
      <c r="J76" s="58"/>
      <c r="K76" s="58"/>
    </row>
    <row r="77" spans="1:11" s="41" customFormat="1" ht="15">
      <c r="A77" s="50" t="s">
        <v>516</v>
      </c>
      <c r="B77" s="51" t="str">
        <f>IF($A77="","",NumList())</f>
        <v/>
      </c>
      <c r="C77" s="61"/>
      <c r="D77" s="55">
        <f t="shared" ca="1" si="1"/>
        <v>0</v>
      </c>
      <c r="E77" s="55"/>
      <c r="F77" s="51">
        <f t="shared" ca="1" si="2"/>
        <v>0</v>
      </c>
      <c r="G77" s="51"/>
      <c r="H77" s="49">
        <f t="shared" ca="1" si="3"/>
        <v>0</v>
      </c>
      <c r="I77" s="53">
        <f t="shared" ca="1" si="0"/>
        <v>0</v>
      </c>
      <c r="J77" s="58"/>
      <c r="K77" s="58"/>
    </row>
    <row r="78" spans="1:11" s="41" customFormat="1" ht="28.5">
      <c r="A78" s="50">
        <v>2</v>
      </c>
      <c r="B78" s="51" t="str">
        <f ca="1">IF($A78="","",NumList())</f>
        <v>2.4</v>
      </c>
      <c r="C78" s="61" t="s">
        <v>393</v>
      </c>
      <c r="D78" s="55">
        <f t="shared" ca="1" si="1"/>
        <v>0</v>
      </c>
      <c r="E78" s="55"/>
      <c r="F78" s="51">
        <f t="shared" ca="1" si="2"/>
        <v>0</v>
      </c>
      <c r="G78" s="51"/>
      <c r="H78" s="49">
        <f t="shared" ca="1" si="3"/>
        <v>0</v>
      </c>
      <c r="I78" s="53">
        <f t="shared" ca="1" si="0"/>
        <v>0</v>
      </c>
      <c r="J78" s="58"/>
      <c r="K78" s="58"/>
    </row>
    <row r="79" spans="1:11" s="41" customFormat="1" ht="15">
      <c r="A79" s="50">
        <v>3</v>
      </c>
      <c r="B79" s="51" t="str">
        <f ca="1">IF($A79="","",NumList())</f>
        <v>2.4.1</v>
      </c>
      <c r="C79" s="61" t="s">
        <v>35</v>
      </c>
      <c r="D79" s="55">
        <f t="shared" ca="1" si="1"/>
        <v>1</v>
      </c>
      <c r="E79" s="55"/>
      <c r="F79" s="51">
        <f t="shared" ca="1" si="2"/>
        <v>47</v>
      </c>
      <c r="G79" s="51" t="s">
        <v>6</v>
      </c>
      <c r="H79" s="49">
        <f t="shared" ca="1" si="3"/>
        <v>62</v>
      </c>
      <c r="I79" s="53">
        <f t="shared" ca="1" si="0"/>
        <v>2914</v>
      </c>
      <c r="J79" s="58"/>
      <c r="K79" s="58"/>
    </row>
    <row r="80" spans="1:11" s="41" customFormat="1" ht="15">
      <c r="A80" s="50">
        <v>3</v>
      </c>
      <c r="B80" s="51" t="str">
        <f ca="1">IF($A80="","",NumList())</f>
        <v>2.4.2</v>
      </c>
      <c r="C80" s="61" t="s">
        <v>269</v>
      </c>
      <c r="D80" s="55">
        <f t="shared" ca="1" si="1"/>
        <v>1</v>
      </c>
      <c r="E80" s="55"/>
      <c r="F80" s="51">
        <f t="shared" ca="1" si="2"/>
        <v>95</v>
      </c>
      <c r="G80" s="51" t="s">
        <v>6</v>
      </c>
      <c r="H80" s="49">
        <f t="shared" ca="1" si="3"/>
        <v>11</v>
      </c>
      <c r="I80" s="53">
        <f t="shared" ca="1" si="0"/>
        <v>1045</v>
      </c>
      <c r="J80" s="58"/>
      <c r="K80" s="58"/>
    </row>
    <row r="81" spans="1:11" s="41" customFormat="1" ht="15">
      <c r="A81" s="50">
        <v>3</v>
      </c>
      <c r="B81" s="51" t="str">
        <f ca="1">IF($A81="","",NumList())</f>
        <v>2.4.3</v>
      </c>
      <c r="C81" s="61" t="s">
        <v>270</v>
      </c>
      <c r="D81" s="55">
        <f t="shared" ca="1" si="1"/>
        <v>1</v>
      </c>
      <c r="E81" s="55"/>
      <c r="F81" s="51">
        <f t="shared" ca="1" si="2"/>
        <v>42</v>
      </c>
      <c r="G81" s="51" t="s">
        <v>6</v>
      </c>
      <c r="H81" s="49">
        <f t="shared" ca="1" si="3"/>
        <v>18</v>
      </c>
      <c r="I81" s="53">
        <f t="shared" ca="1" si="0"/>
        <v>756</v>
      </c>
      <c r="J81" s="58"/>
      <c r="K81" s="58"/>
    </row>
    <row r="82" spans="1:11" s="41" customFormat="1" ht="15">
      <c r="A82" s="50">
        <v>3</v>
      </c>
      <c r="B82" s="51" t="str">
        <f ca="1">IF($A82="","",NumList())</f>
        <v>2.4.4</v>
      </c>
      <c r="C82" s="61" t="s">
        <v>271</v>
      </c>
      <c r="D82" s="55">
        <f t="shared" ca="1" si="1"/>
        <v>1</v>
      </c>
      <c r="E82" s="55"/>
      <c r="F82" s="51">
        <f t="shared" ca="1" si="2"/>
        <v>36</v>
      </c>
      <c r="G82" s="51" t="s">
        <v>6</v>
      </c>
      <c r="H82" s="49">
        <f t="shared" ca="1" si="3"/>
        <v>40</v>
      </c>
      <c r="I82" s="53">
        <f t="shared" ca="1" si="0"/>
        <v>1440</v>
      </c>
      <c r="J82" s="58"/>
      <c r="K82" s="58"/>
    </row>
    <row r="83" spans="1:11" s="41" customFormat="1" ht="15">
      <c r="A83" s="50" t="s">
        <v>516</v>
      </c>
      <c r="B83" s="51" t="str">
        <f>IF($A83="","",NumList())</f>
        <v/>
      </c>
      <c r="C83" s="61"/>
      <c r="D83" s="55">
        <f t="shared" ca="1" si="1"/>
        <v>0</v>
      </c>
      <c r="E83" s="55"/>
      <c r="F83" s="51">
        <f t="shared" ca="1" si="2"/>
        <v>0</v>
      </c>
      <c r="G83" s="51"/>
      <c r="H83" s="49">
        <f t="shared" ca="1" si="3"/>
        <v>0</v>
      </c>
      <c r="I83" s="53">
        <f t="shared" ca="1" si="0"/>
        <v>0</v>
      </c>
      <c r="J83" s="58"/>
      <c r="K83" s="58"/>
    </row>
    <row r="84" spans="1:11" s="41" customFormat="1" ht="28.5">
      <c r="A84" s="50">
        <v>2</v>
      </c>
      <c r="B84" s="51" t="str">
        <f ca="1">IF($A84="","",NumList())</f>
        <v>2.5</v>
      </c>
      <c r="C84" s="61" t="s">
        <v>421</v>
      </c>
      <c r="D84" s="55">
        <f t="shared" ca="1" si="1"/>
        <v>0</v>
      </c>
      <c r="E84" s="55"/>
      <c r="F84" s="51">
        <f t="shared" ca="1" si="2"/>
        <v>0</v>
      </c>
      <c r="G84" s="51"/>
      <c r="H84" s="49">
        <f t="shared" ca="1" si="3"/>
        <v>0</v>
      </c>
      <c r="I84" s="53">
        <f t="shared" ca="1" si="0"/>
        <v>0</v>
      </c>
      <c r="J84" s="58" t="s">
        <v>420</v>
      </c>
      <c r="K84" s="58"/>
    </row>
    <row r="85" spans="1:11" s="41" customFormat="1" ht="15">
      <c r="A85" s="50">
        <v>3</v>
      </c>
      <c r="B85" s="51" t="str">
        <f ca="1">IF($A85="","",NumList())</f>
        <v>2.5.1</v>
      </c>
      <c r="C85" s="61" t="s">
        <v>35</v>
      </c>
      <c r="D85" s="55">
        <f t="shared" ca="1" si="1"/>
        <v>1</v>
      </c>
      <c r="E85" s="55"/>
      <c r="F85" s="51">
        <f t="shared" ca="1" si="2"/>
        <v>14</v>
      </c>
      <c r="G85" s="51" t="s">
        <v>6</v>
      </c>
      <c r="H85" s="49">
        <f t="shared" ca="1" si="3"/>
        <v>1</v>
      </c>
      <c r="I85" s="53">
        <f t="shared" ca="1" si="0"/>
        <v>14</v>
      </c>
      <c r="J85" s="58"/>
      <c r="K85" s="58"/>
    </row>
    <row r="86" spans="1:11" s="41" customFormat="1" ht="15">
      <c r="A86" s="50">
        <v>3</v>
      </c>
      <c r="B86" s="51" t="str">
        <f ca="1">IF($A86="","",NumList())</f>
        <v>2.5.2</v>
      </c>
      <c r="C86" s="61" t="s">
        <v>269</v>
      </c>
      <c r="D86" s="55">
        <f t="shared" ca="1" si="1"/>
        <v>1</v>
      </c>
      <c r="E86" s="55"/>
      <c r="F86" s="51">
        <f t="shared" ca="1" si="2"/>
        <v>97</v>
      </c>
      <c r="G86" s="51" t="s">
        <v>6</v>
      </c>
      <c r="H86" s="49">
        <f t="shared" ca="1" si="3"/>
        <v>65</v>
      </c>
      <c r="I86" s="53">
        <f t="shared" ca="1" si="0"/>
        <v>6305</v>
      </c>
      <c r="J86" s="58"/>
      <c r="K86" s="58"/>
    </row>
    <row r="87" spans="1:11" s="41" customFormat="1" ht="15">
      <c r="A87" s="50">
        <v>3</v>
      </c>
      <c r="B87" s="51" t="str">
        <f ca="1">IF($A87="","",NumList())</f>
        <v>2.5.3</v>
      </c>
      <c r="C87" s="61" t="s">
        <v>270</v>
      </c>
      <c r="D87" s="55">
        <f t="shared" ca="1" si="1"/>
        <v>1</v>
      </c>
      <c r="E87" s="55"/>
      <c r="F87" s="51">
        <f t="shared" ca="1" si="2"/>
        <v>59</v>
      </c>
      <c r="G87" s="51" t="s">
        <v>6</v>
      </c>
      <c r="H87" s="49">
        <f t="shared" ca="1" si="3"/>
        <v>4</v>
      </c>
      <c r="I87" s="53">
        <f t="shared" ca="1" si="0"/>
        <v>236</v>
      </c>
      <c r="J87" s="58"/>
      <c r="K87" s="58"/>
    </row>
    <row r="88" spans="1:11" s="41" customFormat="1" ht="15">
      <c r="A88" s="50">
        <v>3</v>
      </c>
      <c r="B88" s="51" t="str">
        <f ca="1">IF($A88="","",NumList())</f>
        <v>2.5.4</v>
      </c>
      <c r="C88" s="61" t="s">
        <v>271</v>
      </c>
      <c r="D88" s="55">
        <f t="shared" ca="1" si="1"/>
        <v>1</v>
      </c>
      <c r="E88" s="55"/>
      <c r="F88" s="51">
        <f t="shared" ca="1" si="2"/>
        <v>4</v>
      </c>
      <c r="G88" s="51" t="s">
        <v>6</v>
      </c>
      <c r="H88" s="49">
        <f t="shared" ca="1" si="3"/>
        <v>32</v>
      </c>
      <c r="I88" s="53">
        <f t="shared" ref="I88:I151" ca="1" si="4">F88*H88</f>
        <v>128</v>
      </c>
      <c r="J88" s="58"/>
      <c r="K88" s="58"/>
    </row>
    <row r="89" spans="1:11" s="41" customFormat="1" ht="15">
      <c r="A89" s="50" t="s">
        <v>516</v>
      </c>
      <c r="B89" s="51" t="str">
        <f>IF($A89="","",NumList())</f>
        <v/>
      </c>
      <c r="C89" s="61"/>
      <c r="D89" s="55">
        <f t="shared" ca="1" si="1"/>
        <v>0</v>
      </c>
      <c r="E89" s="55"/>
      <c r="F89" s="51">
        <f t="shared" ca="1" si="2"/>
        <v>0</v>
      </c>
      <c r="G89" s="51"/>
      <c r="H89" s="49">
        <f t="shared" ca="1" si="3"/>
        <v>0</v>
      </c>
      <c r="I89" s="53">
        <f t="shared" ca="1" si="4"/>
        <v>0</v>
      </c>
      <c r="J89" s="58"/>
      <c r="K89" s="58"/>
    </row>
    <row r="90" spans="1:11" s="41" customFormat="1" ht="28.5">
      <c r="A90" s="50">
        <v>2</v>
      </c>
      <c r="B90" s="51" t="str">
        <f ca="1">IF($A90="","",NumList())</f>
        <v>2.6</v>
      </c>
      <c r="C90" s="61" t="s">
        <v>419</v>
      </c>
      <c r="D90" s="55">
        <f t="shared" ca="1" si="1"/>
        <v>0</v>
      </c>
      <c r="E90" s="55"/>
      <c r="F90" s="51">
        <f t="shared" ca="1" si="2"/>
        <v>0</v>
      </c>
      <c r="G90" s="51"/>
      <c r="H90" s="49">
        <f t="shared" ca="1" si="3"/>
        <v>0</v>
      </c>
      <c r="I90" s="53">
        <f t="shared" ca="1" si="4"/>
        <v>0</v>
      </c>
      <c r="J90" s="58" t="s">
        <v>418</v>
      </c>
      <c r="K90" s="58"/>
    </row>
    <row r="91" spans="1:11" s="41" customFormat="1" ht="15">
      <c r="A91" s="50">
        <v>3</v>
      </c>
      <c r="B91" s="51" t="str">
        <f ca="1">IF($A91="","",NumList())</f>
        <v>2.6.1</v>
      </c>
      <c r="C91" s="61" t="s">
        <v>415</v>
      </c>
      <c r="D91" s="55">
        <f t="shared" ca="1" si="1"/>
        <v>1</v>
      </c>
      <c r="E91" s="55"/>
      <c r="F91" s="51">
        <f t="shared" ca="1" si="2"/>
        <v>41</v>
      </c>
      <c r="G91" s="51" t="s">
        <v>6</v>
      </c>
      <c r="H91" s="49">
        <f t="shared" ca="1" si="3"/>
        <v>33</v>
      </c>
      <c r="I91" s="53">
        <f t="shared" ca="1" si="4"/>
        <v>1353</v>
      </c>
      <c r="J91" s="58"/>
      <c r="K91" s="58"/>
    </row>
    <row r="92" spans="1:11" s="41" customFormat="1" ht="15">
      <c r="A92" s="50">
        <v>3</v>
      </c>
      <c r="B92" s="51" t="str">
        <f ca="1">IF($A92="","",NumList())</f>
        <v>2.6.2</v>
      </c>
      <c r="C92" s="61" t="s">
        <v>416</v>
      </c>
      <c r="D92" s="55">
        <f t="shared" ref="D92:D155" ca="1" si="5">IF(ISTEXT(G92),RANDBETWEEN(1,1),0)</f>
        <v>1</v>
      </c>
      <c r="E92" s="55"/>
      <c r="F92" s="51">
        <f t="shared" ref="F92:F155" ca="1" si="6">IF(ISTEXT(G92),RANDBETWEEN(1,100),0)</f>
        <v>97</v>
      </c>
      <c r="G92" s="51" t="s">
        <v>6</v>
      </c>
      <c r="H92" s="49">
        <f t="shared" ref="H92:H155" ca="1" si="7">IF(ISTEXT(G92),RANDBETWEEN(1,100),0)</f>
        <v>4</v>
      </c>
      <c r="I92" s="53">
        <f t="shared" ca="1" si="4"/>
        <v>388</v>
      </c>
      <c r="J92" s="58"/>
      <c r="K92" s="58"/>
    </row>
    <row r="93" spans="1:11" s="41" customFormat="1" ht="15">
      <c r="A93" s="50">
        <v>3</v>
      </c>
      <c r="B93" s="51" t="str">
        <f ca="1">IF($A93="","",NumList())</f>
        <v>2.6.3</v>
      </c>
      <c r="C93" s="61" t="s">
        <v>417</v>
      </c>
      <c r="D93" s="55">
        <f t="shared" ca="1" si="5"/>
        <v>1</v>
      </c>
      <c r="E93" s="55"/>
      <c r="F93" s="51">
        <f t="shared" ca="1" si="6"/>
        <v>51</v>
      </c>
      <c r="G93" s="51" t="s">
        <v>6</v>
      </c>
      <c r="H93" s="49">
        <f t="shared" ca="1" si="7"/>
        <v>17</v>
      </c>
      <c r="I93" s="53">
        <f t="shared" ca="1" si="4"/>
        <v>867</v>
      </c>
      <c r="J93" s="58"/>
      <c r="K93" s="58"/>
    </row>
    <row r="94" spans="1:11" s="41" customFormat="1" ht="15">
      <c r="A94" s="50">
        <v>3</v>
      </c>
      <c r="B94" s="51" t="str">
        <f ca="1">IF($A94="","",NumList())</f>
        <v>2.6.4</v>
      </c>
      <c r="C94" s="61" t="s">
        <v>271</v>
      </c>
      <c r="D94" s="55">
        <f t="shared" ca="1" si="5"/>
        <v>1</v>
      </c>
      <c r="E94" s="55"/>
      <c r="F94" s="51">
        <f t="shared" ca="1" si="6"/>
        <v>3</v>
      </c>
      <c r="G94" s="51" t="s">
        <v>6</v>
      </c>
      <c r="H94" s="49">
        <f t="shared" ca="1" si="7"/>
        <v>85</v>
      </c>
      <c r="I94" s="53">
        <f t="shared" ca="1" si="4"/>
        <v>255</v>
      </c>
      <c r="J94" s="58"/>
      <c r="K94" s="58"/>
    </row>
    <row r="95" spans="1:11" s="41" customFormat="1" ht="15">
      <c r="A95" s="50" t="s">
        <v>516</v>
      </c>
      <c r="B95" s="51" t="str">
        <f>IF($A95="","",NumList())</f>
        <v/>
      </c>
      <c r="C95" s="61"/>
      <c r="D95" s="55">
        <f t="shared" ca="1" si="5"/>
        <v>0</v>
      </c>
      <c r="E95" s="55"/>
      <c r="F95" s="51">
        <f t="shared" ca="1" si="6"/>
        <v>0</v>
      </c>
      <c r="G95" s="51"/>
      <c r="H95" s="49">
        <f t="shared" ca="1" si="7"/>
        <v>0</v>
      </c>
      <c r="I95" s="53">
        <f t="shared" ca="1" si="4"/>
        <v>0</v>
      </c>
      <c r="J95" s="58"/>
      <c r="K95" s="58"/>
    </row>
    <row r="96" spans="1:11" s="41" customFormat="1" ht="30">
      <c r="A96" s="50">
        <v>2</v>
      </c>
      <c r="B96" s="51" t="str">
        <f ca="1">IF($A96="","",NumList())</f>
        <v>2.7</v>
      </c>
      <c r="C96" s="61" t="s">
        <v>604</v>
      </c>
      <c r="D96" s="55">
        <f t="shared" ca="1" si="5"/>
        <v>1</v>
      </c>
      <c r="E96" s="55"/>
      <c r="F96" s="51">
        <f t="shared" ca="1" si="6"/>
        <v>85</v>
      </c>
      <c r="G96" s="51" t="s">
        <v>289</v>
      </c>
      <c r="H96" s="49">
        <f t="shared" ca="1" si="7"/>
        <v>10</v>
      </c>
      <c r="I96" s="53">
        <f t="shared" ca="1" si="4"/>
        <v>850</v>
      </c>
      <c r="J96" s="58"/>
      <c r="K96" s="58"/>
    </row>
    <row r="97" spans="1:11" s="41" customFormat="1" ht="15">
      <c r="A97" s="50" t="s">
        <v>516</v>
      </c>
      <c r="B97" s="51" t="str">
        <f>IF($A97="","",NumList())</f>
        <v/>
      </c>
      <c r="C97" s="61"/>
      <c r="D97" s="55">
        <f t="shared" ca="1" si="5"/>
        <v>0</v>
      </c>
      <c r="E97" s="55"/>
      <c r="F97" s="51">
        <f t="shared" ca="1" si="6"/>
        <v>0</v>
      </c>
      <c r="G97" s="51"/>
      <c r="H97" s="49">
        <f t="shared" ca="1" si="7"/>
        <v>0</v>
      </c>
      <c r="I97" s="53">
        <f t="shared" ca="1" si="4"/>
        <v>0</v>
      </c>
      <c r="J97" s="58"/>
      <c r="K97" s="58"/>
    </row>
    <row r="98" spans="1:11" s="41" customFormat="1" ht="51" customHeight="1">
      <c r="A98" s="50">
        <v>1</v>
      </c>
      <c r="B98" s="51">
        <f ca="1">IF($A98="","",NumList())</f>
        <v>3</v>
      </c>
      <c r="C98" s="63" t="s">
        <v>586</v>
      </c>
      <c r="D98" s="55">
        <f t="shared" ca="1" si="5"/>
        <v>0</v>
      </c>
      <c r="E98" s="48"/>
      <c r="F98" s="51">
        <f t="shared" ca="1" si="6"/>
        <v>0</v>
      </c>
      <c r="G98" s="46"/>
      <c r="H98" s="49">
        <f t="shared" ca="1" si="7"/>
        <v>0</v>
      </c>
      <c r="I98" s="53">
        <f t="shared" ca="1" si="4"/>
        <v>0</v>
      </c>
    </row>
    <row r="99" spans="1:11" s="41" customFormat="1" ht="29.25">
      <c r="A99" s="50">
        <v>2</v>
      </c>
      <c r="B99" s="51" t="str">
        <f ca="1">IF($A99="","",NumList())</f>
        <v>3.1</v>
      </c>
      <c r="C99" s="79" t="s">
        <v>399</v>
      </c>
      <c r="D99" s="55">
        <f t="shared" ca="1" si="5"/>
        <v>0</v>
      </c>
      <c r="E99" s="55"/>
      <c r="F99" s="51">
        <f t="shared" ca="1" si="6"/>
        <v>0</v>
      </c>
      <c r="G99" s="51"/>
      <c r="H99" s="49">
        <f t="shared" ca="1" si="7"/>
        <v>0</v>
      </c>
      <c r="I99" s="53">
        <f t="shared" ca="1" si="4"/>
        <v>0</v>
      </c>
      <c r="J99" s="58"/>
      <c r="K99" s="58"/>
    </row>
    <row r="100" spans="1:11" s="41" customFormat="1" ht="15">
      <c r="A100" s="50">
        <v>3</v>
      </c>
      <c r="B100" s="51" t="str">
        <f ca="1">IF($A100="","",NumList())</f>
        <v>3.1.1</v>
      </c>
      <c r="C100" s="61" t="s">
        <v>56</v>
      </c>
      <c r="D100" s="55">
        <f t="shared" ca="1" si="5"/>
        <v>1</v>
      </c>
      <c r="E100" s="55"/>
      <c r="F100" s="51">
        <f t="shared" ca="1" si="6"/>
        <v>92</v>
      </c>
      <c r="G100" s="51" t="s">
        <v>8</v>
      </c>
      <c r="H100" s="49">
        <f t="shared" ca="1" si="7"/>
        <v>80</v>
      </c>
      <c r="I100" s="53">
        <f t="shared" ca="1" si="4"/>
        <v>7360</v>
      </c>
      <c r="J100" s="58"/>
      <c r="K100" s="58"/>
    </row>
    <row r="101" spans="1:11" s="41" customFormat="1" ht="15">
      <c r="A101" s="50">
        <v>3</v>
      </c>
      <c r="B101" s="51" t="str">
        <f ca="1">IF($A101="","",NumList())</f>
        <v>3.1.2</v>
      </c>
      <c r="C101" s="61" t="s">
        <v>57</v>
      </c>
      <c r="D101" s="55">
        <f t="shared" ca="1" si="5"/>
        <v>1</v>
      </c>
      <c r="E101" s="55"/>
      <c r="F101" s="51">
        <f t="shared" ca="1" si="6"/>
        <v>11</v>
      </c>
      <c r="G101" s="51" t="s">
        <v>8</v>
      </c>
      <c r="H101" s="49">
        <f t="shared" ca="1" si="7"/>
        <v>30</v>
      </c>
      <c r="I101" s="53">
        <f t="shared" ca="1" si="4"/>
        <v>330</v>
      </c>
      <c r="J101" s="58"/>
      <c r="K101" s="58"/>
    </row>
    <row r="102" spans="1:11" s="41" customFormat="1" ht="15">
      <c r="A102" s="50">
        <v>3</v>
      </c>
      <c r="B102" s="51" t="str">
        <f ca="1">IF($A102="","",NumList())</f>
        <v>3.1.3</v>
      </c>
      <c r="C102" s="61" t="s">
        <v>58</v>
      </c>
      <c r="D102" s="55">
        <f t="shared" ca="1" si="5"/>
        <v>1</v>
      </c>
      <c r="E102" s="55"/>
      <c r="F102" s="51">
        <f t="shared" ca="1" si="6"/>
        <v>2</v>
      </c>
      <c r="G102" s="51" t="s">
        <v>8</v>
      </c>
      <c r="H102" s="49">
        <f t="shared" ca="1" si="7"/>
        <v>8</v>
      </c>
      <c r="I102" s="53">
        <f t="shared" ca="1" si="4"/>
        <v>16</v>
      </c>
      <c r="J102" s="58"/>
      <c r="K102" s="58"/>
    </row>
    <row r="103" spans="1:11" s="41" customFormat="1" ht="29.25">
      <c r="A103" s="50">
        <v>2</v>
      </c>
      <c r="B103" s="51" t="str">
        <f ca="1">IF($A103="","",NumList())</f>
        <v>3.2</v>
      </c>
      <c r="C103" s="79" t="s">
        <v>400</v>
      </c>
      <c r="D103" s="55">
        <f t="shared" ca="1" si="5"/>
        <v>0</v>
      </c>
      <c r="E103" s="55"/>
      <c r="F103" s="51">
        <f t="shared" ca="1" si="6"/>
        <v>0</v>
      </c>
      <c r="G103" s="51"/>
      <c r="H103" s="49">
        <f t="shared" ca="1" si="7"/>
        <v>0</v>
      </c>
      <c r="I103" s="53">
        <f t="shared" ca="1" si="4"/>
        <v>0</v>
      </c>
      <c r="J103" s="58"/>
      <c r="K103" s="58"/>
    </row>
    <row r="104" spans="1:11" s="41" customFormat="1" ht="15">
      <c r="A104" s="50">
        <v>3</v>
      </c>
      <c r="B104" s="51" t="str">
        <f ca="1">IF($A104="","",NumList())</f>
        <v>3.2.1</v>
      </c>
      <c r="C104" s="61" t="s">
        <v>56</v>
      </c>
      <c r="D104" s="55">
        <f t="shared" ca="1" si="5"/>
        <v>1</v>
      </c>
      <c r="E104" s="55"/>
      <c r="F104" s="51">
        <f t="shared" ca="1" si="6"/>
        <v>84</v>
      </c>
      <c r="G104" s="51" t="s">
        <v>8</v>
      </c>
      <c r="H104" s="49">
        <f t="shared" ca="1" si="7"/>
        <v>4</v>
      </c>
      <c r="I104" s="53">
        <f t="shared" ca="1" si="4"/>
        <v>336</v>
      </c>
      <c r="J104" s="58"/>
      <c r="K104" s="58"/>
    </row>
    <row r="105" spans="1:11" s="41" customFormat="1" ht="15">
      <c r="A105" s="50">
        <v>3</v>
      </c>
      <c r="B105" s="51" t="str">
        <f ca="1">IF($A105="","",NumList())</f>
        <v>3.2.2</v>
      </c>
      <c r="C105" s="61" t="s">
        <v>57</v>
      </c>
      <c r="D105" s="55">
        <f t="shared" ca="1" si="5"/>
        <v>1</v>
      </c>
      <c r="E105" s="55"/>
      <c r="F105" s="51">
        <f t="shared" ca="1" si="6"/>
        <v>37</v>
      </c>
      <c r="G105" s="51" t="s">
        <v>8</v>
      </c>
      <c r="H105" s="49">
        <f t="shared" ca="1" si="7"/>
        <v>8</v>
      </c>
      <c r="I105" s="53">
        <f t="shared" ca="1" si="4"/>
        <v>296</v>
      </c>
      <c r="J105" s="58"/>
      <c r="K105" s="58"/>
    </row>
    <row r="106" spans="1:11" s="41" customFormat="1" ht="15">
      <c r="A106" s="50">
        <v>3</v>
      </c>
      <c r="B106" s="51" t="str">
        <f ca="1">IF($A106="","",NumList())</f>
        <v>3.2.3</v>
      </c>
      <c r="C106" s="61" t="s">
        <v>58</v>
      </c>
      <c r="D106" s="55">
        <f t="shared" ca="1" si="5"/>
        <v>1</v>
      </c>
      <c r="E106" s="55"/>
      <c r="F106" s="51">
        <f t="shared" ca="1" si="6"/>
        <v>26</v>
      </c>
      <c r="G106" s="51" t="s">
        <v>8</v>
      </c>
      <c r="H106" s="49">
        <f t="shared" ca="1" si="7"/>
        <v>79</v>
      </c>
      <c r="I106" s="53">
        <f t="shared" ca="1" si="4"/>
        <v>2054</v>
      </c>
      <c r="J106" s="58"/>
      <c r="K106" s="58"/>
    </row>
    <row r="107" spans="1:11" s="41" customFormat="1" ht="29.25">
      <c r="A107" s="50">
        <v>2</v>
      </c>
      <c r="B107" s="51" t="str">
        <f ca="1">IF($A107="","",NumList())</f>
        <v>3.3</v>
      </c>
      <c r="C107" s="79" t="s">
        <v>401</v>
      </c>
      <c r="D107" s="55">
        <f t="shared" ca="1" si="5"/>
        <v>0</v>
      </c>
      <c r="E107" s="55"/>
      <c r="F107" s="51">
        <f t="shared" ca="1" si="6"/>
        <v>0</v>
      </c>
      <c r="G107" s="51"/>
      <c r="H107" s="49">
        <f t="shared" ca="1" si="7"/>
        <v>0</v>
      </c>
      <c r="I107" s="53">
        <f t="shared" ca="1" si="4"/>
        <v>0</v>
      </c>
      <c r="J107" s="58"/>
      <c r="K107" s="58"/>
    </row>
    <row r="108" spans="1:11" s="41" customFormat="1" ht="15">
      <c r="A108" s="50">
        <v>3</v>
      </c>
      <c r="B108" s="51" t="str">
        <f ca="1">IF($A108="","",NumList())</f>
        <v>3.3.1</v>
      </c>
      <c r="C108" s="61" t="s">
        <v>56</v>
      </c>
      <c r="D108" s="55">
        <f t="shared" ca="1" si="5"/>
        <v>1</v>
      </c>
      <c r="E108" s="55"/>
      <c r="F108" s="51">
        <f t="shared" ca="1" si="6"/>
        <v>46</v>
      </c>
      <c r="G108" s="51" t="s">
        <v>8</v>
      </c>
      <c r="H108" s="49">
        <f t="shared" ca="1" si="7"/>
        <v>28</v>
      </c>
      <c r="I108" s="53">
        <f t="shared" ca="1" si="4"/>
        <v>1288</v>
      </c>
      <c r="J108" s="58"/>
      <c r="K108" s="58"/>
    </row>
    <row r="109" spans="1:11" s="41" customFormat="1" ht="15">
      <c r="A109" s="50">
        <v>3</v>
      </c>
      <c r="B109" s="51" t="str">
        <f ca="1">IF($A109="","",NumList())</f>
        <v>3.3.2</v>
      </c>
      <c r="C109" s="61" t="s">
        <v>57</v>
      </c>
      <c r="D109" s="55">
        <f t="shared" ca="1" si="5"/>
        <v>1</v>
      </c>
      <c r="E109" s="55"/>
      <c r="F109" s="51">
        <f t="shared" ca="1" si="6"/>
        <v>74</v>
      </c>
      <c r="G109" s="51" t="s">
        <v>8</v>
      </c>
      <c r="H109" s="49">
        <f t="shared" ca="1" si="7"/>
        <v>78</v>
      </c>
      <c r="I109" s="53">
        <f t="shared" ca="1" si="4"/>
        <v>5772</v>
      </c>
      <c r="J109" s="58"/>
      <c r="K109" s="58"/>
    </row>
    <row r="110" spans="1:11" s="41" customFormat="1" ht="15">
      <c r="A110" s="50">
        <v>3</v>
      </c>
      <c r="B110" s="51" t="str">
        <f ca="1">IF($A110="","",NumList())</f>
        <v>3.3.3</v>
      </c>
      <c r="C110" s="61" t="s">
        <v>58</v>
      </c>
      <c r="D110" s="55">
        <f t="shared" ca="1" si="5"/>
        <v>1</v>
      </c>
      <c r="E110" s="55"/>
      <c r="F110" s="51">
        <f t="shared" ca="1" si="6"/>
        <v>73</v>
      </c>
      <c r="G110" s="51" t="s">
        <v>8</v>
      </c>
      <c r="H110" s="49">
        <f t="shared" ca="1" si="7"/>
        <v>38</v>
      </c>
      <c r="I110" s="53">
        <f t="shared" ca="1" si="4"/>
        <v>2774</v>
      </c>
      <c r="J110" s="58"/>
      <c r="K110" s="58"/>
    </row>
    <row r="111" spans="1:11" s="41" customFormat="1" ht="29.25">
      <c r="A111" s="50">
        <v>2</v>
      </c>
      <c r="B111" s="51" t="str">
        <f ca="1">IF($A111="","",NumList())</f>
        <v>3.4</v>
      </c>
      <c r="C111" s="79" t="s">
        <v>402</v>
      </c>
      <c r="D111" s="55">
        <f t="shared" ca="1" si="5"/>
        <v>0</v>
      </c>
      <c r="E111" s="55"/>
      <c r="F111" s="51">
        <f t="shared" ca="1" si="6"/>
        <v>0</v>
      </c>
      <c r="G111" s="51"/>
      <c r="H111" s="49">
        <f t="shared" ca="1" si="7"/>
        <v>0</v>
      </c>
      <c r="I111" s="53">
        <f t="shared" ca="1" si="4"/>
        <v>0</v>
      </c>
      <c r="J111" s="58"/>
      <c r="K111" s="58"/>
    </row>
    <row r="112" spans="1:11" s="41" customFormat="1" ht="15">
      <c r="A112" s="50">
        <v>3</v>
      </c>
      <c r="B112" s="51" t="str">
        <f ca="1">IF($A112="","",NumList())</f>
        <v>3.4.1</v>
      </c>
      <c r="C112" s="61" t="s">
        <v>56</v>
      </c>
      <c r="D112" s="55">
        <f t="shared" ca="1" si="5"/>
        <v>1</v>
      </c>
      <c r="E112" s="55"/>
      <c r="F112" s="51">
        <f t="shared" ca="1" si="6"/>
        <v>44</v>
      </c>
      <c r="G112" s="51" t="s">
        <v>8</v>
      </c>
      <c r="H112" s="49">
        <f t="shared" ca="1" si="7"/>
        <v>58</v>
      </c>
      <c r="I112" s="53">
        <f t="shared" ca="1" si="4"/>
        <v>2552</v>
      </c>
      <c r="J112" s="58"/>
      <c r="K112" s="58"/>
    </row>
    <row r="113" spans="1:11" s="41" customFormat="1" ht="15">
      <c r="A113" s="50">
        <v>3</v>
      </c>
      <c r="B113" s="51" t="str">
        <f ca="1">IF($A113="","",NumList())</f>
        <v>3.4.2</v>
      </c>
      <c r="C113" s="61" t="s">
        <v>57</v>
      </c>
      <c r="D113" s="55">
        <f t="shared" ca="1" si="5"/>
        <v>1</v>
      </c>
      <c r="E113" s="55"/>
      <c r="F113" s="51">
        <f t="shared" ca="1" si="6"/>
        <v>2</v>
      </c>
      <c r="G113" s="51" t="s">
        <v>8</v>
      </c>
      <c r="H113" s="49">
        <f t="shared" ca="1" si="7"/>
        <v>99</v>
      </c>
      <c r="I113" s="53">
        <f t="shared" ca="1" si="4"/>
        <v>198</v>
      </c>
      <c r="J113" s="58"/>
      <c r="K113" s="58"/>
    </row>
    <row r="114" spans="1:11" s="41" customFormat="1" ht="15">
      <c r="A114" s="50">
        <v>3</v>
      </c>
      <c r="B114" s="51" t="str">
        <f ca="1">IF($A114="","",NumList())</f>
        <v>3.4.3</v>
      </c>
      <c r="C114" s="61" t="s">
        <v>58</v>
      </c>
      <c r="D114" s="55">
        <f t="shared" ca="1" si="5"/>
        <v>1</v>
      </c>
      <c r="E114" s="55"/>
      <c r="F114" s="51">
        <f t="shared" ca="1" si="6"/>
        <v>35</v>
      </c>
      <c r="G114" s="51" t="s">
        <v>8</v>
      </c>
      <c r="H114" s="49">
        <f t="shared" ca="1" si="7"/>
        <v>11</v>
      </c>
      <c r="I114" s="53">
        <f t="shared" ca="1" si="4"/>
        <v>385</v>
      </c>
      <c r="J114" s="58"/>
      <c r="K114" s="58"/>
    </row>
    <row r="115" spans="1:11" s="41" customFormat="1" ht="29.25">
      <c r="A115" s="50">
        <v>2</v>
      </c>
      <c r="B115" s="51" t="str">
        <f ca="1">IF($A115="","",NumList())</f>
        <v>3.5</v>
      </c>
      <c r="C115" s="79" t="s">
        <v>422</v>
      </c>
      <c r="D115" s="55">
        <f t="shared" ca="1" si="5"/>
        <v>0</v>
      </c>
      <c r="E115" s="55"/>
      <c r="F115" s="51">
        <f t="shared" ca="1" si="6"/>
        <v>0</v>
      </c>
      <c r="G115" s="51"/>
      <c r="H115" s="49">
        <f t="shared" ca="1" si="7"/>
        <v>0</v>
      </c>
      <c r="I115" s="53">
        <f t="shared" ca="1" si="4"/>
        <v>0</v>
      </c>
      <c r="J115" s="58"/>
      <c r="K115" s="58"/>
    </row>
    <row r="116" spans="1:11" s="41" customFormat="1" ht="15">
      <c r="A116" s="50">
        <v>3</v>
      </c>
      <c r="B116" s="51" t="str">
        <f ca="1">IF($A116="","",NumList())</f>
        <v>3.5.1</v>
      </c>
      <c r="C116" s="61" t="s">
        <v>56</v>
      </c>
      <c r="D116" s="55">
        <f t="shared" ca="1" si="5"/>
        <v>1</v>
      </c>
      <c r="E116" s="55"/>
      <c r="F116" s="51">
        <f t="shared" ca="1" si="6"/>
        <v>25</v>
      </c>
      <c r="G116" s="51" t="s">
        <v>8</v>
      </c>
      <c r="H116" s="49">
        <f t="shared" ca="1" si="7"/>
        <v>78</v>
      </c>
      <c r="I116" s="53">
        <f t="shared" ca="1" si="4"/>
        <v>1950</v>
      </c>
      <c r="J116" s="58"/>
      <c r="K116" s="58"/>
    </row>
    <row r="117" spans="1:11" s="41" customFormat="1" ht="15">
      <c r="A117" s="50">
        <v>3</v>
      </c>
      <c r="B117" s="51" t="str">
        <f ca="1">IF($A117="","",NumList())</f>
        <v>3.5.2</v>
      </c>
      <c r="C117" s="61" t="s">
        <v>57</v>
      </c>
      <c r="D117" s="55">
        <f t="shared" ca="1" si="5"/>
        <v>1</v>
      </c>
      <c r="E117" s="55"/>
      <c r="F117" s="51">
        <f t="shared" ca="1" si="6"/>
        <v>56</v>
      </c>
      <c r="G117" s="51" t="s">
        <v>8</v>
      </c>
      <c r="H117" s="49">
        <f t="shared" ca="1" si="7"/>
        <v>23</v>
      </c>
      <c r="I117" s="53">
        <f t="shared" ca="1" si="4"/>
        <v>1288</v>
      </c>
      <c r="J117" s="58"/>
      <c r="K117" s="58"/>
    </row>
    <row r="118" spans="1:11" s="41" customFormat="1" ht="15">
      <c r="A118" s="50">
        <v>3</v>
      </c>
      <c r="B118" s="51" t="str">
        <f ca="1">IF($A118="","",NumList())</f>
        <v>3.5.3</v>
      </c>
      <c r="C118" s="61" t="s">
        <v>58</v>
      </c>
      <c r="D118" s="55">
        <f t="shared" ca="1" si="5"/>
        <v>1</v>
      </c>
      <c r="E118" s="55"/>
      <c r="F118" s="51">
        <f t="shared" ca="1" si="6"/>
        <v>98</v>
      </c>
      <c r="G118" s="51" t="s">
        <v>8</v>
      </c>
      <c r="H118" s="49">
        <f t="shared" ca="1" si="7"/>
        <v>67</v>
      </c>
      <c r="I118" s="53">
        <f t="shared" ca="1" si="4"/>
        <v>6566</v>
      </c>
      <c r="J118" s="58"/>
      <c r="K118" s="58"/>
    </row>
    <row r="119" spans="1:11" s="41" customFormat="1" ht="15">
      <c r="A119" s="50" t="s">
        <v>516</v>
      </c>
      <c r="B119" s="51" t="str">
        <f>IF($A119="","",NumList())</f>
        <v/>
      </c>
      <c r="C119" s="61"/>
      <c r="D119" s="55">
        <f t="shared" ca="1" si="5"/>
        <v>0</v>
      </c>
      <c r="E119" s="55"/>
      <c r="F119" s="51">
        <f t="shared" ca="1" si="6"/>
        <v>0</v>
      </c>
      <c r="G119" s="51"/>
      <c r="H119" s="49">
        <f t="shared" ca="1" si="7"/>
        <v>0</v>
      </c>
      <c r="I119" s="53">
        <f t="shared" ca="1" si="4"/>
        <v>0</v>
      </c>
      <c r="J119" s="58"/>
      <c r="K119" s="58"/>
    </row>
    <row r="120" spans="1:11" s="41" customFormat="1" ht="28.5">
      <c r="A120" s="50">
        <v>2</v>
      </c>
      <c r="B120" s="51" t="str">
        <f ca="1">IF($A120="","",NumList())</f>
        <v>3.6</v>
      </c>
      <c r="C120" s="62" t="s">
        <v>424</v>
      </c>
      <c r="D120" s="55">
        <f t="shared" ca="1" si="5"/>
        <v>1</v>
      </c>
      <c r="E120" s="55"/>
      <c r="F120" s="51">
        <f t="shared" ca="1" si="6"/>
        <v>27</v>
      </c>
      <c r="G120" s="51" t="s">
        <v>8</v>
      </c>
      <c r="H120" s="49">
        <f t="shared" ca="1" si="7"/>
        <v>39</v>
      </c>
      <c r="I120" s="53">
        <f t="shared" ca="1" si="4"/>
        <v>1053</v>
      </c>
      <c r="J120" s="58"/>
      <c r="K120" s="58"/>
    </row>
    <row r="121" spans="1:11" s="41" customFormat="1" ht="15">
      <c r="A121" s="50" t="s">
        <v>516</v>
      </c>
      <c r="B121" s="51" t="str">
        <f>IF($A121="","",NumList())</f>
        <v/>
      </c>
      <c r="C121" s="62"/>
      <c r="D121" s="55">
        <f t="shared" ca="1" si="5"/>
        <v>0</v>
      </c>
      <c r="E121" s="55"/>
      <c r="F121" s="51">
        <f t="shared" ca="1" si="6"/>
        <v>0</v>
      </c>
      <c r="G121" s="51"/>
      <c r="H121" s="49">
        <f t="shared" ca="1" si="7"/>
        <v>0</v>
      </c>
      <c r="I121" s="53">
        <f t="shared" ca="1" si="4"/>
        <v>0</v>
      </c>
      <c r="J121" s="58"/>
      <c r="K121" s="58"/>
    </row>
    <row r="122" spans="1:11" s="41" customFormat="1" ht="28.5">
      <c r="A122" s="50">
        <v>2</v>
      </c>
      <c r="B122" s="51" t="str">
        <f ca="1">IF($A122="","",NumList())</f>
        <v>3.7</v>
      </c>
      <c r="C122" s="62" t="s">
        <v>423</v>
      </c>
      <c r="D122" s="55">
        <f t="shared" ca="1" si="5"/>
        <v>0</v>
      </c>
      <c r="E122" s="55"/>
      <c r="F122" s="51">
        <f t="shared" ca="1" si="6"/>
        <v>0</v>
      </c>
      <c r="G122" s="51"/>
      <c r="H122" s="49">
        <f t="shared" ca="1" si="7"/>
        <v>0</v>
      </c>
      <c r="I122" s="53">
        <f t="shared" ca="1" si="4"/>
        <v>0</v>
      </c>
      <c r="J122" s="58"/>
      <c r="K122" s="58"/>
    </row>
    <row r="123" spans="1:11" s="41" customFormat="1" ht="15">
      <c r="A123" s="50">
        <v>3</v>
      </c>
      <c r="B123" s="51" t="str">
        <f ca="1">IF($A123="","",NumList())</f>
        <v>3.7.1</v>
      </c>
      <c r="C123" s="61" t="s">
        <v>56</v>
      </c>
      <c r="D123" s="55">
        <f t="shared" ca="1" si="5"/>
        <v>1</v>
      </c>
      <c r="E123" s="55"/>
      <c r="F123" s="51">
        <f t="shared" ca="1" si="6"/>
        <v>74</v>
      </c>
      <c r="G123" s="51" t="s">
        <v>8</v>
      </c>
      <c r="H123" s="49">
        <f t="shared" ca="1" si="7"/>
        <v>88</v>
      </c>
      <c r="I123" s="53">
        <f t="shared" ca="1" si="4"/>
        <v>6512</v>
      </c>
      <c r="J123" s="58"/>
      <c r="K123" s="58"/>
    </row>
    <row r="124" spans="1:11" s="41" customFormat="1" ht="15">
      <c r="A124" s="50">
        <v>3</v>
      </c>
      <c r="B124" s="51" t="str">
        <f ca="1">IF($A124="","",NumList())</f>
        <v>3.7.2</v>
      </c>
      <c r="C124" s="61" t="s">
        <v>57</v>
      </c>
      <c r="D124" s="55">
        <f t="shared" ca="1" si="5"/>
        <v>1</v>
      </c>
      <c r="E124" s="55"/>
      <c r="F124" s="51">
        <f t="shared" ca="1" si="6"/>
        <v>89</v>
      </c>
      <c r="G124" s="51" t="s">
        <v>8</v>
      </c>
      <c r="H124" s="49">
        <f t="shared" ca="1" si="7"/>
        <v>57</v>
      </c>
      <c r="I124" s="53">
        <f t="shared" ca="1" si="4"/>
        <v>5073</v>
      </c>
      <c r="J124" s="58"/>
      <c r="K124" s="58"/>
    </row>
    <row r="125" spans="1:11" s="41" customFormat="1" ht="15">
      <c r="A125" s="50">
        <v>3</v>
      </c>
      <c r="B125" s="51" t="str">
        <f ca="1">IF($A125="","",NumList())</f>
        <v>3.7.3</v>
      </c>
      <c r="C125" s="61" t="s">
        <v>58</v>
      </c>
      <c r="D125" s="55">
        <f t="shared" ca="1" si="5"/>
        <v>1</v>
      </c>
      <c r="E125" s="55"/>
      <c r="F125" s="51">
        <f t="shared" ca="1" si="6"/>
        <v>93</v>
      </c>
      <c r="G125" s="51" t="s">
        <v>8</v>
      </c>
      <c r="H125" s="49">
        <f t="shared" ca="1" si="7"/>
        <v>66</v>
      </c>
      <c r="I125" s="53">
        <f t="shared" ca="1" si="4"/>
        <v>6138</v>
      </c>
      <c r="J125" s="58"/>
      <c r="K125" s="58"/>
    </row>
    <row r="126" spans="1:11" s="41" customFormat="1" ht="15">
      <c r="A126" s="50" t="s">
        <v>516</v>
      </c>
      <c r="B126" s="51" t="str">
        <f>IF($A126="","",NumList())</f>
        <v/>
      </c>
      <c r="C126" s="62"/>
      <c r="D126" s="55">
        <f t="shared" ca="1" si="5"/>
        <v>0</v>
      </c>
      <c r="E126" s="55"/>
      <c r="F126" s="51">
        <f t="shared" ca="1" si="6"/>
        <v>0</v>
      </c>
      <c r="G126" s="51"/>
      <c r="H126" s="49">
        <f t="shared" ca="1" si="7"/>
        <v>0</v>
      </c>
      <c r="I126" s="53">
        <f t="shared" ca="1" si="4"/>
        <v>0</v>
      </c>
      <c r="J126" s="58"/>
      <c r="K126" s="58"/>
    </row>
    <row r="127" spans="1:11" s="41" customFormat="1" ht="28.5">
      <c r="A127" s="50">
        <v>2</v>
      </c>
      <c r="B127" s="51" t="str">
        <f ca="1">IF($A127="","",NumList())</f>
        <v>3.8</v>
      </c>
      <c r="C127" s="62" t="s">
        <v>425</v>
      </c>
      <c r="D127" s="55">
        <f t="shared" ca="1" si="5"/>
        <v>1</v>
      </c>
      <c r="E127" s="55"/>
      <c r="F127" s="51">
        <f t="shared" ca="1" si="6"/>
        <v>16</v>
      </c>
      <c r="G127" s="51" t="s">
        <v>8</v>
      </c>
      <c r="H127" s="49">
        <f t="shared" ca="1" si="7"/>
        <v>5</v>
      </c>
      <c r="I127" s="53">
        <f t="shared" ca="1" si="4"/>
        <v>80</v>
      </c>
      <c r="J127" s="58"/>
      <c r="K127" s="58"/>
    </row>
    <row r="128" spans="1:11" s="41" customFormat="1" ht="15">
      <c r="A128" s="50" t="s">
        <v>516</v>
      </c>
      <c r="B128" s="51" t="str">
        <f>IF($A128="","",NumList())</f>
        <v/>
      </c>
      <c r="C128" s="80"/>
      <c r="D128" s="55">
        <f t="shared" ca="1" si="5"/>
        <v>0</v>
      </c>
      <c r="E128" s="55"/>
      <c r="F128" s="51">
        <f t="shared" ca="1" si="6"/>
        <v>0</v>
      </c>
      <c r="G128" s="51"/>
      <c r="H128" s="49">
        <f t="shared" ca="1" si="7"/>
        <v>0</v>
      </c>
      <c r="I128" s="53">
        <f t="shared" ca="1" si="4"/>
        <v>0</v>
      </c>
      <c r="J128" s="58"/>
      <c r="K128" s="58"/>
    </row>
    <row r="129" spans="1:11" s="41" customFormat="1" ht="45">
      <c r="A129" s="50">
        <v>1</v>
      </c>
      <c r="B129" s="51">
        <f ca="1">IF($A129="","",NumList())</f>
        <v>4</v>
      </c>
      <c r="C129" s="63" t="s">
        <v>603</v>
      </c>
      <c r="D129" s="55">
        <f t="shared" ca="1" si="5"/>
        <v>0</v>
      </c>
      <c r="E129" s="48"/>
      <c r="F129" s="51">
        <f t="shared" ca="1" si="6"/>
        <v>0</v>
      </c>
      <c r="G129" s="46"/>
      <c r="H129" s="49">
        <f t="shared" ca="1" si="7"/>
        <v>0</v>
      </c>
      <c r="I129" s="53">
        <f t="shared" ca="1" si="4"/>
        <v>0</v>
      </c>
      <c r="J129" s="58"/>
      <c r="K129" s="58"/>
    </row>
    <row r="130" spans="1:11" s="41" customFormat="1" ht="15">
      <c r="A130" s="50">
        <v>2</v>
      </c>
      <c r="B130" s="51" t="str">
        <f ca="1">IF($A130="","",NumList())</f>
        <v>4.1</v>
      </c>
      <c r="C130" s="81" t="s">
        <v>36</v>
      </c>
      <c r="D130" s="55">
        <f t="shared" ca="1" si="5"/>
        <v>0</v>
      </c>
      <c r="E130" s="55"/>
      <c r="F130" s="51">
        <f t="shared" ca="1" si="6"/>
        <v>0</v>
      </c>
      <c r="G130" s="51"/>
      <c r="H130" s="49">
        <f t="shared" ca="1" si="7"/>
        <v>0</v>
      </c>
      <c r="I130" s="53">
        <f t="shared" ca="1" si="4"/>
        <v>0</v>
      </c>
      <c r="J130" s="58"/>
      <c r="K130" s="58"/>
    </row>
    <row r="131" spans="1:11" s="41" customFormat="1" ht="15">
      <c r="A131" s="50">
        <v>3</v>
      </c>
      <c r="B131" s="51" t="str">
        <f ca="1">IF($A131="","",NumList())</f>
        <v>4.1.1</v>
      </c>
      <c r="C131" s="61" t="s">
        <v>56</v>
      </c>
      <c r="D131" s="55">
        <f t="shared" ca="1" si="5"/>
        <v>1</v>
      </c>
      <c r="E131" s="55"/>
      <c r="F131" s="51">
        <f t="shared" ca="1" si="6"/>
        <v>22</v>
      </c>
      <c r="G131" s="51" t="s">
        <v>8</v>
      </c>
      <c r="H131" s="49">
        <f t="shared" ca="1" si="7"/>
        <v>43</v>
      </c>
      <c r="I131" s="53">
        <f t="shared" ca="1" si="4"/>
        <v>946</v>
      </c>
      <c r="J131" s="58"/>
      <c r="K131" s="58"/>
    </row>
    <row r="132" spans="1:11" s="41" customFormat="1" ht="15">
      <c r="A132" s="50">
        <v>3</v>
      </c>
      <c r="B132" s="51" t="str">
        <f ca="1">IF($A132="","",NumList())</f>
        <v>4.1.2</v>
      </c>
      <c r="C132" s="61" t="s">
        <v>57</v>
      </c>
      <c r="D132" s="55">
        <f t="shared" ca="1" si="5"/>
        <v>1</v>
      </c>
      <c r="E132" s="55"/>
      <c r="F132" s="51">
        <f t="shared" ca="1" si="6"/>
        <v>53</v>
      </c>
      <c r="G132" s="51" t="s">
        <v>8</v>
      </c>
      <c r="H132" s="49">
        <f t="shared" ca="1" si="7"/>
        <v>95</v>
      </c>
      <c r="I132" s="53">
        <f t="shared" ca="1" si="4"/>
        <v>5035</v>
      </c>
      <c r="J132" s="58"/>
      <c r="K132" s="58"/>
    </row>
    <row r="133" spans="1:11" s="41" customFormat="1" ht="15">
      <c r="A133" s="50">
        <v>3</v>
      </c>
      <c r="B133" s="51" t="str">
        <f ca="1">IF($A133="","",NumList())</f>
        <v>4.1.3</v>
      </c>
      <c r="C133" s="61" t="s">
        <v>58</v>
      </c>
      <c r="D133" s="55">
        <f t="shared" ca="1" si="5"/>
        <v>1</v>
      </c>
      <c r="E133" s="55"/>
      <c r="F133" s="51">
        <f t="shared" ca="1" si="6"/>
        <v>100</v>
      </c>
      <c r="G133" s="51" t="s">
        <v>8</v>
      </c>
      <c r="H133" s="49">
        <f t="shared" ca="1" si="7"/>
        <v>60</v>
      </c>
      <c r="I133" s="53">
        <f t="shared" ca="1" si="4"/>
        <v>6000</v>
      </c>
      <c r="J133" s="58"/>
      <c r="K133" s="58"/>
    </row>
    <row r="134" spans="1:11" s="41" customFormat="1" ht="15">
      <c r="A134" s="50">
        <v>2</v>
      </c>
      <c r="B134" s="51" t="str">
        <f ca="1">IF($A134="","",NumList())</f>
        <v>4.2</v>
      </c>
      <c r="C134" s="81" t="s">
        <v>37</v>
      </c>
      <c r="D134" s="55">
        <f t="shared" ca="1" si="5"/>
        <v>0</v>
      </c>
      <c r="E134" s="55"/>
      <c r="F134" s="51">
        <f t="shared" ca="1" si="6"/>
        <v>0</v>
      </c>
      <c r="G134" s="51"/>
      <c r="H134" s="49">
        <f t="shared" ca="1" si="7"/>
        <v>0</v>
      </c>
      <c r="I134" s="53">
        <f t="shared" ca="1" si="4"/>
        <v>0</v>
      </c>
      <c r="J134" s="58"/>
      <c r="K134" s="58"/>
    </row>
    <row r="135" spans="1:11" s="41" customFormat="1" ht="15">
      <c r="A135" s="50">
        <v>3</v>
      </c>
      <c r="B135" s="51" t="str">
        <f ca="1">IF($A135="","",NumList())</f>
        <v>4.2.1</v>
      </c>
      <c r="C135" s="61" t="s">
        <v>56</v>
      </c>
      <c r="D135" s="55">
        <f t="shared" ca="1" si="5"/>
        <v>1</v>
      </c>
      <c r="E135" s="55"/>
      <c r="F135" s="51">
        <f t="shared" ca="1" si="6"/>
        <v>38</v>
      </c>
      <c r="G135" s="51" t="s">
        <v>8</v>
      </c>
      <c r="H135" s="49">
        <f t="shared" ca="1" si="7"/>
        <v>75</v>
      </c>
      <c r="I135" s="53">
        <f t="shared" ca="1" si="4"/>
        <v>2850</v>
      </c>
      <c r="J135" s="58"/>
      <c r="K135" s="58"/>
    </row>
    <row r="136" spans="1:11" s="41" customFormat="1" ht="15">
      <c r="A136" s="50">
        <v>3</v>
      </c>
      <c r="B136" s="51" t="str">
        <f ca="1">IF($A136="","",NumList())</f>
        <v>4.2.2</v>
      </c>
      <c r="C136" s="61" t="s">
        <v>57</v>
      </c>
      <c r="D136" s="55">
        <f t="shared" ca="1" si="5"/>
        <v>1</v>
      </c>
      <c r="E136" s="55"/>
      <c r="F136" s="51">
        <f t="shared" ca="1" si="6"/>
        <v>2</v>
      </c>
      <c r="G136" s="51" t="s">
        <v>8</v>
      </c>
      <c r="H136" s="49">
        <f t="shared" ca="1" si="7"/>
        <v>33</v>
      </c>
      <c r="I136" s="53">
        <f t="shared" ca="1" si="4"/>
        <v>66</v>
      </c>
      <c r="J136" s="58"/>
      <c r="K136" s="58"/>
    </row>
    <row r="137" spans="1:11" s="41" customFormat="1" ht="15">
      <c r="A137" s="50">
        <v>3</v>
      </c>
      <c r="B137" s="51" t="str">
        <f ca="1">IF($A137="","",NumList())</f>
        <v>4.2.3</v>
      </c>
      <c r="C137" s="61" t="s">
        <v>58</v>
      </c>
      <c r="D137" s="55">
        <f t="shared" ca="1" si="5"/>
        <v>1</v>
      </c>
      <c r="E137" s="55"/>
      <c r="F137" s="51">
        <f t="shared" ca="1" si="6"/>
        <v>37</v>
      </c>
      <c r="G137" s="51" t="s">
        <v>8</v>
      </c>
      <c r="H137" s="49">
        <f t="shared" ca="1" si="7"/>
        <v>69</v>
      </c>
      <c r="I137" s="53">
        <f t="shared" ca="1" si="4"/>
        <v>2553</v>
      </c>
      <c r="J137" s="58"/>
      <c r="K137" s="58"/>
    </row>
    <row r="138" spans="1:11" s="41" customFormat="1" ht="15">
      <c r="A138" s="50">
        <v>2</v>
      </c>
      <c r="B138" s="51" t="str">
        <f ca="1">IF($A138="","",NumList())</f>
        <v>4.3</v>
      </c>
      <c r="C138" s="81" t="s">
        <v>272</v>
      </c>
      <c r="D138" s="55">
        <f t="shared" ca="1" si="5"/>
        <v>0</v>
      </c>
      <c r="E138" s="55"/>
      <c r="F138" s="51">
        <f t="shared" ca="1" si="6"/>
        <v>0</v>
      </c>
      <c r="G138" s="51"/>
      <c r="H138" s="49">
        <f t="shared" ca="1" si="7"/>
        <v>0</v>
      </c>
      <c r="I138" s="53">
        <f t="shared" ca="1" si="4"/>
        <v>0</v>
      </c>
      <c r="J138" s="58"/>
      <c r="K138" s="58"/>
    </row>
    <row r="139" spans="1:11" s="41" customFormat="1" ht="15">
      <c r="A139" s="50">
        <v>3</v>
      </c>
      <c r="B139" s="51" t="str">
        <f ca="1">IF($A139="","",NumList())</f>
        <v>4.3.1</v>
      </c>
      <c r="C139" s="61" t="s">
        <v>56</v>
      </c>
      <c r="D139" s="55">
        <f t="shared" ca="1" si="5"/>
        <v>1</v>
      </c>
      <c r="E139" s="55"/>
      <c r="F139" s="51">
        <f t="shared" ca="1" si="6"/>
        <v>25</v>
      </c>
      <c r="G139" s="51" t="s">
        <v>8</v>
      </c>
      <c r="H139" s="49">
        <f t="shared" ca="1" si="7"/>
        <v>79</v>
      </c>
      <c r="I139" s="53">
        <f t="shared" ca="1" si="4"/>
        <v>1975</v>
      </c>
      <c r="J139" s="58"/>
      <c r="K139" s="58"/>
    </row>
    <row r="140" spans="1:11" s="41" customFormat="1" ht="15">
      <c r="A140" s="50">
        <v>3</v>
      </c>
      <c r="B140" s="51" t="str">
        <f ca="1">IF($A140="","",NumList())</f>
        <v>4.3.2</v>
      </c>
      <c r="C140" s="61" t="s">
        <v>57</v>
      </c>
      <c r="D140" s="55">
        <f t="shared" ca="1" si="5"/>
        <v>1</v>
      </c>
      <c r="E140" s="55"/>
      <c r="F140" s="51">
        <f t="shared" ca="1" si="6"/>
        <v>40</v>
      </c>
      <c r="G140" s="51" t="s">
        <v>8</v>
      </c>
      <c r="H140" s="49">
        <f t="shared" ca="1" si="7"/>
        <v>9</v>
      </c>
      <c r="I140" s="53">
        <f t="shared" ca="1" si="4"/>
        <v>360</v>
      </c>
      <c r="J140" s="58"/>
      <c r="K140" s="58"/>
    </row>
    <row r="141" spans="1:11" s="41" customFormat="1" ht="15">
      <c r="A141" s="50">
        <v>3</v>
      </c>
      <c r="B141" s="51" t="str">
        <f ca="1">IF($A141="","",NumList())</f>
        <v>4.3.3</v>
      </c>
      <c r="C141" s="61" t="s">
        <v>58</v>
      </c>
      <c r="D141" s="55">
        <f t="shared" ca="1" si="5"/>
        <v>1</v>
      </c>
      <c r="E141" s="55"/>
      <c r="F141" s="51">
        <f t="shared" ca="1" si="6"/>
        <v>95</v>
      </c>
      <c r="G141" s="51" t="s">
        <v>8</v>
      </c>
      <c r="H141" s="49">
        <f t="shared" ca="1" si="7"/>
        <v>44</v>
      </c>
      <c r="I141" s="53">
        <f t="shared" ca="1" si="4"/>
        <v>4180</v>
      </c>
      <c r="J141" s="58"/>
      <c r="K141" s="58"/>
    </row>
    <row r="142" spans="1:11" s="41" customFormat="1" ht="15">
      <c r="A142" s="50" t="s">
        <v>516</v>
      </c>
      <c r="B142" s="51" t="str">
        <f>IF($A142="","",NumList())</f>
        <v/>
      </c>
      <c r="C142" s="61"/>
      <c r="D142" s="55">
        <f t="shared" ca="1" si="5"/>
        <v>0</v>
      </c>
      <c r="E142" s="55"/>
      <c r="F142" s="51">
        <f t="shared" ca="1" si="6"/>
        <v>0</v>
      </c>
      <c r="G142" s="51"/>
      <c r="H142" s="49">
        <f t="shared" ca="1" si="7"/>
        <v>0</v>
      </c>
      <c r="I142" s="53">
        <f t="shared" ca="1" si="4"/>
        <v>0</v>
      </c>
      <c r="J142" s="58"/>
      <c r="K142" s="58"/>
    </row>
    <row r="143" spans="1:11" s="41" customFormat="1" ht="15" customHeight="1">
      <c r="A143" s="50">
        <v>1</v>
      </c>
      <c r="B143" s="51">
        <f ca="1">IF($A143="","",NumList())</f>
        <v>5</v>
      </c>
      <c r="C143" s="63" t="s">
        <v>230</v>
      </c>
      <c r="D143" s="55">
        <f t="shared" ca="1" si="5"/>
        <v>0</v>
      </c>
      <c r="E143" s="48"/>
      <c r="F143" s="51">
        <f t="shared" ca="1" si="6"/>
        <v>0</v>
      </c>
      <c r="G143" s="46"/>
      <c r="H143" s="49">
        <f t="shared" ca="1" si="7"/>
        <v>0</v>
      </c>
      <c r="I143" s="53">
        <f t="shared" ca="1" si="4"/>
        <v>0</v>
      </c>
    </row>
    <row r="144" spans="1:11" s="41" customFormat="1" ht="15" customHeight="1">
      <c r="A144" s="50">
        <v>2</v>
      </c>
      <c r="B144" s="51" t="str">
        <f ca="1">IF($A144="","",NumList())</f>
        <v>5.1</v>
      </c>
      <c r="C144" s="62" t="s">
        <v>426</v>
      </c>
      <c r="D144" s="55">
        <f t="shared" ca="1" si="5"/>
        <v>0</v>
      </c>
      <c r="E144" s="55"/>
      <c r="F144" s="51">
        <f t="shared" ca="1" si="6"/>
        <v>0</v>
      </c>
      <c r="G144" s="51"/>
      <c r="H144" s="49">
        <f t="shared" ca="1" si="7"/>
        <v>0</v>
      </c>
      <c r="I144" s="53">
        <f t="shared" ca="1" si="4"/>
        <v>0</v>
      </c>
    </row>
    <row r="145" spans="1:11" s="41" customFormat="1" ht="15" customHeight="1">
      <c r="A145" s="50">
        <v>3</v>
      </c>
      <c r="B145" s="51" t="str">
        <f ca="1">IF($A145="","",NumList())</f>
        <v>5.1.1</v>
      </c>
      <c r="C145" s="61" t="s">
        <v>427</v>
      </c>
      <c r="D145" s="55">
        <f t="shared" ca="1" si="5"/>
        <v>1</v>
      </c>
      <c r="E145" s="55"/>
      <c r="F145" s="51">
        <f t="shared" ca="1" si="6"/>
        <v>7</v>
      </c>
      <c r="G145" s="51" t="s">
        <v>8</v>
      </c>
      <c r="H145" s="49">
        <f t="shared" ca="1" si="7"/>
        <v>74</v>
      </c>
      <c r="I145" s="53">
        <f t="shared" ca="1" si="4"/>
        <v>518</v>
      </c>
      <c r="J145" s="58"/>
    </row>
    <row r="146" spans="1:11" s="41" customFormat="1" ht="15" customHeight="1">
      <c r="A146" s="50">
        <v>3</v>
      </c>
      <c r="B146" s="51" t="str">
        <f ca="1">IF($A146="","",NumList())</f>
        <v>5.1.2</v>
      </c>
      <c r="C146" s="61" t="s">
        <v>428</v>
      </c>
      <c r="D146" s="55">
        <f t="shared" ca="1" si="5"/>
        <v>1</v>
      </c>
      <c r="E146" s="55"/>
      <c r="F146" s="51">
        <f t="shared" ca="1" si="6"/>
        <v>40</v>
      </c>
      <c r="G146" s="51" t="s">
        <v>8</v>
      </c>
      <c r="H146" s="49">
        <f t="shared" ca="1" si="7"/>
        <v>40</v>
      </c>
      <c r="I146" s="53">
        <f t="shared" ca="1" si="4"/>
        <v>1600</v>
      </c>
      <c r="J146" s="58"/>
    </row>
    <row r="147" spans="1:11" s="41" customFormat="1" ht="15" customHeight="1">
      <c r="A147" s="50">
        <v>3</v>
      </c>
      <c r="B147" s="51" t="str">
        <f ca="1">IF($A147="","",NumList())</f>
        <v>5.1.3</v>
      </c>
      <c r="C147" s="61" t="s">
        <v>429</v>
      </c>
      <c r="D147" s="55">
        <f t="shared" ca="1" si="5"/>
        <v>1</v>
      </c>
      <c r="E147" s="55"/>
      <c r="F147" s="51">
        <f t="shared" ca="1" si="6"/>
        <v>18</v>
      </c>
      <c r="G147" s="51" t="s">
        <v>8</v>
      </c>
      <c r="H147" s="49">
        <f t="shared" ca="1" si="7"/>
        <v>41</v>
      </c>
      <c r="I147" s="53">
        <f t="shared" ca="1" si="4"/>
        <v>738</v>
      </c>
      <c r="J147" s="58"/>
    </row>
    <row r="148" spans="1:11" s="93" customFormat="1" ht="30" customHeight="1">
      <c r="A148" s="50">
        <v>3</v>
      </c>
      <c r="B148" s="51" t="str">
        <f ca="1">IF($A148="","",NumList())</f>
        <v>5.1.4</v>
      </c>
      <c r="C148" s="62" t="s">
        <v>325</v>
      </c>
      <c r="D148" s="55">
        <f t="shared" ca="1" si="5"/>
        <v>1</v>
      </c>
      <c r="E148" s="91"/>
      <c r="F148" s="51">
        <f t="shared" ca="1" si="6"/>
        <v>95</v>
      </c>
      <c r="G148" s="92" t="s">
        <v>8</v>
      </c>
      <c r="H148" s="49">
        <f t="shared" ca="1" si="7"/>
        <v>91</v>
      </c>
      <c r="I148" s="53">
        <f t="shared" ca="1" si="4"/>
        <v>8645</v>
      </c>
    </row>
    <row r="149" spans="1:11" s="41" customFormat="1" ht="15" customHeight="1">
      <c r="A149" s="50" t="s">
        <v>516</v>
      </c>
      <c r="B149" s="51" t="str">
        <f>IF($A149="","",NumList())</f>
        <v/>
      </c>
      <c r="C149" s="61"/>
      <c r="D149" s="55">
        <f t="shared" ca="1" si="5"/>
        <v>0</v>
      </c>
      <c r="E149" s="55"/>
      <c r="F149" s="51">
        <f t="shared" ca="1" si="6"/>
        <v>0</v>
      </c>
      <c r="G149" s="51"/>
      <c r="H149" s="49">
        <f t="shared" ca="1" si="7"/>
        <v>0</v>
      </c>
      <c r="I149" s="53">
        <f t="shared" ca="1" si="4"/>
        <v>0</v>
      </c>
      <c r="J149" s="58"/>
      <c r="K149" s="58"/>
    </row>
    <row r="150" spans="1:11" s="41" customFormat="1" ht="15">
      <c r="A150" s="50">
        <v>2</v>
      </c>
      <c r="B150" s="51" t="str">
        <f ca="1">IF($A150="","",NumList())</f>
        <v>5.2</v>
      </c>
      <c r="C150" s="62" t="s">
        <v>39</v>
      </c>
      <c r="D150" s="55">
        <f t="shared" ca="1" si="5"/>
        <v>0</v>
      </c>
      <c r="E150" s="55"/>
      <c r="F150" s="51">
        <f t="shared" ca="1" si="6"/>
        <v>0</v>
      </c>
      <c r="G150" s="51"/>
      <c r="H150" s="49">
        <f t="shared" ca="1" si="7"/>
        <v>0</v>
      </c>
      <c r="I150" s="53">
        <f t="shared" ca="1" si="4"/>
        <v>0</v>
      </c>
      <c r="J150" s="58"/>
      <c r="K150" s="58"/>
    </row>
    <row r="151" spans="1:11" s="41" customFormat="1" ht="15">
      <c r="A151" s="50">
        <v>3</v>
      </c>
      <c r="B151" s="51" t="str">
        <f ca="1">IF($A151="","",NumList())</f>
        <v>5.2.1</v>
      </c>
      <c r="C151" s="61" t="s">
        <v>35</v>
      </c>
      <c r="D151" s="55">
        <f t="shared" ca="1" si="5"/>
        <v>1</v>
      </c>
      <c r="E151" s="55"/>
      <c r="F151" s="51">
        <f t="shared" ca="1" si="6"/>
        <v>82</v>
      </c>
      <c r="G151" s="51" t="s">
        <v>8</v>
      </c>
      <c r="H151" s="49">
        <f t="shared" ca="1" si="7"/>
        <v>3</v>
      </c>
      <c r="I151" s="53">
        <f t="shared" ca="1" si="4"/>
        <v>246</v>
      </c>
      <c r="J151" s="58"/>
      <c r="K151" s="58"/>
    </row>
    <row r="152" spans="1:11" s="41" customFormat="1" ht="15">
      <c r="A152" s="50">
        <v>3</v>
      </c>
      <c r="B152" s="51" t="str">
        <f ca="1">IF($A152="","",NumList())</f>
        <v>5.2.2</v>
      </c>
      <c r="C152" s="61" t="s">
        <v>269</v>
      </c>
      <c r="D152" s="55">
        <f t="shared" ca="1" si="5"/>
        <v>1</v>
      </c>
      <c r="E152" s="55"/>
      <c r="F152" s="51">
        <f t="shared" ca="1" si="6"/>
        <v>41</v>
      </c>
      <c r="G152" s="51" t="s">
        <v>8</v>
      </c>
      <c r="H152" s="49">
        <f t="shared" ca="1" si="7"/>
        <v>85</v>
      </c>
      <c r="I152" s="53">
        <f t="shared" ref="I152:I171" ca="1" si="8">F152*H152</f>
        <v>3485</v>
      </c>
      <c r="J152" s="58"/>
      <c r="K152" s="58"/>
    </row>
    <row r="153" spans="1:11" s="41" customFormat="1" ht="15">
      <c r="A153" s="50">
        <v>3</v>
      </c>
      <c r="B153" s="51" t="str">
        <f ca="1">IF($A153="","",NumList())</f>
        <v>5.2.3</v>
      </c>
      <c r="C153" s="61" t="s">
        <v>270</v>
      </c>
      <c r="D153" s="55">
        <f t="shared" ca="1" si="5"/>
        <v>1</v>
      </c>
      <c r="E153" s="55"/>
      <c r="F153" s="51">
        <f t="shared" ca="1" si="6"/>
        <v>5</v>
      </c>
      <c r="G153" s="51" t="s">
        <v>8</v>
      </c>
      <c r="H153" s="49">
        <f t="shared" ca="1" si="7"/>
        <v>44</v>
      </c>
      <c r="I153" s="53">
        <f t="shared" ca="1" si="8"/>
        <v>220</v>
      </c>
      <c r="J153" s="58"/>
      <c r="K153" s="58"/>
    </row>
    <row r="154" spans="1:11" s="41" customFormat="1" ht="15">
      <c r="A154" s="50">
        <v>3</v>
      </c>
      <c r="B154" s="51" t="str">
        <f ca="1">IF($A154="","",NumList())</f>
        <v>5.2.4</v>
      </c>
      <c r="C154" s="61" t="s">
        <v>271</v>
      </c>
      <c r="D154" s="55">
        <f t="shared" ca="1" si="5"/>
        <v>1</v>
      </c>
      <c r="E154" s="55"/>
      <c r="F154" s="51">
        <f t="shared" ca="1" si="6"/>
        <v>38</v>
      </c>
      <c r="G154" s="51" t="s">
        <v>8</v>
      </c>
      <c r="H154" s="49">
        <f t="shared" ca="1" si="7"/>
        <v>55</v>
      </c>
      <c r="I154" s="53">
        <f t="shared" ca="1" si="8"/>
        <v>2090</v>
      </c>
    </row>
    <row r="155" spans="1:11" s="58" customFormat="1" ht="15">
      <c r="A155" s="50" t="s">
        <v>516</v>
      </c>
      <c r="B155" s="51" t="str">
        <f>IF($A155="","",NumList())</f>
        <v/>
      </c>
      <c r="C155" s="61"/>
      <c r="D155" s="55">
        <f t="shared" ca="1" si="5"/>
        <v>0</v>
      </c>
      <c r="E155" s="55"/>
      <c r="F155" s="51">
        <f t="shared" ca="1" si="6"/>
        <v>0</v>
      </c>
      <c r="G155" s="51"/>
      <c r="H155" s="49">
        <f t="shared" ca="1" si="7"/>
        <v>0</v>
      </c>
      <c r="I155" s="53">
        <f t="shared" ca="1" si="8"/>
        <v>0</v>
      </c>
    </row>
    <row r="156" spans="1:11" s="58" customFormat="1" ht="15">
      <c r="A156" s="50">
        <v>2</v>
      </c>
      <c r="B156" s="51" t="str">
        <f ca="1">IF($A156="","",NumList())</f>
        <v>5.3</v>
      </c>
      <c r="C156" s="62" t="s">
        <v>49</v>
      </c>
      <c r="D156" s="55">
        <f t="shared" ref="D156:D175" ca="1" si="9">IF(ISTEXT(G156),RANDBETWEEN(1,1),0)</f>
        <v>0</v>
      </c>
      <c r="E156" s="55"/>
      <c r="F156" s="51">
        <f t="shared" ref="F156:F172" ca="1" si="10">IF(ISTEXT(G156),RANDBETWEEN(1,100),0)</f>
        <v>0</v>
      </c>
      <c r="G156" s="51"/>
      <c r="H156" s="49">
        <f t="shared" ref="H156:H172" ca="1" si="11">IF(ISTEXT(G156),RANDBETWEEN(1,100),0)</f>
        <v>0</v>
      </c>
      <c r="I156" s="53">
        <f t="shared" ca="1" si="8"/>
        <v>0</v>
      </c>
    </row>
    <row r="157" spans="1:11" s="58" customFormat="1" ht="15">
      <c r="A157" s="50">
        <v>3</v>
      </c>
      <c r="B157" s="51" t="str">
        <f ca="1">IF($A157="","",NumList())</f>
        <v>5.3.1</v>
      </c>
      <c r="C157" s="62" t="s">
        <v>60</v>
      </c>
      <c r="D157" s="55">
        <f t="shared" ca="1" si="9"/>
        <v>0</v>
      </c>
      <c r="E157" s="55"/>
      <c r="F157" s="51">
        <f t="shared" ca="1" si="10"/>
        <v>0</v>
      </c>
      <c r="G157" s="51"/>
      <c r="H157" s="49">
        <f t="shared" ca="1" si="11"/>
        <v>0</v>
      </c>
      <c r="I157" s="53">
        <f t="shared" ca="1" si="8"/>
        <v>0</v>
      </c>
    </row>
    <row r="158" spans="1:11" s="58" customFormat="1" ht="15">
      <c r="A158" s="50">
        <v>4</v>
      </c>
      <c r="B158" s="51" t="str">
        <f ca="1">IF($A158="","",NumList())</f>
        <v>5.3.1.1</v>
      </c>
      <c r="C158" s="62" t="s">
        <v>61</v>
      </c>
      <c r="D158" s="55">
        <f t="shared" ca="1" si="9"/>
        <v>1</v>
      </c>
      <c r="E158" s="55"/>
      <c r="F158" s="51">
        <f t="shared" ca="1" si="10"/>
        <v>95</v>
      </c>
      <c r="G158" s="51" t="s">
        <v>8</v>
      </c>
      <c r="H158" s="49">
        <f t="shared" ca="1" si="11"/>
        <v>7</v>
      </c>
      <c r="I158" s="53">
        <f t="shared" ca="1" si="8"/>
        <v>665</v>
      </c>
    </row>
    <row r="159" spans="1:11" s="58" customFormat="1" ht="15">
      <c r="A159" s="50">
        <v>4</v>
      </c>
      <c r="B159" s="51" t="str">
        <f ca="1">IF($A159="","",NumList())</f>
        <v>5.3.1.2</v>
      </c>
      <c r="C159" s="62" t="s">
        <v>62</v>
      </c>
      <c r="D159" s="55">
        <f t="shared" ca="1" si="9"/>
        <v>1</v>
      </c>
      <c r="E159" s="55"/>
      <c r="F159" s="51">
        <f t="shared" ca="1" si="10"/>
        <v>42</v>
      </c>
      <c r="G159" s="51" t="s">
        <v>8</v>
      </c>
      <c r="H159" s="49">
        <f t="shared" ca="1" si="11"/>
        <v>33</v>
      </c>
      <c r="I159" s="53">
        <f t="shared" ca="1" si="8"/>
        <v>1386</v>
      </c>
    </row>
    <row r="160" spans="1:11" s="58" customFormat="1" ht="15">
      <c r="A160" s="50">
        <v>4</v>
      </c>
      <c r="B160" s="51" t="str">
        <f ca="1">IF($A160="","",NumList())</f>
        <v>5.3.1.3</v>
      </c>
      <c r="C160" s="62" t="s">
        <v>262</v>
      </c>
      <c r="D160" s="55">
        <f t="shared" ca="1" si="9"/>
        <v>1</v>
      </c>
      <c r="E160" s="55"/>
      <c r="F160" s="51">
        <f t="shared" ca="1" si="10"/>
        <v>4</v>
      </c>
      <c r="G160" s="51" t="s">
        <v>8</v>
      </c>
      <c r="H160" s="49">
        <f t="shared" ca="1" si="11"/>
        <v>58</v>
      </c>
      <c r="I160" s="53">
        <f t="shared" ca="1" si="8"/>
        <v>232</v>
      </c>
    </row>
    <row r="161" spans="1:11" s="58" customFormat="1" ht="15">
      <c r="A161" s="50">
        <v>3</v>
      </c>
      <c r="B161" s="51" t="str">
        <f ca="1">IF($A161="","",NumList())</f>
        <v>5.3.2</v>
      </c>
      <c r="C161" s="62" t="s">
        <v>63</v>
      </c>
      <c r="D161" s="55">
        <f t="shared" ca="1" si="9"/>
        <v>0</v>
      </c>
      <c r="E161" s="55"/>
      <c r="F161" s="51">
        <f t="shared" ca="1" si="10"/>
        <v>0</v>
      </c>
      <c r="G161" s="51"/>
      <c r="H161" s="49">
        <f t="shared" ca="1" si="11"/>
        <v>0</v>
      </c>
      <c r="I161" s="53">
        <f t="shared" ca="1" si="8"/>
        <v>0</v>
      </c>
    </row>
    <row r="162" spans="1:11" s="58" customFormat="1" ht="15">
      <c r="A162" s="50">
        <v>4</v>
      </c>
      <c r="B162" s="51" t="str">
        <f ca="1">IF($A162="","",NumList())</f>
        <v>5.3.2.1</v>
      </c>
      <c r="C162" s="62" t="s">
        <v>61</v>
      </c>
      <c r="D162" s="55">
        <f t="shared" ca="1" si="9"/>
        <v>1</v>
      </c>
      <c r="E162" s="55"/>
      <c r="F162" s="51">
        <f t="shared" ca="1" si="10"/>
        <v>29</v>
      </c>
      <c r="G162" s="51" t="s">
        <v>8</v>
      </c>
      <c r="H162" s="49">
        <f t="shared" ca="1" si="11"/>
        <v>85</v>
      </c>
      <c r="I162" s="53">
        <f t="shared" ca="1" si="8"/>
        <v>2465</v>
      </c>
    </row>
    <row r="163" spans="1:11" s="58" customFormat="1" ht="15">
      <c r="A163" s="50">
        <v>4</v>
      </c>
      <c r="B163" s="51" t="str">
        <f ca="1">IF($A163="","",NumList())</f>
        <v>5.3.2.2</v>
      </c>
      <c r="C163" s="62" t="s">
        <v>64</v>
      </c>
      <c r="D163" s="55">
        <f t="shared" ca="1" si="9"/>
        <v>1</v>
      </c>
      <c r="E163" s="55"/>
      <c r="F163" s="51">
        <f t="shared" ca="1" si="10"/>
        <v>8</v>
      </c>
      <c r="G163" s="51" t="s">
        <v>8</v>
      </c>
      <c r="H163" s="49">
        <f t="shared" ca="1" si="11"/>
        <v>61</v>
      </c>
      <c r="I163" s="53">
        <f t="shared" ca="1" si="8"/>
        <v>488</v>
      </c>
    </row>
    <row r="164" spans="1:11" s="58" customFormat="1" ht="15">
      <c r="A164" s="50">
        <v>4</v>
      </c>
      <c r="B164" s="51" t="str">
        <f ca="1">IF($A164="","",NumList())</f>
        <v>5.3.2.3</v>
      </c>
      <c r="C164" s="62" t="s">
        <v>262</v>
      </c>
      <c r="D164" s="55">
        <f t="shared" ca="1" si="9"/>
        <v>1</v>
      </c>
      <c r="E164" s="55"/>
      <c r="F164" s="51">
        <f t="shared" ca="1" si="10"/>
        <v>9</v>
      </c>
      <c r="G164" s="51" t="s">
        <v>8</v>
      </c>
      <c r="H164" s="49">
        <f t="shared" ca="1" si="11"/>
        <v>88</v>
      </c>
      <c r="I164" s="53">
        <f t="shared" ca="1" si="8"/>
        <v>792</v>
      </c>
    </row>
    <row r="165" spans="1:11" s="58" customFormat="1" ht="15">
      <c r="A165" s="50" t="s">
        <v>516</v>
      </c>
      <c r="B165" s="51" t="str">
        <f>IF($A165="","",NumList())</f>
        <v/>
      </c>
      <c r="C165" s="62"/>
      <c r="D165" s="55">
        <f t="shared" ca="1" si="9"/>
        <v>0</v>
      </c>
      <c r="E165" s="55"/>
      <c r="F165" s="51">
        <f t="shared" ca="1" si="10"/>
        <v>0</v>
      </c>
      <c r="G165" s="51"/>
      <c r="H165" s="49">
        <f t="shared" ca="1" si="11"/>
        <v>0</v>
      </c>
      <c r="I165" s="53">
        <f t="shared" ca="1" si="8"/>
        <v>0</v>
      </c>
    </row>
    <row r="166" spans="1:11" s="58" customFormat="1" ht="15">
      <c r="A166" s="50">
        <v>1</v>
      </c>
      <c r="B166" s="51">
        <f ca="1">IF($A166="","",NumList())</f>
        <v>6</v>
      </c>
      <c r="C166" s="69" t="s">
        <v>7</v>
      </c>
      <c r="D166" s="55">
        <f t="shared" ca="1" si="9"/>
        <v>0</v>
      </c>
      <c r="E166" s="55"/>
      <c r="F166" s="51">
        <f t="shared" ca="1" si="10"/>
        <v>0</v>
      </c>
      <c r="G166" s="51"/>
      <c r="H166" s="49">
        <f t="shared" ca="1" si="11"/>
        <v>0</v>
      </c>
      <c r="I166" s="53">
        <f t="shared" ca="1" si="8"/>
        <v>0</v>
      </c>
    </row>
    <row r="167" spans="1:11" s="58" customFormat="1" ht="28.5">
      <c r="A167" s="50">
        <v>2</v>
      </c>
      <c r="B167" s="51" t="str">
        <f ca="1">IF($A167="","",NumList())</f>
        <v>6.1</v>
      </c>
      <c r="C167" s="62" t="s">
        <v>414</v>
      </c>
      <c r="D167" s="55">
        <f t="shared" ca="1" si="9"/>
        <v>1</v>
      </c>
      <c r="E167" s="55"/>
      <c r="F167" s="51">
        <f t="shared" ca="1" si="10"/>
        <v>99</v>
      </c>
      <c r="G167" s="51" t="s">
        <v>6</v>
      </c>
      <c r="H167" s="49">
        <f t="shared" ca="1" si="11"/>
        <v>81</v>
      </c>
      <c r="I167" s="53">
        <f t="shared" ca="1" si="8"/>
        <v>8019</v>
      </c>
    </row>
    <row r="168" spans="1:11" s="58" customFormat="1" ht="29.25">
      <c r="A168" s="50">
        <v>2</v>
      </c>
      <c r="B168" s="51" t="str">
        <f ca="1">IF($A168="","",NumList())</f>
        <v>6.2</v>
      </c>
      <c r="C168" s="62" t="s">
        <v>593</v>
      </c>
      <c r="D168" s="55">
        <f t="shared" ca="1" si="9"/>
        <v>1</v>
      </c>
      <c r="E168" s="55"/>
      <c r="F168" s="51">
        <f t="shared" ca="1" si="10"/>
        <v>70</v>
      </c>
      <c r="G168" s="51" t="s">
        <v>0</v>
      </c>
      <c r="H168" s="49">
        <f t="shared" ca="1" si="11"/>
        <v>19</v>
      </c>
      <c r="I168" s="53">
        <f t="shared" ca="1" si="8"/>
        <v>1330</v>
      </c>
    </row>
    <row r="169" spans="1:11" s="58" customFormat="1" ht="15">
      <c r="A169" s="50">
        <v>2</v>
      </c>
      <c r="B169" s="51" t="str">
        <f ca="1">IF($A169="","",NumList())</f>
        <v>6.3</v>
      </c>
      <c r="C169" s="62" t="s">
        <v>284</v>
      </c>
      <c r="D169" s="55">
        <f t="shared" ca="1" si="9"/>
        <v>1</v>
      </c>
      <c r="E169" s="55"/>
      <c r="F169" s="51">
        <f t="shared" ca="1" si="10"/>
        <v>38</v>
      </c>
      <c r="G169" s="51" t="s">
        <v>285</v>
      </c>
      <c r="H169" s="49">
        <f t="shared" ca="1" si="11"/>
        <v>52</v>
      </c>
      <c r="I169" s="53">
        <f t="shared" ca="1" si="8"/>
        <v>1976</v>
      </c>
    </row>
    <row r="170" spans="1:11" s="41" customFormat="1" ht="15">
      <c r="A170" s="50" t="s">
        <v>516</v>
      </c>
      <c r="B170" s="51" t="str">
        <f>IF($A170="","",NumList())</f>
        <v/>
      </c>
      <c r="C170" s="61"/>
      <c r="D170" s="55">
        <f t="shared" ca="1" si="9"/>
        <v>0</v>
      </c>
      <c r="E170" s="55"/>
      <c r="F170" s="51">
        <f t="shared" ca="1" si="10"/>
        <v>0</v>
      </c>
      <c r="G170" s="51"/>
      <c r="H170" s="49">
        <f t="shared" ca="1" si="11"/>
        <v>0</v>
      </c>
      <c r="I170" s="53">
        <f t="shared" ca="1" si="8"/>
        <v>0</v>
      </c>
      <c r="J170" s="58"/>
      <c r="K170" s="58"/>
    </row>
    <row r="171" spans="1:11" s="41" customFormat="1" ht="15">
      <c r="A171" s="50">
        <v>1</v>
      </c>
      <c r="B171" s="51">
        <f ca="1">IF($A171="","",NumList())</f>
        <v>7</v>
      </c>
      <c r="C171" s="52" t="s">
        <v>11</v>
      </c>
      <c r="D171" s="55">
        <f t="shared" ca="1" si="9"/>
        <v>0</v>
      </c>
      <c r="E171" s="48"/>
      <c r="F171" s="51">
        <f t="shared" ca="1" si="10"/>
        <v>0</v>
      </c>
      <c r="G171" s="46"/>
      <c r="H171" s="49">
        <f t="shared" ca="1" si="11"/>
        <v>0</v>
      </c>
      <c r="I171" s="53">
        <f t="shared" ca="1" si="8"/>
        <v>0</v>
      </c>
    </row>
    <row r="172" spans="1:11" s="41" customFormat="1" ht="43.5" customHeight="1">
      <c r="A172" s="50">
        <v>2</v>
      </c>
      <c r="B172" s="51" t="str">
        <f ca="1">IF($A172="","",NumList())</f>
        <v>7.1</v>
      </c>
      <c r="C172" s="62" t="s">
        <v>605</v>
      </c>
      <c r="D172" s="55">
        <f t="shared" ca="1" si="9"/>
        <v>1</v>
      </c>
      <c r="E172" s="55"/>
      <c r="F172" s="51">
        <f t="shared" ca="1" si="10"/>
        <v>9</v>
      </c>
      <c r="G172" s="51" t="s">
        <v>0</v>
      </c>
      <c r="H172" s="49">
        <f t="shared" ca="1" si="11"/>
        <v>51</v>
      </c>
      <c r="I172" s="53">
        <f ca="1">F172*H172</f>
        <v>459</v>
      </c>
      <c r="J172" s="58"/>
      <c r="K172" s="58"/>
    </row>
    <row r="173" spans="1:11" s="41" customFormat="1" ht="15">
      <c r="A173" s="50" t="s">
        <v>516</v>
      </c>
      <c r="B173" s="51" t="str">
        <f>IF($A173="","",NumList())</f>
        <v/>
      </c>
      <c r="C173" s="62"/>
      <c r="D173" s="55">
        <f t="shared" ca="1" si="9"/>
        <v>0</v>
      </c>
      <c r="E173" s="55"/>
      <c r="F173" s="55"/>
      <c r="G173" s="51"/>
      <c r="H173" s="78"/>
      <c r="I173" s="53">
        <f>F173*H173</f>
        <v>0</v>
      </c>
      <c r="J173" s="58"/>
      <c r="K173" s="58"/>
    </row>
    <row r="174" spans="1:11" s="41" customFormat="1" ht="15">
      <c r="A174" s="50">
        <v>1</v>
      </c>
      <c r="B174" s="51">
        <f ca="1">IF($A174="","",NumList())</f>
        <v>8</v>
      </c>
      <c r="C174" s="52" t="s">
        <v>65</v>
      </c>
      <c r="D174" s="55">
        <f t="shared" ca="1" si="9"/>
        <v>0</v>
      </c>
      <c r="E174" s="55"/>
      <c r="F174" s="55"/>
      <c r="H174" s="78"/>
      <c r="I174" s="53">
        <f>F174*H174</f>
        <v>0</v>
      </c>
      <c r="J174" s="58"/>
      <c r="K174" s="58"/>
    </row>
    <row r="175" spans="1:11" s="41" customFormat="1" ht="28.5">
      <c r="A175" s="50">
        <v>2</v>
      </c>
      <c r="B175" s="51" t="str">
        <f ca="1">IF($A175="","",NumList())</f>
        <v>8.1</v>
      </c>
      <c r="C175" s="62" t="s">
        <v>283</v>
      </c>
      <c r="D175" s="55">
        <f t="shared" ca="1" si="9"/>
        <v>1</v>
      </c>
      <c r="E175" s="55"/>
      <c r="F175" s="55">
        <v>1</v>
      </c>
      <c r="G175" s="51" t="s">
        <v>0</v>
      </c>
      <c r="H175" s="62" t="s">
        <v>73</v>
      </c>
      <c r="I175" s="53"/>
      <c r="J175" s="58"/>
      <c r="K175" s="58"/>
    </row>
    <row r="176" spans="1:11" s="41" customFormat="1" ht="15">
      <c r="A176" s="50" t="s">
        <v>516</v>
      </c>
      <c r="B176" s="51" t="str">
        <f>IF($A176="","",NumList())</f>
        <v/>
      </c>
      <c r="C176" s="62"/>
      <c r="D176" s="55"/>
      <c r="E176" s="55"/>
      <c r="F176" s="55"/>
      <c r="G176" s="51"/>
      <c r="H176" s="78"/>
      <c r="I176" s="53">
        <f>F176*H176</f>
        <v>0</v>
      </c>
      <c r="J176" s="58"/>
      <c r="K176" s="58"/>
    </row>
    <row r="177" spans="1:11" s="41" customFormat="1" ht="15">
      <c r="A177" s="50"/>
      <c r="B177" s="32"/>
      <c r="C177" s="70"/>
      <c r="D177" s="71"/>
      <c r="E177" s="71"/>
      <c r="F177" s="71"/>
      <c r="G177" s="30"/>
      <c r="H177" s="82" t="s">
        <v>273</v>
      </c>
      <c r="I177" s="78">
        <f ca="1">SUM(I34:I176)</f>
        <v>204392</v>
      </c>
      <c r="J177" s="58"/>
      <c r="K177" s="58"/>
    </row>
    <row r="178" spans="1:11" s="41" customFormat="1" ht="15">
      <c r="A178" s="50"/>
      <c r="B178" s="32"/>
      <c r="C178" s="70"/>
      <c r="D178" s="71"/>
      <c r="E178" s="71"/>
      <c r="F178" s="71"/>
      <c r="G178" s="30"/>
      <c r="H178" s="83"/>
      <c r="I178" s="77"/>
      <c r="J178" s="58"/>
      <c r="K178" s="58"/>
    </row>
    <row r="179" spans="1:11" s="41" customFormat="1" ht="15">
      <c r="A179" s="50"/>
      <c r="B179" s="30"/>
      <c r="C179" s="70"/>
      <c r="D179" s="71"/>
      <c r="E179" s="71"/>
      <c r="F179" s="71"/>
      <c r="G179" s="30"/>
      <c r="H179" s="77"/>
      <c r="I179" s="77"/>
      <c r="J179" s="58"/>
      <c r="K179" s="58"/>
    </row>
    <row r="180" spans="1:11" s="41" customFormat="1" ht="15">
      <c r="A180" s="50"/>
      <c r="B180" s="30"/>
      <c r="C180" s="30" t="s">
        <v>18</v>
      </c>
      <c r="D180" s="31"/>
      <c r="E180" s="31"/>
      <c r="F180" s="31"/>
      <c r="G180" s="84"/>
      <c r="H180" s="85"/>
      <c r="I180" s="86"/>
      <c r="J180" s="58"/>
      <c r="K180" s="58"/>
    </row>
    <row r="181" spans="1:11" s="41" customFormat="1" ht="15">
      <c r="A181" s="50"/>
      <c r="B181" s="30"/>
      <c r="C181" s="30"/>
      <c r="D181" s="34"/>
      <c r="E181" s="34"/>
      <c r="F181" s="34"/>
      <c r="G181" s="32"/>
      <c r="H181" s="33"/>
      <c r="I181" s="30"/>
      <c r="J181" s="58"/>
      <c r="K181" s="58"/>
    </row>
    <row r="182" spans="1:11" s="41" customFormat="1" ht="15">
      <c r="A182" s="50"/>
      <c r="B182" s="30"/>
      <c r="C182" s="30" t="s">
        <v>19</v>
      </c>
      <c r="D182" s="31"/>
      <c r="E182" s="31"/>
      <c r="F182" s="31"/>
      <c r="G182" s="84"/>
      <c r="H182" s="85"/>
      <c r="I182" s="86"/>
      <c r="J182" s="58"/>
      <c r="K182" s="58"/>
    </row>
    <row r="183" spans="1:11">
      <c r="A183" s="50"/>
      <c r="C183" s="70"/>
    </row>
    <row r="184" spans="1:11" ht="56.25">
      <c r="A184" s="50"/>
      <c r="C184" s="74" t="s">
        <v>188</v>
      </c>
    </row>
    <row r="185" spans="1:11">
      <c r="A185" s="50"/>
      <c r="C185" s="70"/>
    </row>
    <row r="186" spans="1:11">
      <c r="A186" s="50"/>
      <c r="C186" s="70"/>
    </row>
    <row r="187" spans="1:11">
      <c r="A187" s="50"/>
      <c r="C187" s="70"/>
    </row>
    <row r="188" spans="1:11">
      <c r="A188" s="50"/>
      <c r="C188" s="70"/>
    </row>
    <row r="189" spans="1:11">
      <c r="A189" s="50"/>
      <c r="C189" s="70"/>
    </row>
    <row r="190" spans="1:11" s="58" customFormat="1">
      <c r="A190" s="50"/>
      <c r="B190" s="30"/>
      <c r="C190" s="70"/>
      <c r="D190" s="71"/>
      <c r="E190" s="71"/>
      <c r="F190" s="71"/>
      <c r="G190" s="30"/>
      <c r="H190" s="77"/>
      <c r="I190" s="77"/>
    </row>
    <row r="191" spans="1:11" s="58" customFormat="1">
      <c r="A191" s="50"/>
      <c r="B191" s="30"/>
      <c r="C191" s="70"/>
      <c r="D191" s="71"/>
      <c r="E191" s="71"/>
      <c r="F191" s="71"/>
      <c r="G191" s="30"/>
      <c r="H191" s="77"/>
      <c r="I191" s="77"/>
    </row>
    <row r="192" spans="1:11" s="58" customFormat="1">
      <c r="A192" s="50"/>
      <c r="B192" s="30"/>
      <c r="C192" s="70"/>
      <c r="D192" s="71"/>
      <c r="E192" s="71"/>
      <c r="F192" s="71"/>
      <c r="G192" s="30"/>
      <c r="H192" s="77"/>
      <c r="I192" s="77"/>
    </row>
    <row r="193" spans="1:9" s="58" customFormat="1">
      <c r="A193" s="50"/>
      <c r="B193" s="30"/>
      <c r="C193" s="70"/>
      <c r="D193" s="71"/>
      <c r="E193" s="71"/>
      <c r="F193" s="71"/>
      <c r="G193" s="30"/>
      <c r="H193" s="77"/>
      <c r="I193" s="77"/>
    </row>
    <row r="194" spans="1:9" s="58" customFormat="1">
      <c r="A194" s="50"/>
      <c r="B194" s="30"/>
      <c r="C194" s="70"/>
      <c r="D194" s="71"/>
      <c r="E194" s="71"/>
      <c r="F194" s="71"/>
      <c r="G194" s="30"/>
      <c r="H194" s="77"/>
      <c r="I194" s="77"/>
    </row>
    <row r="195" spans="1:9" s="58" customFormat="1">
      <c r="A195" s="50"/>
      <c r="B195" s="30"/>
      <c r="C195" s="70"/>
      <c r="D195" s="71"/>
      <c r="E195" s="71"/>
      <c r="F195" s="71"/>
      <c r="G195" s="30"/>
      <c r="H195" s="77"/>
      <c r="I195" s="77"/>
    </row>
    <row r="196" spans="1:9" s="58" customFormat="1">
      <c r="A196" s="50"/>
      <c r="B196" s="30"/>
      <c r="C196" s="70"/>
      <c r="D196" s="71"/>
      <c r="E196" s="71"/>
      <c r="F196" s="71"/>
      <c r="G196" s="30"/>
      <c r="H196" s="77"/>
      <c r="I196" s="77"/>
    </row>
    <row r="197" spans="1:9" s="58" customFormat="1">
      <c r="A197" s="50"/>
      <c r="B197" s="30"/>
      <c r="C197" s="70"/>
      <c r="D197" s="71"/>
      <c r="E197" s="71"/>
      <c r="F197" s="71"/>
      <c r="G197" s="30"/>
      <c r="H197" s="77"/>
      <c r="I197" s="77"/>
    </row>
    <row r="198" spans="1:9" s="58" customFormat="1">
      <c r="A198" s="50"/>
      <c r="B198" s="30"/>
      <c r="C198" s="70"/>
      <c r="D198" s="71"/>
      <c r="E198" s="71"/>
      <c r="F198" s="71"/>
      <c r="G198" s="30"/>
      <c r="H198" s="77"/>
      <c r="I198" s="77"/>
    </row>
    <row r="199" spans="1:9" s="58" customFormat="1">
      <c r="A199" s="50"/>
      <c r="B199" s="30"/>
      <c r="C199" s="70"/>
      <c r="D199" s="71"/>
      <c r="E199" s="71"/>
      <c r="F199" s="71"/>
      <c r="G199" s="30"/>
      <c r="H199" s="77"/>
      <c r="I199" s="77"/>
    </row>
    <row r="200" spans="1:9" s="58" customFormat="1">
      <c r="A200" s="50"/>
      <c r="B200" s="30"/>
      <c r="C200" s="70"/>
      <c r="D200" s="71"/>
      <c r="E200" s="71"/>
      <c r="F200" s="71"/>
      <c r="G200" s="30"/>
      <c r="H200" s="77"/>
      <c r="I200" s="77"/>
    </row>
    <row r="201" spans="1:9" s="58" customFormat="1">
      <c r="A201" s="50"/>
      <c r="B201" s="30"/>
      <c r="C201" s="70"/>
      <c r="D201" s="71"/>
      <c r="E201" s="71"/>
      <c r="F201" s="71"/>
      <c r="G201" s="30"/>
      <c r="H201" s="77"/>
      <c r="I201" s="77"/>
    </row>
    <row r="202" spans="1:9" s="58" customFormat="1">
      <c r="A202" s="50"/>
      <c r="B202" s="30"/>
      <c r="C202" s="70"/>
      <c r="D202" s="71"/>
      <c r="E202" s="71"/>
      <c r="F202" s="71"/>
      <c r="G202" s="30"/>
      <c r="H202" s="77"/>
      <c r="I202" s="77"/>
    </row>
    <row r="203" spans="1:9" s="58" customFormat="1">
      <c r="A203" s="50"/>
      <c r="B203" s="30"/>
      <c r="C203" s="70"/>
      <c r="D203" s="71"/>
      <c r="E203" s="71"/>
      <c r="F203" s="71"/>
      <c r="G203" s="30"/>
      <c r="H203" s="77"/>
      <c r="I203" s="77"/>
    </row>
    <row r="204" spans="1:9" s="58" customFormat="1">
      <c r="A204" s="50"/>
      <c r="B204" s="30"/>
      <c r="C204" s="70"/>
      <c r="D204" s="71"/>
      <c r="E204" s="71"/>
      <c r="F204" s="71"/>
      <c r="G204" s="30"/>
      <c r="H204" s="77"/>
      <c r="I204" s="77"/>
    </row>
    <row r="205" spans="1:9" s="58" customFormat="1">
      <c r="A205" s="50"/>
      <c r="B205" s="30"/>
      <c r="C205" s="70"/>
      <c r="D205" s="71"/>
      <c r="E205" s="71"/>
      <c r="F205" s="71"/>
      <c r="G205" s="30"/>
      <c r="H205" s="77"/>
      <c r="I205" s="77"/>
    </row>
    <row r="206" spans="1:9" s="58" customFormat="1">
      <c r="A206" s="50"/>
      <c r="B206" s="30"/>
      <c r="C206" s="70"/>
      <c r="D206" s="71"/>
      <c r="E206" s="71"/>
      <c r="F206" s="71"/>
      <c r="G206" s="30"/>
      <c r="H206" s="77"/>
      <c r="I206" s="77"/>
    </row>
    <row r="207" spans="1:9" s="58" customFormat="1">
      <c r="A207" s="50"/>
      <c r="B207" s="30"/>
      <c r="C207" s="70"/>
      <c r="D207" s="71"/>
      <c r="E207" s="71"/>
      <c r="F207" s="71"/>
      <c r="G207" s="30"/>
      <c r="H207" s="77"/>
      <c r="I207" s="77"/>
    </row>
    <row r="208" spans="1:9" s="58" customFormat="1">
      <c r="A208" s="50"/>
      <c r="B208" s="30"/>
      <c r="C208" s="70"/>
      <c r="D208" s="71"/>
      <c r="E208" s="71"/>
      <c r="F208" s="71"/>
      <c r="G208" s="30"/>
      <c r="H208" s="77"/>
      <c r="I208" s="77"/>
    </row>
    <row r="209" spans="1:9" s="58" customFormat="1">
      <c r="A209" s="50"/>
      <c r="B209" s="30"/>
      <c r="C209" s="70"/>
      <c r="D209" s="71"/>
      <c r="E209" s="71"/>
      <c r="F209" s="71"/>
      <c r="G209" s="30"/>
      <c r="H209" s="77"/>
      <c r="I209" s="77"/>
    </row>
    <row r="210" spans="1:9" s="58" customFormat="1">
      <c r="A210" s="50"/>
      <c r="B210" s="30"/>
      <c r="C210" s="70"/>
      <c r="D210" s="71"/>
      <c r="E210" s="71"/>
      <c r="F210" s="71"/>
      <c r="G210" s="30"/>
      <c r="H210" s="77"/>
      <c r="I210" s="77"/>
    </row>
    <row r="211" spans="1:9" s="58" customFormat="1">
      <c r="A211" s="50"/>
      <c r="B211" s="30"/>
      <c r="C211" s="70"/>
      <c r="D211" s="71"/>
      <c r="E211" s="71"/>
      <c r="F211" s="71"/>
      <c r="G211" s="30"/>
      <c r="H211" s="77"/>
      <c r="I211" s="77"/>
    </row>
    <row r="212" spans="1:9" s="58" customFormat="1">
      <c r="A212" s="50"/>
      <c r="B212" s="30"/>
      <c r="C212" s="70"/>
      <c r="D212" s="71"/>
      <c r="E212" s="71"/>
      <c r="F212" s="71"/>
      <c r="G212" s="30"/>
      <c r="H212" s="77"/>
      <c r="I212" s="77"/>
    </row>
    <row r="213" spans="1:9" s="58" customFormat="1">
      <c r="A213" s="50"/>
      <c r="B213" s="30"/>
      <c r="C213" s="70"/>
      <c r="D213" s="71"/>
      <c r="E213" s="71"/>
      <c r="F213" s="71"/>
      <c r="G213" s="30"/>
      <c r="H213" s="77"/>
      <c r="I213" s="77"/>
    </row>
    <row r="214" spans="1:9" s="58" customFormat="1">
      <c r="A214" s="50"/>
      <c r="B214" s="30"/>
      <c r="C214" s="70"/>
      <c r="D214" s="71"/>
      <c r="E214" s="71"/>
      <c r="F214" s="71"/>
      <c r="G214" s="30"/>
      <c r="H214" s="77"/>
      <c r="I214" s="77"/>
    </row>
    <row r="215" spans="1:9" s="58" customFormat="1">
      <c r="A215" s="50"/>
      <c r="B215" s="30"/>
      <c r="C215" s="70"/>
      <c r="D215" s="71"/>
      <c r="E215" s="71"/>
      <c r="F215" s="71"/>
      <c r="G215" s="30"/>
      <c r="H215" s="77"/>
      <c r="I215" s="77"/>
    </row>
    <row r="216" spans="1:9" s="58" customFormat="1">
      <c r="A216" s="50"/>
      <c r="B216" s="30"/>
      <c r="C216" s="70"/>
      <c r="D216" s="71"/>
      <c r="E216" s="71"/>
      <c r="F216" s="71"/>
      <c r="G216" s="30"/>
      <c r="H216" s="77"/>
      <c r="I216" s="77"/>
    </row>
    <row r="217" spans="1:9" s="58" customFormat="1">
      <c r="A217" s="50"/>
      <c r="B217" s="30"/>
      <c r="C217" s="70"/>
      <c r="D217" s="71"/>
      <c r="E217" s="71"/>
      <c r="F217" s="71"/>
      <c r="G217" s="30"/>
      <c r="H217" s="77"/>
      <c r="I217" s="77"/>
    </row>
    <row r="218" spans="1:9" s="58" customFormat="1">
      <c r="A218" s="50"/>
      <c r="B218" s="30"/>
      <c r="C218" s="70"/>
      <c r="D218" s="71"/>
      <c r="E218" s="71"/>
      <c r="F218" s="71"/>
      <c r="G218" s="30"/>
      <c r="H218" s="77"/>
      <c r="I218" s="77"/>
    </row>
    <row r="219" spans="1:9" s="58" customFormat="1">
      <c r="A219" s="50"/>
      <c r="B219" s="30"/>
      <c r="C219" s="70"/>
      <c r="D219" s="71"/>
      <c r="E219" s="71"/>
      <c r="F219" s="71"/>
      <c r="G219" s="30"/>
      <c r="H219" s="77"/>
      <c r="I219" s="77"/>
    </row>
    <row r="220" spans="1:9" s="58" customFormat="1">
      <c r="A220" s="50"/>
      <c r="B220" s="30"/>
      <c r="C220" s="70"/>
      <c r="D220" s="71"/>
      <c r="E220" s="71"/>
      <c r="F220" s="71"/>
      <c r="G220" s="30"/>
      <c r="H220" s="77"/>
      <c r="I220" s="77"/>
    </row>
    <row r="221" spans="1:9" s="58" customFormat="1">
      <c r="A221" s="50"/>
      <c r="B221" s="30"/>
      <c r="C221" s="70"/>
      <c r="D221" s="71"/>
      <c r="E221" s="71"/>
      <c r="F221" s="71"/>
      <c r="G221" s="30"/>
      <c r="H221" s="77"/>
      <c r="I221" s="77"/>
    </row>
    <row r="222" spans="1:9" s="58" customFormat="1">
      <c r="A222" s="50"/>
      <c r="B222" s="30"/>
      <c r="C222" s="70"/>
      <c r="D222" s="71"/>
      <c r="E222" s="71"/>
      <c r="F222" s="71"/>
      <c r="G222" s="30"/>
      <c r="H222" s="77"/>
      <c r="I222" s="77"/>
    </row>
    <row r="223" spans="1:9" s="58" customFormat="1">
      <c r="A223" s="50"/>
      <c r="B223" s="30"/>
      <c r="C223" s="70"/>
      <c r="D223" s="71"/>
      <c r="E223" s="71"/>
      <c r="F223" s="71"/>
      <c r="G223" s="30"/>
      <c r="H223" s="77"/>
      <c r="I223" s="77"/>
    </row>
    <row r="224" spans="1:9" s="58" customFormat="1">
      <c r="A224" s="50"/>
      <c r="B224" s="30"/>
      <c r="C224" s="70"/>
      <c r="D224" s="71"/>
      <c r="E224" s="71"/>
      <c r="F224" s="71"/>
      <c r="G224" s="30"/>
      <c r="H224" s="77"/>
      <c r="I224" s="77"/>
    </row>
    <row r="225" spans="1:9" s="58" customFormat="1">
      <c r="A225" s="50"/>
      <c r="B225" s="30"/>
      <c r="C225" s="70"/>
      <c r="D225" s="71"/>
      <c r="E225" s="71"/>
      <c r="F225" s="71"/>
      <c r="G225" s="30"/>
      <c r="H225" s="77"/>
      <c r="I225" s="77"/>
    </row>
    <row r="226" spans="1:9" s="58" customFormat="1">
      <c r="A226" s="50"/>
      <c r="B226" s="30"/>
      <c r="C226" s="70"/>
      <c r="D226" s="71"/>
      <c r="E226" s="71"/>
      <c r="F226" s="71"/>
      <c r="G226" s="30"/>
      <c r="H226" s="77"/>
      <c r="I226" s="77"/>
    </row>
    <row r="227" spans="1:9" s="58" customFormat="1">
      <c r="A227" s="50"/>
      <c r="B227" s="30"/>
      <c r="C227" s="70"/>
      <c r="D227" s="71"/>
      <c r="E227" s="71"/>
      <c r="F227" s="71"/>
      <c r="G227" s="30"/>
      <c r="H227" s="77"/>
      <c r="I227" s="77"/>
    </row>
    <row r="228" spans="1:9" s="58" customFormat="1">
      <c r="A228" s="50"/>
      <c r="B228" s="30"/>
      <c r="C228" s="70"/>
      <c r="D228" s="71"/>
      <c r="E228" s="71"/>
      <c r="F228" s="71"/>
      <c r="G228" s="30"/>
      <c r="H228" s="77"/>
      <c r="I228" s="77"/>
    </row>
    <row r="229" spans="1:9" s="58" customFormat="1">
      <c r="A229" s="50"/>
      <c r="B229" s="30"/>
      <c r="C229" s="70"/>
      <c r="D229" s="71"/>
      <c r="E229" s="71"/>
      <c r="F229" s="71"/>
      <c r="G229" s="30"/>
      <c r="H229" s="77"/>
      <c r="I229" s="77"/>
    </row>
    <row r="230" spans="1:9" s="58" customFormat="1">
      <c r="A230" s="50"/>
      <c r="B230" s="30"/>
      <c r="C230" s="70"/>
      <c r="D230" s="71"/>
      <c r="E230" s="71"/>
      <c r="F230" s="71"/>
      <c r="G230" s="30"/>
      <c r="H230" s="77"/>
      <c r="I230" s="77"/>
    </row>
    <row r="231" spans="1:9" s="58" customFormat="1">
      <c r="A231" s="50"/>
      <c r="B231" s="30"/>
      <c r="C231" s="70"/>
      <c r="D231" s="71"/>
      <c r="E231" s="71"/>
      <c r="F231" s="71"/>
      <c r="G231" s="30"/>
      <c r="H231" s="77"/>
      <c r="I231" s="77"/>
    </row>
    <row r="232" spans="1:9" s="58" customFormat="1">
      <c r="A232" s="50"/>
      <c r="B232" s="30"/>
      <c r="C232" s="70"/>
      <c r="D232" s="71"/>
      <c r="E232" s="71"/>
      <c r="F232" s="71"/>
      <c r="G232" s="30"/>
      <c r="H232" s="77"/>
      <c r="I232" s="77"/>
    </row>
    <row r="233" spans="1:9" s="58" customFormat="1">
      <c r="A233" s="50"/>
      <c r="B233" s="30"/>
      <c r="C233" s="70"/>
      <c r="D233" s="71"/>
      <c r="E233" s="71"/>
      <c r="F233" s="71"/>
      <c r="G233" s="30"/>
      <c r="H233" s="77"/>
      <c r="I233" s="77"/>
    </row>
    <row r="234" spans="1:9" s="58" customFormat="1">
      <c r="A234" s="50"/>
      <c r="B234" s="30"/>
      <c r="C234" s="70"/>
      <c r="D234" s="71"/>
      <c r="E234" s="71"/>
      <c r="F234" s="71"/>
      <c r="G234" s="30"/>
      <c r="H234" s="77"/>
      <c r="I234" s="77"/>
    </row>
    <row r="235" spans="1:9" s="58" customFormat="1">
      <c r="A235" s="50"/>
      <c r="B235" s="30"/>
      <c r="C235" s="70"/>
      <c r="D235" s="71"/>
      <c r="E235" s="71"/>
      <c r="F235" s="71"/>
      <c r="G235" s="30"/>
      <c r="H235" s="77"/>
      <c r="I235" s="77"/>
    </row>
    <row r="236" spans="1:9" s="58" customFormat="1">
      <c r="A236" s="50"/>
      <c r="B236" s="30"/>
      <c r="C236" s="70"/>
      <c r="D236" s="71"/>
      <c r="E236" s="71"/>
      <c r="F236" s="71"/>
      <c r="G236" s="30"/>
      <c r="H236" s="77"/>
      <c r="I236" s="77"/>
    </row>
    <row r="237" spans="1:9" s="58" customFormat="1">
      <c r="A237" s="50"/>
      <c r="B237" s="30"/>
      <c r="C237" s="70"/>
      <c r="D237" s="71"/>
      <c r="E237" s="71"/>
      <c r="F237" s="71"/>
      <c r="G237" s="30"/>
      <c r="H237" s="77"/>
      <c r="I237" s="77"/>
    </row>
    <row r="238" spans="1:9" s="58" customFormat="1">
      <c r="A238" s="50"/>
      <c r="B238" s="30"/>
      <c r="C238" s="70"/>
      <c r="D238" s="71"/>
      <c r="E238" s="71"/>
      <c r="F238" s="71"/>
      <c r="G238" s="30"/>
      <c r="H238" s="77"/>
      <c r="I238" s="77"/>
    </row>
    <row r="239" spans="1:9" s="58" customFormat="1">
      <c r="A239" s="50"/>
      <c r="B239" s="30"/>
      <c r="C239" s="70"/>
      <c r="D239" s="71"/>
      <c r="E239" s="71"/>
      <c r="F239" s="71"/>
      <c r="G239" s="30"/>
      <c r="H239" s="77"/>
      <c r="I239" s="77"/>
    </row>
    <row r="240" spans="1:9" s="58" customFormat="1">
      <c r="A240" s="50"/>
      <c r="B240" s="30"/>
      <c r="C240" s="70"/>
      <c r="D240" s="71"/>
      <c r="E240" s="71"/>
      <c r="F240" s="71"/>
      <c r="G240" s="30"/>
      <c r="H240" s="77"/>
      <c r="I240" s="77"/>
    </row>
    <row r="241" spans="1:9" s="58" customFormat="1">
      <c r="A241" s="50"/>
      <c r="B241" s="30"/>
      <c r="C241" s="70"/>
      <c r="D241" s="71"/>
      <c r="E241" s="71"/>
      <c r="F241" s="71"/>
      <c r="G241" s="30"/>
      <c r="H241" s="77"/>
      <c r="I241" s="77"/>
    </row>
    <row r="242" spans="1:9" s="58" customFormat="1">
      <c r="A242" s="50"/>
      <c r="B242" s="30"/>
      <c r="C242" s="70"/>
      <c r="D242" s="71"/>
      <c r="E242" s="71"/>
      <c r="F242" s="71"/>
      <c r="G242" s="30"/>
      <c r="H242" s="77"/>
      <c r="I242" s="77"/>
    </row>
    <row r="243" spans="1:9" s="58" customFormat="1">
      <c r="A243" s="50"/>
      <c r="B243" s="30"/>
      <c r="C243" s="70"/>
      <c r="D243" s="71"/>
      <c r="E243" s="71"/>
      <c r="F243" s="71"/>
      <c r="G243" s="30"/>
      <c r="H243" s="77"/>
      <c r="I243" s="77"/>
    </row>
    <row r="244" spans="1:9" s="58" customFormat="1">
      <c r="A244" s="50"/>
      <c r="B244" s="30"/>
      <c r="C244" s="70"/>
      <c r="D244" s="71"/>
      <c r="E244" s="71"/>
      <c r="F244" s="71"/>
      <c r="G244" s="30"/>
      <c r="H244" s="77"/>
      <c r="I244" s="77"/>
    </row>
    <row r="245" spans="1:9" s="58" customFormat="1">
      <c r="A245" s="50"/>
      <c r="B245" s="30"/>
      <c r="C245" s="70"/>
      <c r="D245" s="71"/>
      <c r="E245" s="71"/>
      <c r="F245" s="71"/>
      <c r="G245" s="30"/>
      <c r="H245" s="77"/>
      <c r="I245" s="77"/>
    </row>
    <row r="246" spans="1:9" s="58" customFormat="1">
      <c r="A246" s="50"/>
      <c r="B246" s="30"/>
      <c r="C246" s="70"/>
      <c r="D246" s="71"/>
      <c r="E246" s="71"/>
      <c r="F246" s="71"/>
      <c r="G246" s="30"/>
      <c r="H246" s="77"/>
      <c r="I246" s="77"/>
    </row>
    <row r="247" spans="1:9" s="58" customFormat="1">
      <c r="A247" s="50"/>
      <c r="B247" s="30"/>
      <c r="C247" s="70"/>
      <c r="D247" s="71"/>
      <c r="E247" s="71"/>
      <c r="F247" s="71"/>
      <c r="G247" s="30"/>
      <c r="H247" s="77"/>
      <c r="I247" s="77"/>
    </row>
    <row r="248" spans="1:9" s="58" customFormat="1">
      <c r="A248" s="50"/>
      <c r="B248" s="30"/>
      <c r="C248" s="70"/>
      <c r="D248" s="71"/>
      <c r="E248" s="71"/>
      <c r="F248" s="71"/>
      <c r="G248" s="30"/>
      <c r="H248" s="77"/>
      <c r="I248" s="77"/>
    </row>
    <row r="249" spans="1:9" s="58" customFormat="1">
      <c r="A249" s="50"/>
      <c r="B249" s="30"/>
      <c r="C249" s="70"/>
      <c r="D249" s="71"/>
      <c r="E249" s="71"/>
      <c r="F249" s="71"/>
      <c r="G249" s="30"/>
      <c r="H249" s="77"/>
      <c r="I249" s="77"/>
    </row>
    <row r="250" spans="1:9" s="58" customFormat="1">
      <c r="A250" s="50"/>
      <c r="B250" s="30"/>
      <c r="C250" s="70"/>
      <c r="D250" s="71"/>
      <c r="E250" s="71"/>
      <c r="F250" s="71"/>
      <c r="G250" s="30"/>
      <c r="H250" s="77"/>
      <c r="I250" s="77"/>
    </row>
    <row r="251" spans="1:9" s="58" customFormat="1">
      <c r="A251" s="50"/>
      <c r="B251" s="30"/>
      <c r="C251" s="70"/>
      <c r="D251" s="71"/>
      <c r="E251" s="71"/>
      <c r="F251" s="71"/>
      <c r="G251" s="30"/>
      <c r="H251" s="77"/>
      <c r="I251" s="77"/>
    </row>
    <row r="252" spans="1:9" s="58" customFormat="1">
      <c r="A252" s="50"/>
      <c r="B252" s="30"/>
      <c r="C252" s="70"/>
      <c r="D252" s="71"/>
      <c r="E252" s="71"/>
      <c r="F252" s="71"/>
      <c r="G252" s="30"/>
      <c r="H252" s="77"/>
      <c r="I252" s="77"/>
    </row>
    <row r="253" spans="1:9" s="58" customFormat="1">
      <c r="A253" s="50"/>
      <c r="B253" s="30"/>
      <c r="C253" s="70"/>
      <c r="D253" s="71"/>
      <c r="E253" s="71"/>
      <c r="F253" s="71"/>
      <c r="G253" s="30"/>
      <c r="H253" s="77"/>
      <c r="I253" s="77"/>
    </row>
    <row r="254" spans="1:9" s="58" customFormat="1">
      <c r="A254" s="50"/>
      <c r="B254" s="30"/>
      <c r="C254" s="70"/>
      <c r="D254" s="71"/>
      <c r="E254" s="71"/>
      <c r="F254" s="71"/>
      <c r="G254" s="30"/>
      <c r="H254" s="77"/>
      <c r="I254" s="77"/>
    </row>
    <row r="255" spans="1:9" s="58" customFormat="1">
      <c r="A255" s="50"/>
      <c r="B255" s="30"/>
      <c r="C255" s="70"/>
      <c r="D255" s="71"/>
      <c r="E255" s="71"/>
      <c r="F255" s="71"/>
      <c r="G255" s="30"/>
      <c r="H255" s="77"/>
      <c r="I255" s="77"/>
    </row>
    <row r="256" spans="1:9" s="58" customFormat="1">
      <c r="A256" s="50"/>
      <c r="B256" s="30"/>
      <c r="C256" s="70"/>
      <c r="D256" s="71"/>
      <c r="E256" s="71"/>
      <c r="F256" s="71"/>
      <c r="G256" s="30"/>
      <c r="H256" s="77"/>
      <c r="I256" s="77"/>
    </row>
    <row r="257" spans="1:11" s="58" customFormat="1">
      <c r="A257" s="50"/>
      <c r="B257" s="30"/>
      <c r="C257" s="70"/>
      <c r="D257" s="71"/>
      <c r="E257" s="71"/>
      <c r="F257" s="71"/>
      <c r="G257" s="30"/>
      <c r="H257" s="77"/>
      <c r="I257" s="77"/>
    </row>
    <row r="258" spans="1:11" s="58" customFormat="1">
      <c r="A258" s="50"/>
      <c r="B258" s="30"/>
      <c r="C258" s="70"/>
      <c r="D258" s="71"/>
      <c r="E258" s="71"/>
      <c r="F258" s="71"/>
      <c r="G258" s="30"/>
      <c r="H258" s="77"/>
      <c r="I258" s="77"/>
    </row>
    <row r="259" spans="1:11" s="58" customFormat="1">
      <c r="A259" s="50"/>
      <c r="B259" s="30"/>
      <c r="C259" s="70"/>
      <c r="D259" s="71"/>
      <c r="E259" s="71"/>
      <c r="F259" s="71"/>
      <c r="G259" s="30"/>
      <c r="H259" s="77"/>
      <c r="I259" s="77"/>
    </row>
    <row r="260" spans="1:11" s="58" customFormat="1">
      <c r="A260" s="50"/>
      <c r="B260" s="30"/>
      <c r="C260" s="70"/>
      <c r="D260" s="71"/>
      <c r="E260" s="71"/>
      <c r="F260" s="71"/>
      <c r="G260" s="30"/>
      <c r="H260" s="77"/>
      <c r="I260" s="77"/>
    </row>
    <row r="261" spans="1:11" s="58" customFormat="1">
      <c r="A261" s="50"/>
      <c r="B261" s="30"/>
      <c r="C261" s="70"/>
      <c r="D261" s="71"/>
      <c r="E261" s="71"/>
      <c r="F261" s="71"/>
      <c r="G261" s="30"/>
      <c r="H261" s="77"/>
      <c r="I261" s="77"/>
    </row>
    <row r="262" spans="1:11" s="58" customFormat="1">
      <c r="A262" s="50"/>
      <c r="B262" s="30"/>
      <c r="C262" s="70"/>
      <c r="D262" s="71"/>
      <c r="E262" s="71"/>
      <c r="F262" s="71"/>
      <c r="G262" s="30"/>
      <c r="H262" s="77"/>
      <c r="I262" s="77"/>
    </row>
    <row r="263" spans="1:11" s="58" customFormat="1">
      <c r="A263" s="50"/>
      <c r="B263" s="30"/>
      <c r="C263" s="70"/>
      <c r="D263" s="71"/>
      <c r="E263" s="71"/>
      <c r="F263" s="71"/>
      <c r="G263" s="30"/>
      <c r="H263" s="77"/>
      <c r="I263" s="77"/>
    </row>
    <row r="264" spans="1:11" s="58" customFormat="1">
      <c r="A264" s="50"/>
      <c r="B264" s="30"/>
      <c r="C264" s="70"/>
      <c r="D264" s="71"/>
      <c r="E264" s="71"/>
      <c r="F264" s="71"/>
      <c r="G264" s="30"/>
      <c r="H264" s="77"/>
      <c r="I264" s="77"/>
    </row>
    <row r="265" spans="1:11" s="58" customFormat="1">
      <c r="A265" s="50"/>
      <c r="B265" s="30"/>
      <c r="C265" s="70"/>
      <c r="D265" s="71"/>
      <c r="E265" s="71"/>
      <c r="F265" s="71"/>
      <c r="G265" s="30"/>
      <c r="H265" s="77"/>
      <c r="I265" s="77"/>
    </row>
    <row r="266" spans="1:11" s="58" customFormat="1">
      <c r="A266" s="50"/>
      <c r="B266" s="30"/>
      <c r="C266" s="70"/>
      <c r="D266" s="71"/>
      <c r="E266" s="71"/>
      <c r="F266" s="71"/>
      <c r="G266" s="30"/>
      <c r="H266" s="77"/>
      <c r="I266" s="77"/>
    </row>
    <row r="267" spans="1:11" s="58" customFormat="1">
      <c r="A267" s="50"/>
      <c r="B267" s="30"/>
      <c r="C267" s="70"/>
      <c r="D267" s="71"/>
      <c r="E267" s="71"/>
      <c r="F267" s="71"/>
      <c r="G267" s="30"/>
      <c r="H267" s="77"/>
      <c r="I267" s="77"/>
    </row>
    <row r="268" spans="1:11" s="58" customFormat="1">
      <c r="A268" s="50"/>
      <c r="B268" s="30"/>
      <c r="C268" s="70"/>
      <c r="D268" s="71"/>
      <c r="E268" s="71"/>
      <c r="F268" s="71"/>
      <c r="G268" s="30"/>
      <c r="H268" s="77"/>
      <c r="I268" s="77"/>
    </row>
    <row r="269" spans="1:11" s="58" customFormat="1">
      <c r="A269" s="50"/>
      <c r="B269" s="30"/>
      <c r="C269" s="70"/>
      <c r="D269" s="71"/>
      <c r="E269" s="71"/>
      <c r="F269" s="71"/>
      <c r="G269" s="30"/>
      <c r="H269" s="77"/>
      <c r="I269" s="77"/>
    </row>
    <row r="270" spans="1:11" s="71" customFormat="1">
      <c r="A270" s="50"/>
      <c r="B270" s="30"/>
      <c r="C270" s="70"/>
      <c r="G270" s="30"/>
      <c r="H270" s="77"/>
      <c r="I270" s="77"/>
      <c r="J270" s="58"/>
      <c r="K270" s="58"/>
    </row>
    <row r="271" spans="1:11" s="71" customFormat="1">
      <c r="A271" s="50"/>
      <c r="B271" s="30"/>
      <c r="C271" s="70"/>
      <c r="G271" s="30"/>
      <c r="H271" s="77"/>
      <c r="I271" s="77"/>
      <c r="J271" s="58"/>
      <c r="K271" s="58"/>
    </row>
    <row r="272" spans="1:11" s="71" customFormat="1">
      <c r="A272" s="50"/>
      <c r="B272" s="30"/>
      <c r="C272" s="70"/>
      <c r="G272" s="30"/>
      <c r="H272" s="77"/>
      <c r="I272" s="77"/>
      <c r="J272" s="58"/>
      <c r="K272" s="58"/>
    </row>
    <row r="273" spans="1:11" s="71" customFormat="1">
      <c r="A273" s="50"/>
      <c r="B273" s="30"/>
      <c r="C273" s="70"/>
      <c r="G273" s="30"/>
      <c r="H273" s="77"/>
      <c r="I273" s="77"/>
      <c r="J273" s="58"/>
      <c r="K273" s="58"/>
    </row>
    <row r="274" spans="1:11" s="71" customFormat="1">
      <c r="A274" s="50"/>
      <c r="B274" s="30"/>
      <c r="C274" s="70"/>
      <c r="G274" s="30"/>
      <c r="H274" s="77"/>
      <c r="I274" s="77"/>
      <c r="J274" s="58"/>
      <c r="K274" s="58"/>
    </row>
    <row r="275" spans="1:11" s="71" customFormat="1">
      <c r="A275" s="50"/>
      <c r="B275" s="30"/>
      <c r="C275" s="70"/>
      <c r="G275" s="30"/>
      <c r="H275" s="77"/>
      <c r="I275" s="77"/>
      <c r="J275" s="58"/>
      <c r="K275" s="58"/>
    </row>
    <row r="276" spans="1:11" s="71" customFormat="1">
      <c r="A276" s="50"/>
      <c r="B276" s="30"/>
      <c r="C276" s="70"/>
      <c r="G276" s="30"/>
      <c r="H276" s="77"/>
      <c r="I276" s="77"/>
      <c r="J276" s="58"/>
      <c r="K276" s="58"/>
    </row>
    <row r="277" spans="1:11" s="71" customFormat="1">
      <c r="A277" s="50"/>
      <c r="B277" s="30"/>
      <c r="C277" s="70"/>
      <c r="G277" s="30"/>
      <c r="H277" s="77"/>
      <c r="I277" s="77"/>
      <c r="J277" s="58"/>
      <c r="K277" s="58"/>
    </row>
    <row r="278" spans="1:11" s="71" customFormat="1">
      <c r="A278" s="50"/>
      <c r="B278" s="30"/>
      <c r="C278" s="70"/>
      <c r="G278" s="30"/>
      <c r="H278" s="77"/>
      <c r="I278" s="77"/>
      <c r="J278" s="58"/>
      <c r="K278" s="58"/>
    </row>
    <row r="279" spans="1:11" s="71" customFormat="1">
      <c r="A279" s="50"/>
      <c r="B279" s="30"/>
      <c r="C279" s="70"/>
      <c r="G279" s="30"/>
      <c r="H279" s="77"/>
      <c r="I279" s="77"/>
      <c r="J279" s="58"/>
      <c r="K279" s="58"/>
    </row>
    <row r="280" spans="1:11" s="71" customFormat="1">
      <c r="A280" s="50"/>
      <c r="B280" s="30"/>
      <c r="C280" s="70"/>
      <c r="G280" s="30"/>
      <c r="H280" s="77"/>
      <c r="I280" s="77"/>
      <c r="J280" s="58"/>
      <c r="K280" s="58"/>
    </row>
    <row r="281" spans="1:11" s="71" customFormat="1">
      <c r="A281" s="50"/>
      <c r="B281" s="30"/>
      <c r="C281" s="70"/>
      <c r="G281" s="30"/>
      <c r="H281" s="77"/>
      <c r="I281" s="77"/>
      <c r="J281" s="58"/>
      <c r="K281" s="58"/>
    </row>
    <row r="282" spans="1:11" s="71" customFormat="1">
      <c r="A282" s="50"/>
      <c r="B282" s="30"/>
      <c r="C282" s="70"/>
      <c r="G282" s="30"/>
      <c r="H282" s="77"/>
      <c r="I282" s="77"/>
      <c r="J282" s="58"/>
      <c r="K282" s="58"/>
    </row>
    <row r="283" spans="1:11" s="71" customFormat="1">
      <c r="A283" s="50"/>
      <c r="B283" s="30"/>
      <c r="C283" s="70"/>
      <c r="G283" s="30"/>
      <c r="H283" s="77"/>
      <c r="I283" s="77"/>
      <c r="J283" s="58"/>
      <c r="K283" s="58"/>
    </row>
    <row r="284" spans="1:11" s="71" customFormat="1">
      <c r="A284" s="50"/>
      <c r="B284" s="30"/>
      <c r="C284" s="70"/>
      <c r="G284" s="30"/>
      <c r="H284" s="77"/>
      <c r="I284" s="77"/>
      <c r="J284" s="58"/>
      <c r="K284" s="58"/>
    </row>
    <row r="285" spans="1:11" s="71" customFormat="1">
      <c r="A285" s="50"/>
      <c r="B285" s="30"/>
      <c r="C285" s="70"/>
      <c r="G285" s="30"/>
      <c r="H285" s="77"/>
      <c r="I285" s="77"/>
      <c r="J285" s="58"/>
      <c r="K285" s="58"/>
    </row>
    <row r="286" spans="1:11" s="71" customFormat="1">
      <c r="A286" s="50"/>
      <c r="B286" s="30"/>
      <c r="C286" s="70"/>
      <c r="G286" s="30"/>
      <c r="H286" s="77"/>
      <c r="I286" s="77"/>
      <c r="J286" s="58"/>
      <c r="K286" s="58"/>
    </row>
    <row r="287" spans="1:11" s="71" customFormat="1">
      <c r="A287" s="50"/>
      <c r="B287" s="30"/>
      <c r="C287" s="70"/>
      <c r="G287" s="30"/>
      <c r="H287" s="77"/>
      <c r="I287" s="77"/>
      <c r="J287" s="58"/>
      <c r="K287" s="58"/>
    </row>
    <row r="288" spans="1:11" s="71" customFormat="1">
      <c r="A288" s="50"/>
      <c r="B288" s="30"/>
      <c r="C288" s="70"/>
      <c r="G288" s="30"/>
      <c r="H288" s="77"/>
      <c r="I288" s="77"/>
      <c r="J288" s="58"/>
      <c r="K288" s="58"/>
    </row>
    <row r="289" spans="1:11" s="71" customFormat="1">
      <c r="A289" s="50"/>
      <c r="B289" s="30"/>
      <c r="C289" s="70"/>
      <c r="G289" s="30"/>
      <c r="H289" s="77"/>
      <c r="I289" s="77"/>
      <c r="J289" s="58"/>
      <c r="K289" s="58"/>
    </row>
    <row r="290" spans="1:11" s="71" customFormat="1">
      <c r="A290" s="50"/>
      <c r="B290" s="30"/>
      <c r="C290" s="70"/>
      <c r="G290" s="30"/>
      <c r="H290" s="77"/>
      <c r="I290" s="77"/>
      <c r="J290" s="58"/>
      <c r="K290" s="58"/>
    </row>
    <row r="291" spans="1:11" s="71" customFormat="1">
      <c r="A291" s="50"/>
      <c r="B291" s="30"/>
      <c r="C291" s="70"/>
      <c r="G291" s="30"/>
      <c r="H291" s="77"/>
      <c r="I291" s="77"/>
      <c r="J291" s="58"/>
      <c r="K291" s="58"/>
    </row>
    <row r="292" spans="1:11" s="71" customFormat="1">
      <c r="A292" s="50"/>
      <c r="B292" s="30"/>
      <c r="C292" s="70"/>
      <c r="G292" s="30"/>
      <c r="H292" s="77"/>
      <c r="I292" s="77"/>
      <c r="J292" s="58"/>
      <c r="K292" s="58"/>
    </row>
    <row r="293" spans="1:11" s="71" customFormat="1">
      <c r="A293" s="50"/>
      <c r="B293" s="30"/>
      <c r="C293" s="70"/>
      <c r="G293" s="30"/>
      <c r="H293" s="77"/>
      <c r="I293" s="77"/>
      <c r="J293" s="58"/>
      <c r="K293" s="58"/>
    </row>
    <row r="294" spans="1:11" s="71" customFormat="1">
      <c r="A294" s="50"/>
      <c r="B294" s="30"/>
      <c r="C294" s="70"/>
      <c r="G294" s="30"/>
      <c r="H294" s="77"/>
      <c r="I294" s="77"/>
      <c r="J294" s="58"/>
      <c r="K294" s="58"/>
    </row>
    <row r="295" spans="1:11" s="71" customFormat="1">
      <c r="A295" s="50"/>
      <c r="B295" s="30"/>
      <c r="C295" s="70"/>
      <c r="G295" s="30"/>
      <c r="H295" s="77"/>
      <c r="I295" s="77"/>
      <c r="J295" s="58"/>
      <c r="K295" s="58"/>
    </row>
    <row r="296" spans="1:11" s="71" customFormat="1">
      <c r="A296" s="50"/>
      <c r="B296" s="30"/>
      <c r="C296" s="70"/>
      <c r="G296" s="30"/>
      <c r="H296" s="77"/>
      <c r="I296" s="77"/>
      <c r="J296" s="58"/>
      <c r="K296" s="58"/>
    </row>
    <row r="297" spans="1:11" s="71" customFormat="1">
      <c r="A297" s="50"/>
      <c r="B297" s="30"/>
      <c r="C297" s="70"/>
      <c r="G297" s="30"/>
      <c r="H297" s="77"/>
      <c r="I297" s="77"/>
      <c r="J297" s="58"/>
      <c r="K297" s="58"/>
    </row>
    <row r="298" spans="1:11" s="71" customFormat="1">
      <c r="A298" s="50"/>
      <c r="B298" s="30"/>
      <c r="C298" s="70"/>
      <c r="G298" s="30"/>
      <c r="H298" s="77"/>
      <c r="I298" s="77"/>
      <c r="J298" s="58"/>
      <c r="K298" s="58"/>
    </row>
    <row r="299" spans="1:11" s="71" customFormat="1">
      <c r="A299" s="50"/>
      <c r="B299" s="30"/>
      <c r="C299" s="70"/>
      <c r="G299" s="30"/>
      <c r="H299" s="77"/>
      <c r="I299" s="77"/>
      <c r="J299" s="58"/>
      <c r="K299" s="58"/>
    </row>
    <row r="300" spans="1:11" s="71" customFormat="1">
      <c r="A300" s="50"/>
      <c r="B300" s="30"/>
      <c r="C300" s="70"/>
      <c r="G300" s="30"/>
      <c r="H300" s="77"/>
      <c r="I300" s="77"/>
      <c r="J300" s="58"/>
      <c r="K300" s="58"/>
    </row>
    <row r="301" spans="1:11" s="71" customFormat="1">
      <c r="A301" s="50"/>
      <c r="B301" s="30"/>
      <c r="C301" s="70"/>
      <c r="G301" s="30"/>
      <c r="H301" s="77"/>
      <c r="I301" s="77"/>
      <c r="J301" s="58"/>
      <c r="K301" s="58"/>
    </row>
    <row r="302" spans="1:11" s="71" customFormat="1">
      <c r="A302" s="50"/>
      <c r="B302" s="30"/>
      <c r="C302" s="70"/>
      <c r="G302" s="30"/>
      <c r="H302" s="77"/>
      <c r="I302" s="77"/>
      <c r="J302" s="58"/>
      <c r="K302" s="58"/>
    </row>
    <row r="303" spans="1:11" s="71" customFormat="1">
      <c r="A303" s="50"/>
      <c r="B303" s="30"/>
      <c r="C303" s="70"/>
      <c r="G303" s="30"/>
      <c r="H303" s="77"/>
      <c r="I303" s="77"/>
      <c r="J303" s="58"/>
      <c r="K303" s="58"/>
    </row>
    <row r="304" spans="1:11" s="71" customFormat="1">
      <c r="A304" s="50"/>
      <c r="B304" s="30"/>
      <c r="C304" s="70"/>
      <c r="G304" s="30"/>
      <c r="H304" s="77"/>
      <c r="I304" s="77"/>
      <c r="J304" s="58"/>
      <c r="K304" s="58"/>
    </row>
    <row r="305" spans="1:11" s="71" customFormat="1">
      <c r="A305" s="50"/>
      <c r="B305" s="30"/>
      <c r="C305" s="70"/>
      <c r="G305" s="30"/>
      <c r="H305" s="77"/>
      <c r="I305" s="77"/>
      <c r="J305" s="58"/>
      <c r="K305" s="58"/>
    </row>
    <row r="306" spans="1:11" s="71" customFormat="1">
      <c r="A306" s="50"/>
      <c r="B306" s="30"/>
      <c r="C306" s="70"/>
      <c r="G306" s="30"/>
      <c r="H306" s="77"/>
      <c r="I306" s="77"/>
      <c r="J306" s="58"/>
      <c r="K306" s="58"/>
    </row>
    <row r="307" spans="1:11" s="71" customFormat="1">
      <c r="A307" s="50"/>
      <c r="B307" s="30"/>
      <c r="C307" s="70"/>
      <c r="G307" s="30"/>
      <c r="H307" s="77"/>
      <c r="I307" s="77"/>
      <c r="J307" s="58"/>
      <c r="K307" s="58"/>
    </row>
    <row r="308" spans="1:11" s="71" customFormat="1">
      <c r="A308" s="50"/>
      <c r="B308" s="30"/>
      <c r="C308" s="70"/>
      <c r="G308" s="30"/>
      <c r="H308" s="77"/>
      <c r="I308" s="77"/>
      <c r="J308" s="58"/>
      <c r="K308" s="58"/>
    </row>
    <row r="309" spans="1:11" s="71" customFormat="1">
      <c r="A309" s="50"/>
      <c r="B309" s="30"/>
      <c r="C309" s="70"/>
      <c r="G309" s="30"/>
      <c r="H309" s="77"/>
      <c r="I309" s="77"/>
      <c r="J309" s="58"/>
      <c r="K309" s="58"/>
    </row>
    <row r="310" spans="1:11" s="71" customFormat="1">
      <c r="A310" s="50"/>
      <c r="B310" s="30"/>
      <c r="C310" s="70"/>
      <c r="G310" s="30"/>
      <c r="H310" s="77"/>
      <c r="I310" s="77"/>
      <c r="J310" s="58"/>
      <c r="K310" s="58"/>
    </row>
    <row r="311" spans="1:11" s="71" customFormat="1">
      <c r="A311" s="50"/>
      <c r="B311" s="30"/>
      <c r="C311" s="70"/>
      <c r="G311" s="30"/>
      <c r="H311" s="77"/>
      <c r="I311" s="77"/>
      <c r="J311" s="58"/>
      <c r="K311" s="58"/>
    </row>
    <row r="312" spans="1:11" s="71" customFormat="1">
      <c r="A312" s="50"/>
      <c r="B312" s="30"/>
      <c r="C312" s="70"/>
      <c r="G312" s="30"/>
      <c r="H312" s="77"/>
      <c r="I312" s="77"/>
      <c r="J312" s="58"/>
      <c r="K312" s="58"/>
    </row>
    <row r="313" spans="1:11" s="71" customFormat="1">
      <c r="A313" s="50"/>
      <c r="B313" s="30"/>
      <c r="C313" s="70"/>
      <c r="G313" s="30"/>
      <c r="H313" s="77"/>
      <c r="I313" s="77"/>
      <c r="J313" s="58"/>
      <c r="K313" s="58"/>
    </row>
    <row r="314" spans="1:11" s="71" customFormat="1">
      <c r="A314" s="50"/>
      <c r="B314" s="30"/>
      <c r="C314" s="70"/>
      <c r="G314" s="30"/>
      <c r="H314" s="77"/>
      <c r="I314" s="77"/>
      <c r="J314" s="58"/>
      <c r="K314" s="58"/>
    </row>
    <row r="315" spans="1:11" s="71" customFormat="1">
      <c r="A315" s="50"/>
      <c r="B315" s="30"/>
      <c r="C315" s="70"/>
      <c r="G315" s="30"/>
      <c r="H315" s="77"/>
      <c r="I315" s="77"/>
      <c r="J315" s="58"/>
      <c r="K315" s="58"/>
    </row>
    <row r="316" spans="1:11" s="71" customFormat="1">
      <c r="A316" s="50"/>
      <c r="B316" s="30"/>
      <c r="C316" s="70"/>
      <c r="G316" s="30"/>
      <c r="H316" s="77"/>
      <c r="I316" s="77"/>
      <c r="J316" s="58"/>
      <c r="K316" s="58"/>
    </row>
    <row r="317" spans="1:11" s="71" customFormat="1">
      <c r="A317" s="50"/>
      <c r="B317" s="30"/>
      <c r="C317" s="70"/>
      <c r="G317" s="30"/>
      <c r="H317" s="77"/>
      <c r="I317" s="77"/>
      <c r="J317" s="58"/>
      <c r="K317" s="58"/>
    </row>
    <row r="318" spans="1:11" s="71" customFormat="1">
      <c r="A318" s="50"/>
      <c r="B318" s="30"/>
      <c r="C318" s="70"/>
      <c r="G318" s="30"/>
      <c r="H318" s="77"/>
      <c r="I318" s="77"/>
      <c r="J318" s="58"/>
      <c r="K318" s="58"/>
    </row>
    <row r="319" spans="1:11" s="71" customFormat="1">
      <c r="A319" s="50"/>
      <c r="B319" s="30"/>
      <c r="C319" s="70"/>
      <c r="G319" s="30"/>
      <c r="H319" s="77"/>
      <c r="I319" s="77"/>
      <c r="J319" s="58"/>
      <c r="K319" s="58"/>
    </row>
    <row r="320" spans="1:11" s="71" customFormat="1">
      <c r="A320" s="50"/>
      <c r="B320" s="30"/>
      <c r="C320" s="70"/>
      <c r="G320" s="30"/>
      <c r="H320" s="77"/>
      <c r="I320" s="77"/>
      <c r="J320" s="58"/>
      <c r="K320" s="58"/>
    </row>
    <row r="321" spans="1:11" s="71" customFormat="1">
      <c r="A321" s="50"/>
      <c r="B321" s="30"/>
      <c r="C321" s="70"/>
      <c r="G321" s="30"/>
      <c r="H321" s="77"/>
      <c r="I321" s="77"/>
      <c r="J321" s="58"/>
      <c r="K321" s="58"/>
    </row>
    <row r="322" spans="1:11" s="71" customFormat="1">
      <c r="A322" s="50"/>
      <c r="B322" s="30"/>
      <c r="C322" s="70"/>
      <c r="G322" s="30"/>
      <c r="H322" s="77"/>
      <c r="I322" s="77"/>
      <c r="J322" s="58"/>
      <c r="K322" s="58"/>
    </row>
    <row r="323" spans="1:11" s="71" customFormat="1">
      <c r="A323" s="50"/>
      <c r="B323" s="30"/>
      <c r="C323" s="70"/>
      <c r="G323" s="30"/>
      <c r="H323" s="77"/>
      <c r="I323" s="77"/>
      <c r="J323" s="58"/>
      <c r="K323" s="58"/>
    </row>
    <row r="324" spans="1:11" s="71" customFormat="1">
      <c r="A324" s="50"/>
      <c r="B324" s="30"/>
      <c r="C324" s="70"/>
      <c r="G324" s="30"/>
      <c r="H324" s="77"/>
      <c r="I324" s="77"/>
      <c r="J324" s="58"/>
      <c r="K324" s="58"/>
    </row>
    <row r="325" spans="1:11" s="71" customFormat="1">
      <c r="A325" s="50"/>
      <c r="B325" s="30"/>
      <c r="C325" s="70"/>
      <c r="G325" s="30"/>
      <c r="H325" s="77"/>
      <c r="I325" s="77"/>
      <c r="J325" s="58"/>
      <c r="K325" s="58"/>
    </row>
    <row r="326" spans="1:11" s="71" customFormat="1">
      <c r="A326" s="50"/>
      <c r="B326" s="30"/>
      <c r="C326" s="70"/>
      <c r="G326" s="30"/>
      <c r="H326" s="77"/>
      <c r="I326" s="77"/>
      <c r="J326" s="58"/>
      <c r="K326" s="58"/>
    </row>
    <row r="327" spans="1:11" s="71" customFormat="1">
      <c r="A327" s="50"/>
      <c r="B327" s="30"/>
      <c r="C327" s="70"/>
      <c r="G327" s="30"/>
      <c r="H327" s="77"/>
      <c r="I327" s="77"/>
      <c r="J327" s="58"/>
      <c r="K327" s="58"/>
    </row>
    <row r="328" spans="1:11" s="71" customFormat="1">
      <c r="A328" s="50"/>
      <c r="B328" s="30"/>
      <c r="C328" s="70"/>
      <c r="G328" s="30"/>
      <c r="H328" s="77"/>
      <c r="I328" s="77"/>
      <c r="J328" s="58"/>
      <c r="K328" s="58"/>
    </row>
    <row r="329" spans="1:11" s="71" customFormat="1">
      <c r="A329" s="50"/>
      <c r="B329" s="30"/>
      <c r="C329" s="70"/>
      <c r="G329" s="30"/>
      <c r="H329" s="77"/>
      <c r="I329" s="77"/>
      <c r="J329" s="58"/>
      <c r="K329" s="58"/>
    </row>
    <row r="330" spans="1:11" s="71" customFormat="1">
      <c r="A330" s="50"/>
      <c r="B330" s="30"/>
      <c r="C330" s="70"/>
      <c r="G330" s="30"/>
      <c r="H330" s="77"/>
      <c r="I330" s="77"/>
      <c r="J330" s="58"/>
      <c r="K330" s="58"/>
    </row>
    <row r="331" spans="1:11" s="71" customFormat="1">
      <c r="A331" s="50"/>
      <c r="B331" s="30"/>
      <c r="C331" s="70"/>
      <c r="G331" s="30"/>
      <c r="H331" s="77"/>
      <c r="I331" s="77"/>
      <c r="J331" s="58"/>
      <c r="K331" s="58"/>
    </row>
    <row r="332" spans="1:11" s="71" customFormat="1">
      <c r="A332" s="50"/>
      <c r="B332" s="30"/>
      <c r="C332" s="70"/>
      <c r="G332" s="30"/>
      <c r="H332" s="77"/>
      <c r="I332" s="77"/>
      <c r="J332" s="58"/>
      <c r="K332" s="58"/>
    </row>
    <row r="333" spans="1:11" s="71" customFormat="1">
      <c r="A333" s="50"/>
      <c r="B333" s="30"/>
      <c r="C333" s="70"/>
      <c r="G333" s="30"/>
      <c r="H333" s="77"/>
      <c r="I333" s="77"/>
      <c r="J333" s="58"/>
      <c r="K333" s="58"/>
    </row>
    <row r="334" spans="1:11" s="71" customFormat="1">
      <c r="A334" s="50"/>
      <c r="B334" s="30"/>
      <c r="C334" s="70"/>
      <c r="G334" s="30"/>
      <c r="H334" s="77"/>
      <c r="I334" s="77"/>
      <c r="J334" s="58"/>
      <c r="K334" s="58"/>
    </row>
    <row r="335" spans="1:11" s="71" customFormat="1">
      <c r="A335" s="50"/>
      <c r="B335" s="30"/>
      <c r="C335" s="70"/>
      <c r="G335" s="30"/>
      <c r="H335" s="77"/>
      <c r="I335" s="77"/>
      <c r="J335" s="58"/>
      <c r="K335" s="58"/>
    </row>
    <row r="336" spans="1:11" s="71" customFormat="1">
      <c r="A336" s="50"/>
      <c r="B336" s="30"/>
      <c r="C336" s="70"/>
      <c r="G336" s="30"/>
      <c r="H336" s="77"/>
      <c r="I336" s="77"/>
      <c r="J336" s="58"/>
      <c r="K336" s="58"/>
    </row>
    <row r="337" spans="1:11" s="71" customFormat="1">
      <c r="A337" s="50"/>
      <c r="B337" s="30"/>
      <c r="C337" s="70"/>
      <c r="G337" s="30"/>
      <c r="H337" s="77"/>
      <c r="I337" s="77"/>
      <c r="J337" s="58"/>
      <c r="K337" s="58"/>
    </row>
    <row r="338" spans="1:11" s="71" customFormat="1">
      <c r="A338" s="50"/>
      <c r="B338" s="30"/>
      <c r="C338" s="70"/>
      <c r="G338" s="30"/>
      <c r="H338" s="77"/>
      <c r="I338" s="77"/>
      <c r="J338" s="58"/>
      <c r="K338" s="58"/>
    </row>
    <row r="339" spans="1:11" s="71" customFormat="1">
      <c r="A339" s="50"/>
      <c r="B339" s="30"/>
      <c r="C339" s="70"/>
      <c r="G339" s="30"/>
      <c r="H339" s="77"/>
      <c r="I339" s="77"/>
      <c r="J339" s="58"/>
      <c r="K339" s="58"/>
    </row>
    <row r="340" spans="1:11" s="71" customFormat="1">
      <c r="A340" s="50"/>
      <c r="B340" s="30"/>
      <c r="C340" s="70"/>
      <c r="G340" s="30"/>
      <c r="H340" s="77"/>
      <c r="I340" s="77"/>
      <c r="J340" s="58"/>
      <c r="K340" s="58"/>
    </row>
    <row r="341" spans="1:11" s="71" customFormat="1">
      <c r="A341" s="50"/>
      <c r="B341" s="30"/>
      <c r="C341" s="70"/>
      <c r="G341" s="30"/>
      <c r="H341" s="77"/>
      <c r="I341" s="77"/>
      <c r="J341" s="58"/>
      <c r="K341" s="58"/>
    </row>
    <row r="342" spans="1:11" s="71" customFormat="1">
      <c r="A342" s="50"/>
      <c r="B342" s="30"/>
      <c r="C342" s="70"/>
      <c r="G342" s="30"/>
      <c r="H342" s="77"/>
      <c r="I342" s="77"/>
      <c r="J342" s="58"/>
      <c r="K342" s="58"/>
    </row>
    <row r="343" spans="1:11" s="71" customFormat="1">
      <c r="A343" s="50"/>
      <c r="B343" s="30"/>
      <c r="C343" s="70"/>
      <c r="G343" s="30"/>
      <c r="H343" s="77"/>
      <c r="I343" s="77"/>
      <c r="J343" s="58"/>
      <c r="K343" s="58"/>
    </row>
    <row r="344" spans="1:11" s="71" customFormat="1">
      <c r="A344" s="50"/>
      <c r="B344" s="30"/>
      <c r="C344" s="70"/>
      <c r="G344" s="30"/>
      <c r="H344" s="77"/>
      <c r="I344" s="77"/>
      <c r="J344" s="58"/>
      <c r="K344" s="58"/>
    </row>
    <row r="345" spans="1:11" s="71" customFormat="1">
      <c r="A345" s="50"/>
      <c r="B345" s="30"/>
      <c r="C345" s="70"/>
      <c r="G345" s="30"/>
      <c r="H345" s="77"/>
      <c r="I345" s="77"/>
      <c r="J345" s="58"/>
      <c r="K345" s="58"/>
    </row>
    <row r="346" spans="1:11" s="71" customFormat="1">
      <c r="A346" s="50"/>
      <c r="B346" s="30"/>
      <c r="C346" s="70"/>
      <c r="G346" s="30"/>
      <c r="H346" s="77"/>
      <c r="I346" s="77"/>
      <c r="J346" s="58"/>
      <c r="K346" s="58"/>
    </row>
    <row r="347" spans="1:11" s="71" customFormat="1">
      <c r="A347" s="50"/>
      <c r="B347" s="30"/>
      <c r="C347" s="70"/>
      <c r="G347" s="30"/>
      <c r="H347" s="77"/>
      <c r="I347" s="77"/>
      <c r="J347" s="58"/>
      <c r="K347" s="58"/>
    </row>
    <row r="348" spans="1:11" s="71" customFormat="1">
      <c r="A348" s="50"/>
      <c r="B348" s="30"/>
      <c r="C348" s="70"/>
      <c r="G348" s="30"/>
      <c r="H348" s="77"/>
      <c r="I348" s="77"/>
      <c r="J348" s="58"/>
      <c r="K348" s="58"/>
    </row>
    <row r="349" spans="1:11" s="71" customFormat="1">
      <c r="A349" s="50"/>
      <c r="B349" s="30"/>
      <c r="C349" s="70"/>
      <c r="G349" s="30"/>
      <c r="H349" s="77"/>
      <c r="I349" s="77"/>
      <c r="J349" s="58"/>
      <c r="K349" s="58"/>
    </row>
    <row r="350" spans="1:11" s="71" customFormat="1">
      <c r="A350" s="50"/>
      <c r="B350" s="30"/>
      <c r="C350" s="70"/>
      <c r="G350" s="30"/>
      <c r="H350" s="77"/>
      <c r="I350" s="77"/>
      <c r="J350" s="58"/>
      <c r="K350" s="58"/>
    </row>
    <row r="351" spans="1:11" s="71" customFormat="1">
      <c r="A351" s="50"/>
      <c r="B351" s="30"/>
      <c r="C351" s="70"/>
      <c r="G351" s="30"/>
      <c r="H351" s="77"/>
      <c r="I351" s="77"/>
      <c r="J351" s="58"/>
      <c r="K351" s="58"/>
    </row>
    <row r="352" spans="1:11" s="71" customFormat="1">
      <c r="A352" s="50"/>
      <c r="B352" s="30"/>
      <c r="C352" s="70"/>
      <c r="G352" s="30"/>
      <c r="H352" s="77"/>
      <c r="I352" s="77"/>
      <c r="J352" s="58"/>
      <c r="K352" s="58"/>
    </row>
    <row r="353" spans="1:11" s="71" customFormat="1">
      <c r="A353" s="50"/>
      <c r="B353" s="30"/>
      <c r="C353" s="70"/>
      <c r="G353" s="30"/>
      <c r="H353" s="77"/>
      <c r="I353" s="77"/>
      <c r="J353" s="58"/>
      <c r="K353" s="58"/>
    </row>
    <row r="354" spans="1:11" s="71" customFormat="1">
      <c r="A354" s="50"/>
      <c r="B354" s="30"/>
      <c r="C354" s="70"/>
      <c r="G354" s="30"/>
      <c r="H354" s="77"/>
      <c r="I354" s="77"/>
      <c r="J354" s="58"/>
      <c r="K354" s="58"/>
    </row>
    <row r="355" spans="1:11" s="71" customFormat="1">
      <c r="A355" s="50"/>
      <c r="B355" s="30"/>
      <c r="C355" s="70"/>
      <c r="G355" s="30"/>
      <c r="H355" s="77"/>
      <c r="I355" s="77"/>
      <c r="J355" s="58"/>
      <c r="K355" s="58"/>
    </row>
    <row r="356" spans="1:11" s="71" customFormat="1">
      <c r="A356" s="50"/>
      <c r="B356" s="30"/>
      <c r="C356" s="70"/>
      <c r="G356" s="30"/>
      <c r="H356" s="77"/>
      <c r="I356" s="77"/>
      <c r="J356" s="58"/>
      <c r="K356" s="58"/>
    </row>
    <row r="357" spans="1:11" s="71" customFormat="1">
      <c r="A357" s="50"/>
      <c r="B357" s="30"/>
      <c r="C357" s="70"/>
      <c r="G357" s="30"/>
      <c r="H357" s="77"/>
      <c r="I357" s="77"/>
      <c r="J357" s="58"/>
      <c r="K357" s="58"/>
    </row>
    <row r="358" spans="1:11" s="71" customFormat="1">
      <c r="A358" s="50"/>
      <c r="B358" s="30"/>
      <c r="C358" s="70"/>
      <c r="G358" s="30"/>
      <c r="H358" s="77"/>
      <c r="I358" s="77"/>
      <c r="J358" s="58"/>
      <c r="K358" s="58"/>
    </row>
    <row r="359" spans="1:11" s="71" customFormat="1">
      <c r="A359" s="50"/>
      <c r="B359" s="30"/>
      <c r="C359" s="70"/>
      <c r="G359" s="30"/>
      <c r="H359" s="77"/>
      <c r="I359" s="77"/>
      <c r="J359" s="58"/>
      <c r="K359" s="58"/>
    </row>
    <row r="360" spans="1:11" s="71" customFormat="1">
      <c r="A360" s="50"/>
      <c r="B360" s="30"/>
      <c r="C360" s="70"/>
      <c r="G360" s="30"/>
      <c r="H360" s="77"/>
      <c r="I360" s="77"/>
      <c r="J360" s="58"/>
      <c r="K360" s="58"/>
    </row>
    <row r="361" spans="1:11" s="71" customFormat="1">
      <c r="A361" s="50"/>
      <c r="B361" s="30"/>
      <c r="C361" s="70"/>
      <c r="G361" s="30"/>
      <c r="H361" s="77"/>
      <c r="I361" s="77"/>
      <c r="J361" s="58"/>
      <c r="K361" s="58"/>
    </row>
    <row r="362" spans="1:11" s="71" customFormat="1">
      <c r="A362" s="50"/>
      <c r="B362" s="30"/>
      <c r="C362" s="70"/>
      <c r="G362" s="30"/>
      <c r="H362" s="77"/>
      <c r="I362" s="77"/>
      <c r="J362" s="58"/>
      <c r="K362" s="58"/>
    </row>
    <row r="363" spans="1:11" s="71" customFormat="1">
      <c r="A363" s="50"/>
      <c r="B363" s="30"/>
      <c r="C363" s="70"/>
      <c r="G363" s="30"/>
      <c r="H363" s="77"/>
      <c r="I363" s="77"/>
      <c r="J363" s="58"/>
      <c r="K363" s="58"/>
    </row>
    <row r="364" spans="1:11" s="71" customFormat="1">
      <c r="A364" s="50"/>
      <c r="B364" s="30"/>
      <c r="C364" s="70"/>
      <c r="G364" s="30"/>
      <c r="H364" s="77"/>
      <c r="I364" s="77"/>
      <c r="J364" s="58"/>
      <c r="K364" s="58"/>
    </row>
    <row r="365" spans="1:11" s="71" customFormat="1">
      <c r="A365" s="50"/>
      <c r="B365" s="30"/>
      <c r="C365" s="70"/>
      <c r="G365" s="30"/>
      <c r="H365" s="77"/>
      <c r="I365" s="77"/>
      <c r="J365" s="58"/>
      <c r="K365" s="58"/>
    </row>
    <row r="366" spans="1:11" s="71" customFormat="1">
      <c r="A366" s="50"/>
      <c r="B366" s="30"/>
      <c r="C366" s="70"/>
      <c r="G366" s="30"/>
      <c r="H366" s="77"/>
      <c r="I366" s="77"/>
      <c r="J366" s="58"/>
      <c r="K366" s="58"/>
    </row>
    <row r="367" spans="1:11" s="71" customFormat="1">
      <c r="A367" s="50"/>
      <c r="B367" s="30"/>
      <c r="C367" s="70"/>
      <c r="G367" s="30"/>
      <c r="H367" s="77"/>
      <c r="I367" s="77"/>
      <c r="J367" s="58"/>
      <c r="K367" s="58"/>
    </row>
    <row r="368" spans="1:11" s="71" customFormat="1">
      <c r="A368" s="50"/>
      <c r="B368" s="30"/>
      <c r="C368" s="70"/>
      <c r="G368" s="30"/>
      <c r="H368" s="77"/>
      <c r="I368" s="77"/>
      <c r="J368" s="58"/>
      <c r="K368" s="58"/>
    </row>
    <row r="369" spans="1:11" s="71" customFormat="1">
      <c r="A369" s="50"/>
      <c r="B369" s="30"/>
      <c r="C369" s="70"/>
      <c r="G369" s="30"/>
      <c r="H369" s="77"/>
      <c r="I369" s="77"/>
      <c r="J369" s="58"/>
      <c r="K369" s="58"/>
    </row>
    <row r="370" spans="1:11" s="71" customFormat="1">
      <c r="A370" s="50"/>
      <c r="B370" s="30"/>
      <c r="C370" s="70"/>
      <c r="G370" s="30"/>
      <c r="H370" s="77"/>
      <c r="I370" s="77"/>
      <c r="J370" s="58"/>
      <c r="K370" s="58"/>
    </row>
    <row r="371" spans="1:11" s="71" customFormat="1">
      <c r="A371" s="50"/>
      <c r="B371" s="30"/>
      <c r="C371" s="70"/>
      <c r="G371" s="30"/>
      <c r="H371" s="77"/>
      <c r="I371" s="77"/>
      <c r="J371" s="58"/>
      <c r="K371" s="58"/>
    </row>
    <row r="372" spans="1:11" s="71" customFormat="1">
      <c r="A372" s="50"/>
      <c r="B372" s="30"/>
      <c r="C372" s="70"/>
      <c r="G372" s="30"/>
      <c r="H372" s="77"/>
      <c r="I372" s="77"/>
      <c r="J372" s="58"/>
      <c r="K372" s="58"/>
    </row>
    <row r="373" spans="1:11" s="71" customFormat="1">
      <c r="A373" s="50"/>
      <c r="B373" s="30"/>
      <c r="C373" s="70"/>
      <c r="G373" s="30"/>
      <c r="H373" s="77"/>
      <c r="I373" s="77"/>
      <c r="J373" s="58"/>
      <c r="K373" s="58"/>
    </row>
    <row r="374" spans="1:11" s="71" customFormat="1">
      <c r="A374" s="50"/>
      <c r="B374" s="30"/>
      <c r="C374" s="70"/>
      <c r="G374" s="30"/>
      <c r="H374" s="77"/>
      <c r="I374" s="77"/>
      <c r="J374" s="58"/>
      <c r="K374" s="58"/>
    </row>
    <row r="375" spans="1:11" s="71" customFormat="1">
      <c r="A375" s="50"/>
      <c r="B375" s="30"/>
      <c r="C375" s="70"/>
      <c r="G375" s="30"/>
      <c r="H375" s="77"/>
      <c r="I375" s="77"/>
      <c r="J375" s="58"/>
      <c r="K375" s="58"/>
    </row>
    <row r="376" spans="1:11" s="71" customFormat="1">
      <c r="A376" s="50"/>
      <c r="B376" s="30"/>
      <c r="C376" s="70"/>
      <c r="G376" s="30"/>
      <c r="H376" s="77"/>
      <c r="I376" s="77"/>
      <c r="J376" s="58"/>
      <c r="K376" s="58"/>
    </row>
    <row r="377" spans="1:11" s="71" customFormat="1">
      <c r="A377" s="50"/>
      <c r="B377" s="30"/>
      <c r="C377" s="70"/>
      <c r="G377" s="30"/>
      <c r="H377" s="77"/>
      <c r="I377" s="77"/>
      <c r="J377" s="58"/>
      <c r="K377" s="58"/>
    </row>
    <row r="378" spans="1:11" s="71" customFormat="1">
      <c r="A378" s="50"/>
      <c r="B378" s="30"/>
      <c r="C378" s="70"/>
      <c r="G378" s="30"/>
      <c r="H378" s="77"/>
      <c r="I378" s="77"/>
      <c r="J378" s="58"/>
      <c r="K378" s="58"/>
    </row>
    <row r="379" spans="1:11" s="71" customFormat="1">
      <c r="A379" s="50"/>
      <c r="B379" s="30"/>
      <c r="C379" s="70"/>
      <c r="G379" s="30"/>
      <c r="H379" s="77"/>
      <c r="I379" s="77"/>
      <c r="J379" s="58"/>
      <c r="K379" s="58"/>
    </row>
    <row r="380" spans="1:11" s="71" customFormat="1">
      <c r="A380" s="50"/>
      <c r="B380" s="30"/>
      <c r="C380" s="70"/>
      <c r="G380" s="30"/>
      <c r="H380" s="77"/>
      <c r="I380" s="77"/>
      <c r="J380" s="58"/>
      <c r="K380" s="58"/>
    </row>
    <row r="381" spans="1:11" s="71" customFormat="1">
      <c r="A381" s="50"/>
      <c r="B381" s="30"/>
      <c r="C381" s="70"/>
      <c r="G381" s="30"/>
      <c r="H381" s="77"/>
      <c r="I381" s="77"/>
      <c r="J381" s="58"/>
      <c r="K381" s="58"/>
    </row>
    <row r="382" spans="1:11" s="71" customFormat="1">
      <c r="A382" s="50"/>
      <c r="B382" s="30"/>
      <c r="C382" s="70"/>
      <c r="G382" s="30"/>
      <c r="H382" s="77"/>
      <c r="I382" s="77"/>
      <c r="J382" s="58"/>
      <c r="K382" s="58"/>
    </row>
    <row r="383" spans="1:11" s="71" customFormat="1">
      <c r="A383" s="50"/>
      <c r="B383" s="30"/>
      <c r="C383" s="70"/>
      <c r="G383" s="30"/>
      <c r="H383" s="77"/>
      <c r="I383" s="77"/>
      <c r="J383" s="58"/>
      <c r="K383" s="58"/>
    </row>
    <row r="384" spans="1:11" s="71" customFormat="1">
      <c r="A384" s="50"/>
      <c r="B384" s="30"/>
      <c r="C384" s="70"/>
      <c r="G384" s="30"/>
      <c r="H384" s="77"/>
      <c r="I384" s="77"/>
      <c r="J384" s="58"/>
      <c r="K384" s="58"/>
    </row>
    <row r="385" spans="1:11" s="71" customFormat="1">
      <c r="A385" s="50"/>
      <c r="B385" s="30"/>
      <c r="C385" s="70"/>
      <c r="G385" s="30"/>
      <c r="H385" s="77"/>
      <c r="I385" s="77"/>
      <c r="J385" s="58"/>
      <c r="K385" s="58"/>
    </row>
    <row r="386" spans="1:11" s="71" customFormat="1">
      <c r="A386" s="50"/>
      <c r="B386" s="30"/>
      <c r="C386" s="70"/>
      <c r="G386" s="30"/>
      <c r="H386" s="77"/>
      <c r="I386" s="77"/>
      <c r="J386" s="58"/>
      <c r="K386" s="58"/>
    </row>
    <row r="387" spans="1:11" s="71" customFormat="1">
      <c r="A387" s="50"/>
      <c r="B387" s="30"/>
      <c r="C387" s="70"/>
      <c r="G387" s="30"/>
      <c r="H387" s="77"/>
      <c r="I387" s="77"/>
      <c r="J387" s="58"/>
      <c r="K387" s="58"/>
    </row>
    <row r="388" spans="1:11" s="71" customFormat="1">
      <c r="A388" s="50"/>
      <c r="B388" s="30"/>
      <c r="C388" s="70"/>
      <c r="G388" s="30"/>
      <c r="H388" s="77"/>
      <c r="I388" s="77"/>
      <c r="J388" s="58"/>
      <c r="K388" s="58"/>
    </row>
    <row r="389" spans="1:11" s="71" customFormat="1">
      <c r="A389" s="50"/>
      <c r="B389" s="30"/>
      <c r="C389" s="70"/>
      <c r="G389" s="30"/>
      <c r="H389" s="77"/>
      <c r="I389" s="77"/>
      <c r="J389" s="58"/>
      <c r="K389" s="58"/>
    </row>
    <row r="390" spans="1:11" s="71" customFormat="1">
      <c r="A390" s="50"/>
      <c r="B390" s="30"/>
      <c r="C390" s="70"/>
      <c r="G390" s="30"/>
      <c r="H390" s="77"/>
      <c r="I390" s="77"/>
      <c r="J390" s="58"/>
      <c r="K390" s="58"/>
    </row>
    <row r="391" spans="1:11" s="71" customFormat="1">
      <c r="A391" s="50"/>
      <c r="B391" s="30"/>
      <c r="C391" s="70"/>
      <c r="G391" s="30"/>
      <c r="H391" s="77"/>
      <c r="I391" s="77"/>
      <c r="J391" s="58"/>
      <c r="K391" s="58"/>
    </row>
    <row r="392" spans="1:11" s="71" customFormat="1">
      <c r="A392" s="50"/>
      <c r="B392" s="30"/>
      <c r="C392" s="70"/>
      <c r="G392" s="30"/>
      <c r="H392" s="77"/>
      <c r="I392" s="77"/>
      <c r="J392" s="58"/>
      <c r="K392" s="58"/>
    </row>
    <row r="393" spans="1:11" s="71" customFormat="1">
      <c r="A393" s="50"/>
      <c r="B393" s="30"/>
      <c r="C393" s="70"/>
      <c r="G393" s="30"/>
      <c r="H393" s="77"/>
      <c r="I393" s="77"/>
      <c r="J393" s="58"/>
      <c r="K393" s="58"/>
    </row>
    <row r="394" spans="1:11" s="71" customFormat="1">
      <c r="A394" s="50"/>
      <c r="B394" s="30"/>
      <c r="C394" s="70"/>
      <c r="G394" s="30"/>
      <c r="H394" s="77"/>
      <c r="I394" s="77"/>
      <c r="J394" s="58"/>
      <c r="K394" s="58"/>
    </row>
    <row r="395" spans="1:11" s="71" customFormat="1">
      <c r="A395" s="50"/>
      <c r="B395" s="30"/>
      <c r="C395" s="70"/>
      <c r="G395" s="30"/>
      <c r="H395" s="77"/>
      <c r="I395" s="77"/>
      <c r="J395" s="58"/>
      <c r="K395" s="58"/>
    </row>
    <row r="396" spans="1:11" s="71" customFormat="1">
      <c r="A396" s="50"/>
      <c r="B396" s="30"/>
      <c r="C396" s="70"/>
      <c r="G396" s="30"/>
      <c r="H396" s="77"/>
      <c r="I396" s="77"/>
      <c r="J396" s="58"/>
      <c r="K396" s="58"/>
    </row>
    <row r="397" spans="1:11" s="71" customFormat="1">
      <c r="A397" s="50"/>
      <c r="B397" s="30"/>
      <c r="C397" s="70"/>
      <c r="G397" s="30"/>
      <c r="H397" s="77"/>
      <c r="I397" s="77"/>
      <c r="J397" s="58"/>
      <c r="K397" s="58"/>
    </row>
    <row r="398" spans="1:11" s="71" customFormat="1">
      <c r="A398" s="50"/>
      <c r="B398" s="30"/>
      <c r="C398" s="70"/>
      <c r="G398" s="30"/>
      <c r="H398" s="77"/>
      <c r="I398" s="77"/>
      <c r="J398" s="58"/>
      <c r="K398" s="58"/>
    </row>
    <row r="399" spans="1:11" s="71" customFormat="1">
      <c r="A399" s="50"/>
      <c r="B399" s="30"/>
      <c r="C399" s="70"/>
      <c r="G399" s="30"/>
      <c r="H399" s="77"/>
      <c r="I399" s="77"/>
      <c r="J399" s="58"/>
      <c r="K399" s="58"/>
    </row>
    <row r="400" spans="1:11" s="71" customFormat="1">
      <c r="A400" s="50"/>
      <c r="B400" s="30"/>
      <c r="C400" s="70"/>
      <c r="G400" s="30"/>
      <c r="H400" s="77"/>
      <c r="I400" s="77"/>
      <c r="J400" s="58"/>
      <c r="K400" s="58"/>
    </row>
    <row r="401" spans="1:11" s="71" customFormat="1">
      <c r="A401" s="50"/>
      <c r="B401" s="30"/>
      <c r="C401" s="70"/>
      <c r="G401" s="30"/>
      <c r="H401" s="77"/>
      <c r="I401" s="77"/>
      <c r="J401" s="58"/>
      <c r="K401" s="58"/>
    </row>
    <row r="402" spans="1:11" s="71" customFormat="1">
      <c r="A402" s="50"/>
      <c r="B402" s="30"/>
      <c r="C402" s="70"/>
      <c r="G402" s="30"/>
      <c r="H402" s="77"/>
      <c r="I402" s="77"/>
      <c r="J402" s="58"/>
      <c r="K402" s="58"/>
    </row>
    <row r="403" spans="1:11" s="71" customFormat="1">
      <c r="A403" s="50"/>
      <c r="B403" s="30"/>
      <c r="C403" s="70"/>
      <c r="G403" s="30"/>
      <c r="H403" s="77"/>
      <c r="I403" s="77"/>
      <c r="J403" s="58"/>
      <c r="K403" s="58"/>
    </row>
    <row r="404" spans="1:11" s="71" customFormat="1">
      <c r="A404" s="50"/>
      <c r="B404" s="30"/>
      <c r="C404" s="70"/>
      <c r="G404" s="30"/>
      <c r="H404" s="77"/>
      <c r="I404" s="77"/>
      <c r="J404" s="58"/>
      <c r="K404" s="58"/>
    </row>
    <row r="405" spans="1:11" s="71" customFormat="1">
      <c r="A405" s="50"/>
      <c r="B405" s="30"/>
      <c r="C405" s="70"/>
      <c r="G405" s="30"/>
      <c r="H405" s="77"/>
      <c r="I405" s="77"/>
      <c r="J405" s="58"/>
      <c r="K405" s="58"/>
    </row>
    <row r="406" spans="1:11" s="71" customFormat="1">
      <c r="A406" s="50"/>
      <c r="B406" s="30"/>
      <c r="C406" s="70"/>
      <c r="G406" s="30"/>
      <c r="H406" s="77"/>
      <c r="I406" s="77"/>
      <c r="J406" s="58"/>
      <c r="K406" s="58"/>
    </row>
    <row r="407" spans="1:11" s="71" customFormat="1">
      <c r="A407" s="50"/>
      <c r="B407" s="30"/>
      <c r="C407" s="70"/>
      <c r="G407" s="30"/>
      <c r="H407" s="77"/>
      <c r="I407" s="77"/>
      <c r="J407" s="58"/>
      <c r="K407" s="58"/>
    </row>
    <row r="408" spans="1:11" s="71" customFormat="1">
      <c r="A408" s="50"/>
      <c r="B408" s="30"/>
      <c r="C408" s="70"/>
      <c r="G408" s="30"/>
      <c r="H408" s="77"/>
      <c r="I408" s="77"/>
      <c r="J408" s="58"/>
      <c r="K408" s="58"/>
    </row>
    <row r="409" spans="1:11" s="71" customFormat="1">
      <c r="A409" s="50"/>
      <c r="B409" s="30"/>
      <c r="C409" s="70"/>
      <c r="G409" s="30"/>
      <c r="H409" s="77"/>
      <c r="I409" s="77"/>
      <c r="J409" s="58"/>
      <c r="K409" s="58"/>
    </row>
    <row r="410" spans="1:11" s="71" customFormat="1">
      <c r="A410" s="50"/>
      <c r="B410" s="30"/>
      <c r="C410" s="70"/>
      <c r="G410" s="30"/>
      <c r="H410" s="77"/>
      <c r="I410" s="77"/>
      <c r="J410" s="58"/>
      <c r="K410" s="58"/>
    </row>
    <row r="411" spans="1:11" s="71" customFormat="1">
      <c r="A411" s="50"/>
      <c r="B411" s="30"/>
      <c r="C411" s="70"/>
      <c r="G411" s="30"/>
      <c r="H411" s="77"/>
      <c r="I411" s="77"/>
      <c r="J411" s="58"/>
      <c r="K411" s="58"/>
    </row>
    <row r="412" spans="1:11" s="71" customFormat="1">
      <c r="A412" s="50"/>
      <c r="B412" s="30"/>
      <c r="C412" s="70"/>
      <c r="G412" s="30"/>
      <c r="H412" s="77"/>
      <c r="I412" s="77"/>
      <c r="J412" s="58"/>
      <c r="K412" s="58"/>
    </row>
    <row r="413" spans="1:11" s="71" customFormat="1">
      <c r="A413" s="50"/>
      <c r="B413" s="30"/>
      <c r="C413" s="70"/>
      <c r="G413" s="30"/>
      <c r="H413" s="77"/>
      <c r="I413" s="77"/>
      <c r="J413" s="58"/>
      <c r="K413" s="58"/>
    </row>
    <row r="414" spans="1:11" s="71" customFormat="1">
      <c r="A414" s="50"/>
      <c r="B414" s="30"/>
      <c r="C414" s="70"/>
      <c r="G414" s="30"/>
      <c r="H414" s="77"/>
      <c r="I414" s="77"/>
      <c r="J414" s="58"/>
      <c r="K414" s="58"/>
    </row>
    <row r="415" spans="1:11" s="71" customFormat="1">
      <c r="A415" s="50"/>
      <c r="B415" s="30"/>
      <c r="C415" s="70"/>
      <c r="G415" s="30"/>
      <c r="H415" s="77"/>
      <c r="I415" s="77"/>
      <c r="J415" s="58"/>
      <c r="K415" s="58"/>
    </row>
    <row r="416" spans="1:11" s="71" customFormat="1">
      <c r="A416" s="50"/>
      <c r="B416" s="30"/>
      <c r="C416" s="70"/>
      <c r="G416" s="30"/>
      <c r="H416" s="77"/>
      <c r="I416" s="77"/>
      <c r="J416" s="58"/>
      <c r="K416" s="58"/>
    </row>
    <row r="417" spans="1:11" s="71" customFormat="1">
      <c r="A417" s="50"/>
      <c r="B417" s="30"/>
      <c r="C417" s="70"/>
      <c r="G417" s="30"/>
      <c r="H417" s="77"/>
      <c r="I417" s="77"/>
      <c r="J417" s="58"/>
      <c r="K417" s="58"/>
    </row>
    <row r="418" spans="1:11" s="71" customFormat="1">
      <c r="A418" s="50"/>
      <c r="B418" s="30"/>
      <c r="C418" s="70"/>
      <c r="G418" s="30"/>
      <c r="H418" s="77"/>
      <c r="I418" s="77"/>
      <c r="J418" s="58"/>
      <c r="K418" s="58"/>
    </row>
    <row r="419" spans="1:11" s="71" customFormat="1">
      <c r="A419" s="50"/>
      <c r="B419" s="30"/>
      <c r="C419" s="70"/>
      <c r="G419" s="30"/>
      <c r="H419" s="77"/>
      <c r="I419" s="77"/>
      <c r="J419" s="58"/>
      <c r="K419" s="58"/>
    </row>
    <row r="420" spans="1:11" s="71" customFormat="1">
      <c r="A420" s="50"/>
      <c r="B420" s="30"/>
      <c r="C420" s="70"/>
      <c r="G420" s="30"/>
      <c r="H420" s="77"/>
      <c r="I420" s="77"/>
      <c r="J420" s="58"/>
      <c r="K420" s="58"/>
    </row>
    <row r="421" spans="1:11" s="71" customFormat="1">
      <c r="A421" s="50"/>
      <c r="B421" s="30"/>
      <c r="C421" s="70"/>
      <c r="G421" s="30"/>
      <c r="H421" s="77"/>
      <c r="I421" s="77"/>
      <c r="J421" s="58"/>
      <c r="K421" s="58"/>
    </row>
    <row r="422" spans="1:11" s="71" customFormat="1">
      <c r="A422" s="50"/>
      <c r="B422" s="30"/>
      <c r="C422" s="70"/>
      <c r="G422" s="30"/>
      <c r="H422" s="77"/>
      <c r="I422" s="77"/>
      <c r="J422" s="58"/>
      <c r="K422" s="58"/>
    </row>
    <row r="423" spans="1:11" s="71" customFormat="1">
      <c r="A423" s="50"/>
      <c r="B423" s="30"/>
      <c r="C423" s="70"/>
      <c r="G423" s="30"/>
      <c r="H423" s="77"/>
      <c r="I423" s="77"/>
      <c r="J423" s="58"/>
      <c r="K423" s="58"/>
    </row>
    <row r="424" spans="1:11" s="71" customFormat="1">
      <c r="A424" s="50"/>
      <c r="B424" s="30"/>
      <c r="C424" s="70"/>
      <c r="G424" s="30"/>
      <c r="H424" s="77"/>
      <c r="I424" s="77"/>
      <c r="J424" s="58"/>
      <c r="K424" s="58"/>
    </row>
    <row r="425" spans="1:11" s="71" customFormat="1">
      <c r="A425" s="50"/>
      <c r="B425" s="30"/>
      <c r="C425" s="70"/>
      <c r="G425" s="30"/>
      <c r="H425" s="77"/>
      <c r="I425" s="77"/>
      <c r="J425" s="58"/>
      <c r="K425" s="58"/>
    </row>
    <row r="426" spans="1:11" s="71" customFormat="1">
      <c r="A426" s="50"/>
      <c r="B426" s="30"/>
      <c r="C426" s="70"/>
      <c r="G426" s="30"/>
      <c r="H426" s="77"/>
      <c r="I426" s="77"/>
      <c r="J426" s="58"/>
      <c r="K426" s="58"/>
    </row>
    <row r="427" spans="1:11" s="71" customFormat="1">
      <c r="A427" s="50"/>
      <c r="B427" s="30"/>
      <c r="C427" s="70"/>
      <c r="G427" s="30"/>
      <c r="H427" s="77"/>
      <c r="I427" s="77"/>
      <c r="J427" s="58"/>
      <c r="K427" s="58"/>
    </row>
    <row r="428" spans="1:11" s="71" customFormat="1">
      <c r="A428" s="50"/>
      <c r="B428" s="30"/>
      <c r="C428" s="70"/>
      <c r="G428" s="30"/>
      <c r="H428" s="77"/>
      <c r="I428" s="77"/>
      <c r="J428" s="58"/>
      <c r="K428" s="58"/>
    </row>
    <row r="429" spans="1:11" s="71" customFormat="1">
      <c r="A429" s="50"/>
      <c r="B429" s="30"/>
      <c r="C429" s="70"/>
      <c r="G429" s="30"/>
      <c r="H429" s="77"/>
      <c r="I429" s="77"/>
      <c r="J429" s="58"/>
      <c r="K429" s="58"/>
    </row>
    <row r="430" spans="1:11" s="71" customFormat="1">
      <c r="A430" s="50"/>
      <c r="B430" s="30"/>
      <c r="C430" s="70"/>
      <c r="G430" s="30"/>
      <c r="H430" s="77"/>
      <c r="I430" s="77"/>
      <c r="J430" s="58"/>
      <c r="K430" s="58"/>
    </row>
    <row r="431" spans="1:11" s="71" customFormat="1">
      <c r="A431" s="50"/>
      <c r="B431" s="30"/>
      <c r="C431" s="70"/>
      <c r="G431" s="30"/>
      <c r="H431" s="77"/>
      <c r="I431" s="77"/>
      <c r="J431" s="58"/>
      <c r="K431" s="58"/>
    </row>
    <row r="432" spans="1:11" s="71" customFormat="1">
      <c r="A432" s="50"/>
      <c r="B432" s="30"/>
      <c r="C432" s="70"/>
      <c r="G432" s="30"/>
      <c r="H432" s="77"/>
      <c r="I432" s="77"/>
      <c r="J432" s="58"/>
      <c r="K432" s="58"/>
    </row>
    <row r="433" spans="1:11" s="71" customFormat="1">
      <c r="A433" s="50"/>
      <c r="B433" s="30"/>
      <c r="C433" s="70"/>
      <c r="G433" s="30"/>
      <c r="H433" s="77"/>
      <c r="I433" s="77"/>
      <c r="J433" s="58"/>
      <c r="K433" s="58"/>
    </row>
    <row r="434" spans="1:11" s="71" customFormat="1">
      <c r="A434" s="50"/>
      <c r="B434" s="30"/>
      <c r="C434" s="70"/>
      <c r="G434" s="30"/>
      <c r="H434" s="77"/>
      <c r="I434" s="77"/>
      <c r="J434" s="58"/>
      <c r="K434" s="58"/>
    </row>
    <row r="435" spans="1:11" s="71" customFormat="1">
      <c r="A435" s="50"/>
      <c r="B435" s="30"/>
      <c r="C435" s="70"/>
      <c r="G435" s="30"/>
      <c r="H435" s="77"/>
      <c r="I435" s="77"/>
      <c r="J435" s="58"/>
      <c r="K435" s="58"/>
    </row>
    <row r="436" spans="1:11" s="71" customFormat="1">
      <c r="A436" s="50"/>
      <c r="B436" s="30"/>
      <c r="C436" s="70"/>
      <c r="G436" s="30"/>
      <c r="H436" s="77"/>
      <c r="I436" s="77"/>
      <c r="J436" s="58"/>
      <c r="K436" s="58"/>
    </row>
    <row r="437" spans="1:11" s="71" customFormat="1">
      <c r="A437" s="50"/>
      <c r="B437" s="30"/>
      <c r="C437" s="70"/>
      <c r="G437" s="30"/>
      <c r="H437" s="77"/>
      <c r="I437" s="77"/>
      <c r="J437" s="58"/>
      <c r="K437" s="58"/>
    </row>
    <row r="438" spans="1:11" s="71" customFormat="1">
      <c r="A438" s="50"/>
      <c r="B438" s="30"/>
      <c r="C438" s="70"/>
      <c r="G438" s="30"/>
      <c r="H438" s="77"/>
      <c r="I438" s="77"/>
      <c r="J438" s="58"/>
      <c r="K438" s="58"/>
    </row>
    <row r="439" spans="1:11" s="71" customFormat="1">
      <c r="A439" s="50"/>
      <c r="B439" s="30"/>
      <c r="C439" s="70"/>
      <c r="G439" s="30"/>
      <c r="H439" s="77"/>
      <c r="I439" s="77"/>
      <c r="J439" s="58"/>
      <c r="K439" s="58"/>
    </row>
    <row r="440" spans="1:11" s="71" customFormat="1">
      <c r="A440" s="50"/>
      <c r="B440" s="30"/>
      <c r="C440" s="70"/>
      <c r="G440" s="30"/>
      <c r="H440" s="77"/>
      <c r="I440" s="77"/>
      <c r="J440" s="58"/>
      <c r="K440" s="58"/>
    </row>
    <row r="441" spans="1:11" s="71" customFormat="1">
      <c r="A441" s="50"/>
      <c r="B441" s="30"/>
      <c r="C441" s="70"/>
      <c r="G441" s="30"/>
      <c r="H441" s="77"/>
      <c r="I441" s="77"/>
      <c r="J441" s="58"/>
      <c r="K441" s="58"/>
    </row>
    <row r="442" spans="1:11" s="71" customFormat="1">
      <c r="A442" s="50"/>
      <c r="B442" s="30"/>
      <c r="C442" s="70"/>
      <c r="G442" s="30"/>
      <c r="H442" s="77"/>
      <c r="I442" s="77"/>
      <c r="J442" s="58"/>
      <c r="K442" s="58"/>
    </row>
    <row r="443" spans="1:11" s="71" customFormat="1">
      <c r="A443" s="50"/>
      <c r="B443" s="30"/>
      <c r="C443" s="70"/>
      <c r="G443" s="30"/>
      <c r="H443" s="77"/>
      <c r="I443" s="77"/>
      <c r="J443" s="58"/>
      <c r="K443" s="58"/>
    </row>
    <row r="444" spans="1:11" s="71" customFormat="1">
      <c r="A444" s="50"/>
      <c r="B444" s="30"/>
      <c r="C444" s="70"/>
      <c r="G444" s="30"/>
      <c r="H444" s="77"/>
      <c r="I444" s="77"/>
      <c r="J444" s="58"/>
      <c r="K444" s="58"/>
    </row>
    <row r="445" spans="1:11" s="71" customFormat="1">
      <c r="A445" s="50"/>
      <c r="B445" s="30"/>
      <c r="C445" s="70"/>
      <c r="G445" s="30"/>
      <c r="H445" s="77"/>
      <c r="I445" s="77"/>
      <c r="J445" s="58"/>
      <c r="K445" s="58"/>
    </row>
    <row r="446" spans="1:11" s="71" customFormat="1">
      <c r="A446" s="50"/>
      <c r="B446" s="30"/>
      <c r="C446" s="70"/>
      <c r="G446" s="30"/>
      <c r="H446" s="77"/>
      <c r="I446" s="77"/>
      <c r="J446" s="58"/>
      <c r="K446" s="58"/>
    </row>
    <row r="447" spans="1:11" s="71" customFormat="1">
      <c r="A447" s="50"/>
      <c r="B447" s="30"/>
      <c r="C447" s="70"/>
      <c r="G447" s="30"/>
      <c r="H447" s="77"/>
      <c r="I447" s="77"/>
      <c r="J447" s="58"/>
      <c r="K447" s="58"/>
    </row>
    <row r="448" spans="1:11" s="71" customFormat="1">
      <c r="A448" s="50"/>
      <c r="B448" s="30"/>
      <c r="C448" s="70"/>
      <c r="G448" s="30"/>
      <c r="H448" s="77"/>
      <c r="I448" s="77"/>
      <c r="J448" s="58"/>
      <c r="K448" s="58"/>
    </row>
    <row r="449" spans="1:11" s="71" customFormat="1">
      <c r="A449" s="50"/>
      <c r="B449" s="30"/>
      <c r="C449" s="70"/>
      <c r="G449" s="30"/>
      <c r="H449" s="77"/>
      <c r="I449" s="77"/>
      <c r="J449" s="58"/>
      <c r="K449" s="58"/>
    </row>
    <row r="450" spans="1:11" s="71" customFormat="1">
      <c r="A450" s="50"/>
      <c r="B450" s="30"/>
      <c r="C450" s="70"/>
      <c r="G450" s="30"/>
      <c r="H450" s="77"/>
      <c r="I450" s="77"/>
      <c r="J450" s="58"/>
      <c r="K450" s="58"/>
    </row>
    <row r="451" spans="1:11" s="71" customFormat="1">
      <c r="A451" s="50"/>
      <c r="B451" s="30"/>
      <c r="C451" s="70"/>
      <c r="G451" s="30"/>
      <c r="H451" s="77"/>
      <c r="I451" s="77"/>
      <c r="J451" s="58"/>
      <c r="K451" s="58"/>
    </row>
    <row r="452" spans="1:11" s="71" customFormat="1">
      <c r="A452" s="50"/>
      <c r="B452" s="30"/>
      <c r="C452" s="70"/>
      <c r="G452" s="30"/>
      <c r="H452" s="77"/>
      <c r="I452" s="77"/>
      <c r="J452" s="58"/>
      <c r="K452" s="58"/>
    </row>
    <row r="453" spans="1:11" s="71" customFormat="1">
      <c r="A453" s="50"/>
      <c r="B453" s="30"/>
      <c r="C453" s="70"/>
      <c r="G453" s="30"/>
      <c r="H453" s="77"/>
      <c r="I453" s="77"/>
      <c r="J453" s="58"/>
      <c r="K453" s="58"/>
    </row>
    <row r="454" spans="1:11" s="71" customFormat="1">
      <c r="A454" s="50"/>
      <c r="B454" s="30"/>
      <c r="C454" s="70"/>
      <c r="G454" s="30"/>
      <c r="H454" s="77"/>
      <c r="I454" s="77"/>
      <c r="J454" s="58"/>
      <c r="K454" s="58"/>
    </row>
    <row r="455" spans="1:11" s="71" customFormat="1">
      <c r="A455" s="50"/>
      <c r="B455" s="30"/>
      <c r="C455" s="70"/>
      <c r="G455" s="30"/>
      <c r="H455" s="77"/>
      <c r="I455" s="77"/>
      <c r="J455" s="58"/>
      <c r="K455" s="58"/>
    </row>
    <row r="456" spans="1:11" s="71" customFormat="1">
      <c r="A456" s="50"/>
      <c r="B456" s="30"/>
      <c r="C456" s="70"/>
      <c r="G456" s="30"/>
      <c r="H456" s="77"/>
      <c r="I456" s="77"/>
      <c r="J456" s="58"/>
      <c r="K456" s="58"/>
    </row>
    <row r="457" spans="1:11" s="71" customFormat="1">
      <c r="A457" s="50"/>
      <c r="B457" s="30"/>
      <c r="C457" s="70"/>
      <c r="G457" s="30"/>
      <c r="H457" s="77"/>
      <c r="I457" s="77"/>
      <c r="J457" s="58"/>
      <c r="K457" s="58"/>
    </row>
    <row r="458" spans="1:11" s="71" customFormat="1">
      <c r="A458" s="50"/>
      <c r="B458" s="30"/>
      <c r="C458" s="70"/>
      <c r="G458" s="30"/>
      <c r="H458" s="77"/>
      <c r="I458" s="77"/>
      <c r="J458" s="58"/>
      <c r="K458" s="58"/>
    </row>
    <row r="459" spans="1:11" s="71" customFormat="1">
      <c r="A459" s="50"/>
      <c r="B459" s="30"/>
      <c r="C459" s="70"/>
      <c r="G459" s="30"/>
      <c r="H459" s="77"/>
      <c r="I459" s="77"/>
      <c r="J459" s="58"/>
      <c r="K459" s="58"/>
    </row>
    <row r="460" spans="1:11" s="71" customFormat="1">
      <c r="A460" s="50"/>
      <c r="B460" s="30"/>
      <c r="C460" s="70"/>
      <c r="G460" s="30"/>
      <c r="H460" s="77"/>
      <c r="I460" s="77"/>
      <c r="J460" s="58"/>
      <c r="K460" s="58"/>
    </row>
    <row r="461" spans="1:11" s="71" customFormat="1">
      <c r="A461" s="50"/>
      <c r="B461" s="30"/>
      <c r="C461" s="70"/>
      <c r="G461" s="30"/>
      <c r="H461" s="77"/>
      <c r="I461" s="77"/>
      <c r="J461" s="58"/>
      <c r="K461" s="58"/>
    </row>
    <row r="462" spans="1:11" s="71" customFormat="1">
      <c r="A462" s="50"/>
      <c r="B462" s="30"/>
      <c r="C462" s="70"/>
      <c r="G462" s="30"/>
      <c r="H462" s="77"/>
      <c r="I462" s="77"/>
      <c r="J462" s="58"/>
      <c r="K462" s="58"/>
    </row>
    <row r="463" spans="1:11" s="71" customFormat="1">
      <c r="A463" s="50"/>
      <c r="B463" s="30"/>
      <c r="C463" s="70"/>
      <c r="G463" s="30"/>
      <c r="H463" s="77"/>
      <c r="I463" s="77"/>
      <c r="J463" s="58"/>
      <c r="K463" s="58"/>
    </row>
    <row r="464" spans="1:11" s="71" customFormat="1">
      <c r="A464" s="50"/>
      <c r="B464" s="30"/>
      <c r="C464" s="70"/>
      <c r="G464" s="30"/>
      <c r="H464" s="77"/>
      <c r="I464" s="77"/>
      <c r="J464" s="58"/>
      <c r="K464" s="58"/>
    </row>
    <row r="465" spans="1:11" s="71" customFormat="1">
      <c r="A465" s="50"/>
      <c r="B465" s="30"/>
      <c r="C465" s="70"/>
      <c r="G465" s="30"/>
      <c r="H465" s="77"/>
      <c r="I465" s="77"/>
      <c r="J465" s="58"/>
      <c r="K465" s="58"/>
    </row>
    <row r="466" spans="1:11" s="71" customFormat="1">
      <c r="A466" s="50"/>
      <c r="B466" s="30"/>
      <c r="C466" s="70"/>
      <c r="G466" s="30"/>
      <c r="H466" s="77"/>
      <c r="I466" s="77"/>
      <c r="J466" s="58"/>
      <c r="K466" s="58"/>
    </row>
    <row r="467" spans="1:11" s="71" customFormat="1">
      <c r="A467" s="50"/>
      <c r="B467" s="30"/>
      <c r="C467" s="70"/>
      <c r="G467" s="30"/>
      <c r="H467" s="77"/>
      <c r="I467" s="77"/>
      <c r="J467" s="58"/>
      <c r="K467" s="58"/>
    </row>
    <row r="468" spans="1:11" s="71" customFormat="1">
      <c r="A468" s="50"/>
      <c r="B468" s="30"/>
      <c r="C468" s="70"/>
      <c r="G468" s="30"/>
      <c r="H468" s="77"/>
      <c r="I468" s="77"/>
      <c r="J468" s="58"/>
      <c r="K468" s="58"/>
    </row>
    <row r="469" spans="1:11" s="71" customFormat="1">
      <c r="A469" s="50"/>
      <c r="B469" s="30"/>
      <c r="C469" s="70"/>
      <c r="G469" s="30"/>
      <c r="H469" s="77"/>
      <c r="I469" s="77"/>
      <c r="J469" s="58"/>
      <c r="K469" s="58"/>
    </row>
    <row r="470" spans="1:11" s="71" customFormat="1">
      <c r="A470" s="50"/>
      <c r="B470" s="30"/>
      <c r="C470" s="70"/>
      <c r="G470" s="30"/>
      <c r="H470" s="77"/>
      <c r="I470" s="77"/>
      <c r="J470" s="58"/>
      <c r="K470" s="58"/>
    </row>
    <row r="471" spans="1:11" s="71" customFormat="1">
      <c r="A471" s="50"/>
      <c r="B471" s="30"/>
      <c r="C471" s="70"/>
      <c r="G471" s="30"/>
      <c r="H471" s="77"/>
      <c r="I471" s="77"/>
      <c r="J471" s="58"/>
      <c r="K471" s="58"/>
    </row>
    <row r="472" spans="1:11" s="71" customFormat="1">
      <c r="A472" s="50"/>
      <c r="B472" s="30"/>
      <c r="C472" s="70"/>
      <c r="G472" s="30"/>
      <c r="H472" s="77"/>
      <c r="I472" s="77"/>
      <c r="J472" s="58"/>
      <c r="K472" s="58"/>
    </row>
    <row r="473" spans="1:11" s="71" customFormat="1">
      <c r="A473" s="50"/>
      <c r="B473" s="30"/>
      <c r="C473" s="70"/>
      <c r="G473" s="30"/>
      <c r="H473" s="77"/>
      <c r="I473" s="77"/>
      <c r="J473" s="58"/>
      <c r="K473" s="58"/>
    </row>
    <row r="474" spans="1:11" s="71" customFormat="1">
      <c r="A474" s="50"/>
      <c r="B474" s="30"/>
      <c r="C474" s="70"/>
      <c r="G474" s="30"/>
      <c r="H474" s="77"/>
      <c r="I474" s="77"/>
      <c r="J474" s="58"/>
      <c r="K474" s="58"/>
    </row>
    <row r="475" spans="1:11" s="71" customFormat="1">
      <c r="A475" s="50"/>
      <c r="B475" s="30"/>
      <c r="C475" s="70"/>
      <c r="G475" s="30"/>
      <c r="H475" s="77"/>
      <c r="I475" s="77"/>
      <c r="J475" s="58"/>
      <c r="K475" s="58"/>
    </row>
    <row r="476" spans="1:11" s="71" customFormat="1">
      <c r="A476" s="50"/>
      <c r="B476" s="30"/>
      <c r="C476" s="70"/>
      <c r="G476" s="30"/>
      <c r="H476" s="77"/>
      <c r="I476" s="77"/>
      <c r="J476" s="58"/>
      <c r="K476" s="58"/>
    </row>
    <row r="477" spans="1:11" s="71" customFormat="1">
      <c r="A477" s="50"/>
      <c r="B477" s="30"/>
      <c r="C477" s="70"/>
      <c r="G477" s="30"/>
      <c r="H477" s="77"/>
      <c r="I477" s="77"/>
      <c r="J477" s="58"/>
      <c r="K477" s="58"/>
    </row>
    <row r="478" spans="1:11" s="71" customFormat="1">
      <c r="A478" s="50"/>
      <c r="B478" s="30"/>
      <c r="C478" s="70"/>
      <c r="G478" s="30"/>
      <c r="H478" s="77"/>
      <c r="I478" s="77"/>
      <c r="J478" s="58"/>
      <c r="K478" s="58"/>
    </row>
    <row r="479" spans="1:11" s="71" customFormat="1">
      <c r="A479" s="50"/>
      <c r="B479" s="30"/>
      <c r="C479" s="70"/>
      <c r="G479" s="30"/>
      <c r="H479" s="77"/>
      <c r="I479" s="77"/>
      <c r="J479" s="58"/>
      <c r="K479" s="58"/>
    </row>
    <row r="480" spans="1:11" s="71" customFormat="1">
      <c r="A480" s="50"/>
      <c r="B480" s="30"/>
      <c r="C480" s="70"/>
      <c r="G480" s="30"/>
      <c r="H480" s="77"/>
      <c r="I480" s="77"/>
      <c r="J480" s="58"/>
      <c r="K480" s="58"/>
    </row>
    <row r="481" spans="1:11" s="71" customFormat="1">
      <c r="A481" s="50"/>
      <c r="B481" s="30"/>
      <c r="C481" s="70"/>
      <c r="G481" s="30"/>
      <c r="H481" s="77"/>
      <c r="I481" s="77"/>
      <c r="J481" s="58"/>
      <c r="K481" s="58"/>
    </row>
    <row r="482" spans="1:11" s="71" customFormat="1">
      <c r="A482" s="50"/>
      <c r="B482" s="30"/>
      <c r="C482" s="70"/>
      <c r="G482" s="30"/>
      <c r="H482" s="77"/>
      <c r="I482" s="77"/>
      <c r="J482" s="58"/>
      <c r="K482" s="58"/>
    </row>
    <row r="483" spans="1:11" s="71" customFormat="1">
      <c r="A483" s="50"/>
      <c r="B483" s="30"/>
      <c r="C483" s="70"/>
      <c r="G483" s="30"/>
      <c r="H483" s="77"/>
      <c r="I483" s="77"/>
      <c r="J483" s="58"/>
      <c r="K483" s="58"/>
    </row>
    <row r="484" spans="1:11" s="71" customFormat="1">
      <c r="A484" s="50"/>
      <c r="B484" s="30"/>
      <c r="C484" s="70"/>
      <c r="G484" s="30"/>
      <c r="H484" s="77"/>
      <c r="I484" s="77"/>
      <c r="J484" s="58"/>
      <c r="K484" s="58"/>
    </row>
    <row r="485" spans="1:11" s="71" customFormat="1">
      <c r="A485" s="50"/>
      <c r="B485" s="30"/>
      <c r="C485" s="70"/>
      <c r="G485" s="30"/>
      <c r="H485" s="77"/>
      <c r="I485" s="77"/>
      <c r="J485" s="58"/>
      <c r="K485" s="58"/>
    </row>
    <row r="486" spans="1:11" s="71" customFormat="1">
      <c r="A486" s="50"/>
      <c r="B486" s="30"/>
      <c r="C486" s="70"/>
      <c r="G486" s="30"/>
      <c r="H486" s="77"/>
      <c r="I486" s="77"/>
      <c r="J486" s="58"/>
      <c r="K486" s="58"/>
    </row>
    <row r="487" spans="1:11" s="71" customFormat="1">
      <c r="A487" s="50"/>
      <c r="B487" s="30"/>
      <c r="C487" s="70"/>
      <c r="G487" s="30"/>
      <c r="H487" s="77"/>
      <c r="I487" s="77"/>
      <c r="J487" s="58"/>
      <c r="K487" s="58"/>
    </row>
    <row r="488" spans="1:11" s="71" customFormat="1">
      <c r="A488" s="50"/>
      <c r="B488" s="30"/>
      <c r="C488" s="70"/>
      <c r="G488" s="30"/>
      <c r="H488" s="77"/>
      <c r="I488" s="77"/>
      <c r="J488" s="58"/>
      <c r="K488" s="58"/>
    </row>
    <row r="489" spans="1:11" s="71" customFormat="1">
      <c r="A489" s="50"/>
      <c r="B489" s="30"/>
      <c r="C489" s="70"/>
      <c r="G489" s="30"/>
      <c r="H489" s="77"/>
      <c r="I489" s="77"/>
      <c r="J489" s="58"/>
      <c r="K489" s="58"/>
    </row>
    <row r="490" spans="1:11" s="71" customFormat="1">
      <c r="A490" s="50"/>
      <c r="B490" s="30"/>
      <c r="C490" s="70"/>
      <c r="G490" s="30"/>
      <c r="H490" s="77"/>
      <c r="I490" s="77"/>
      <c r="J490" s="58"/>
      <c r="K490" s="58"/>
    </row>
    <row r="491" spans="1:11" s="71" customFormat="1">
      <c r="A491" s="50"/>
      <c r="B491" s="30"/>
      <c r="C491" s="70"/>
      <c r="G491" s="30"/>
      <c r="H491" s="77"/>
      <c r="I491" s="77"/>
      <c r="J491" s="58"/>
      <c r="K491" s="58"/>
    </row>
    <row r="492" spans="1:11" s="71" customFormat="1">
      <c r="A492" s="50"/>
      <c r="B492" s="30"/>
      <c r="C492" s="70"/>
      <c r="G492" s="30"/>
      <c r="H492" s="77"/>
      <c r="I492" s="77"/>
      <c r="J492" s="58"/>
      <c r="K492" s="58"/>
    </row>
    <row r="493" spans="1:11" s="71" customFormat="1">
      <c r="A493" s="50"/>
      <c r="B493" s="30"/>
      <c r="C493" s="70"/>
      <c r="G493" s="30"/>
      <c r="H493" s="77"/>
      <c r="I493" s="77"/>
      <c r="J493" s="58"/>
      <c r="K493" s="58"/>
    </row>
    <row r="494" spans="1:11" s="71" customFormat="1">
      <c r="A494" s="50"/>
      <c r="B494" s="30"/>
      <c r="C494" s="70"/>
      <c r="G494" s="30"/>
      <c r="H494" s="77"/>
      <c r="I494" s="77"/>
      <c r="J494" s="58"/>
      <c r="K494" s="58"/>
    </row>
    <row r="495" spans="1:11" s="71" customFormat="1">
      <c r="A495" s="50"/>
      <c r="B495" s="30"/>
      <c r="C495" s="70"/>
      <c r="G495" s="30"/>
      <c r="H495" s="77"/>
      <c r="I495" s="77"/>
      <c r="J495" s="58"/>
      <c r="K495" s="58"/>
    </row>
    <row r="496" spans="1:11" s="71" customFormat="1">
      <c r="A496" s="50"/>
      <c r="B496" s="30"/>
      <c r="C496" s="70"/>
      <c r="G496" s="30"/>
      <c r="H496" s="77"/>
      <c r="I496" s="77"/>
      <c r="J496" s="58"/>
      <c r="K496" s="58"/>
    </row>
    <row r="497" spans="1:11" s="71" customFormat="1">
      <c r="A497" s="50"/>
      <c r="B497" s="30"/>
      <c r="C497" s="70"/>
      <c r="G497" s="30"/>
      <c r="H497" s="77"/>
      <c r="I497" s="77"/>
      <c r="J497" s="58"/>
      <c r="K497" s="58"/>
    </row>
    <row r="498" spans="1:11" s="71" customFormat="1">
      <c r="A498" s="50"/>
      <c r="B498" s="30"/>
      <c r="C498" s="70"/>
      <c r="G498" s="30"/>
      <c r="H498" s="77"/>
      <c r="I498" s="77"/>
      <c r="J498" s="58"/>
      <c r="K498" s="58"/>
    </row>
    <row r="499" spans="1:11" s="71" customFormat="1">
      <c r="A499" s="50"/>
      <c r="B499" s="30"/>
      <c r="C499" s="70"/>
      <c r="G499" s="30"/>
      <c r="H499" s="77"/>
      <c r="I499" s="77"/>
      <c r="J499" s="58"/>
      <c r="K499" s="58"/>
    </row>
    <row r="500" spans="1:11" s="71" customFormat="1">
      <c r="A500" s="50"/>
      <c r="B500" s="30"/>
      <c r="C500" s="70"/>
      <c r="G500" s="30"/>
      <c r="H500" s="77"/>
      <c r="I500" s="77"/>
      <c r="J500" s="58"/>
      <c r="K500" s="58"/>
    </row>
    <row r="501" spans="1:11" s="71" customFormat="1">
      <c r="A501" s="50"/>
      <c r="B501" s="30"/>
      <c r="C501" s="70"/>
      <c r="G501" s="30"/>
      <c r="H501" s="77"/>
      <c r="I501" s="77"/>
      <c r="J501" s="58"/>
      <c r="K501" s="58"/>
    </row>
    <row r="502" spans="1:11" s="71" customFormat="1">
      <c r="A502" s="50"/>
      <c r="B502" s="30"/>
      <c r="C502" s="70"/>
      <c r="G502" s="30"/>
      <c r="H502" s="77"/>
      <c r="I502" s="77"/>
      <c r="J502" s="58"/>
      <c r="K502" s="58"/>
    </row>
    <row r="503" spans="1:11" s="71" customFormat="1">
      <c r="A503" s="50"/>
      <c r="B503" s="30"/>
      <c r="C503" s="70"/>
      <c r="G503" s="30"/>
      <c r="H503" s="77"/>
      <c r="I503" s="77"/>
      <c r="J503" s="58"/>
      <c r="K503" s="58"/>
    </row>
    <row r="504" spans="1:11" s="71" customFormat="1">
      <c r="A504" s="50"/>
      <c r="B504" s="30"/>
      <c r="C504" s="70"/>
      <c r="G504" s="30"/>
      <c r="H504" s="77"/>
      <c r="I504" s="77"/>
      <c r="J504" s="58"/>
      <c r="K504" s="58"/>
    </row>
    <row r="505" spans="1:11" s="71" customFormat="1">
      <c r="A505" s="50"/>
      <c r="B505" s="30"/>
      <c r="C505" s="70"/>
      <c r="G505" s="30"/>
      <c r="H505" s="77"/>
      <c r="I505" s="77"/>
      <c r="J505" s="58"/>
      <c r="K505" s="58"/>
    </row>
    <row r="506" spans="1:11" s="71" customFormat="1">
      <c r="A506" s="50"/>
      <c r="B506" s="30"/>
      <c r="C506" s="70"/>
      <c r="G506" s="30"/>
      <c r="H506" s="77"/>
      <c r="I506" s="77"/>
      <c r="J506" s="58"/>
      <c r="K506" s="58"/>
    </row>
    <row r="507" spans="1:11" s="71" customFormat="1">
      <c r="A507" s="50"/>
      <c r="B507" s="30"/>
      <c r="C507" s="70"/>
      <c r="G507" s="30"/>
      <c r="H507" s="77"/>
      <c r="I507" s="77"/>
      <c r="J507" s="58"/>
      <c r="K507" s="58"/>
    </row>
    <row r="508" spans="1:11" s="71" customFormat="1">
      <c r="A508" s="50"/>
      <c r="B508" s="30"/>
      <c r="C508" s="70"/>
      <c r="G508" s="30"/>
      <c r="H508" s="77"/>
      <c r="I508" s="77"/>
      <c r="J508" s="58"/>
      <c r="K508" s="58"/>
    </row>
    <row r="509" spans="1:11" s="71" customFormat="1">
      <c r="A509" s="50"/>
      <c r="B509" s="30"/>
      <c r="C509" s="70"/>
      <c r="G509" s="30"/>
      <c r="H509" s="77"/>
      <c r="I509" s="77"/>
      <c r="J509" s="58"/>
      <c r="K509" s="58"/>
    </row>
    <row r="510" spans="1:11" s="71" customFormat="1">
      <c r="A510" s="50"/>
      <c r="B510" s="30"/>
      <c r="C510" s="70"/>
      <c r="G510" s="30"/>
      <c r="H510" s="77"/>
      <c r="I510" s="77"/>
      <c r="J510" s="58"/>
      <c r="K510" s="58"/>
    </row>
    <row r="511" spans="1:11" s="71" customFormat="1">
      <c r="A511" s="50"/>
      <c r="B511" s="30"/>
      <c r="C511" s="70"/>
      <c r="G511" s="30"/>
      <c r="H511" s="77"/>
      <c r="I511" s="77"/>
      <c r="J511" s="58"/>
      <c r="K511" s="58"/>
    </row>
    <row r="512" spans="1:11" s="71" customFormat="1">
      <c r="A512" s="50"/>
      <c r="B512" s="30"/>
      <c r="C512" s="70"/>
      <c r="G512" s="30"/>
      <c r="H512" s="77"/>
      <c r="I512" s="77"/>
      <c r="J512" s="58"/>
      <c r="K512" s="58"/>
    </row>
    <row r="513" spans="1:11" s="71" customFormat="1">
      <c r="A513" s="50"/>
      <c r="B513" s="30"/>
      <c r="C513" s="70"/>
      <c r="G513" s="30"/>
      <c r="H513" s="77"/>
      <c r="I513" s="77"/>
      <c r="J513" s="58"/>
      <c r="K513" s="58"/>
    </row>
    <row r="514" spans="1:11" s="71" customFormat="1">
      <c r="A514" s="50"/>
      <c r="B514" s="30"/>
      <c r="C514" s="70"/>
      <c r="G514" s="30"/>
      <c r="H514" s="77"/>
      <c r="I514" s="77"/>
      <c r="J514" s="58"/>
      <c r="K514" s="58"/>
    </row>
    <row r="515" spans="1:11" s="71" customFormat="1">
      <c r="A515" s="50"/>
      <c r="B515" s="30"/>
      <c r="C515" s="70"/>
      <c r="G515" s="30"/>
      <c r="H515" s="77"/>
      <c r="I515" s="77"/>
      <c r="J515" s="58"/>
      <c r="K515" s="58"/>
    </row>
    <row r="516" spans="1:11" s="71" customFormat="1">
      <c r="A516" s="50"/>
      <c r="B516" s="30"/>
      <c r="C516" s="70"/>
      <c r="G516" s="30"/>
      <c r="H516" s="77"/>
      <c r="I516" s="77"/>
      <c r="J516" s="58"/>
      <c r="K516" s="58"/>
    </row>
    <row r="517" spans="1:11" s="71" customFormat="1">
      <c r="A517" s="50"/>
      <c r="B517" s="30"/>
      <c r="C517" s="70"/>
      <c r="G517" s="30"/>
      <c r="H517" s="77"/>
      <c r="I517" s="77"/>
      <c r="J517" s="58"/>
      <c r="K517" s="58"/>
    </row>
    <row r="518" spans="1:11" s="71" customFormat="1">
      <c r="A518" s="50"/>
      <c r="B518" s="30"/>
      <c r="C518" s="70"/>
      <c r="G518" s="30"/>
      <c r="H518" s="77"/>
      <c r="I518" s="77"/>
      <c r="J518" s="58"/>
      <c r="K518" s="58"/>
    </row>
    <row r="519" spans="1:11" s="71" customFormat="1">
      <c r="A519" s="50"/>
      <c r="B519" s="30"/>
      <c r="C519" s="70"/>
      <c r="G519" s="30"/>
      <c r="H519" s="77"/>
      <c r="I519" s="77"/>
      <c r="J519" s="58"/>
      <c r="K519" s="58"/>
    </row>
    <row r="520" spans="1:11" s="71" customFormat="1">
      <c r="A520" s="50"/>
      <c r="B520" s="30"/>
      <c r="C520" s="70"/>
      <c r="G520" s="30"/>
      <c r="H520" s="77"/>
      <c r="I520" s="77"/>
      <c r="J520" s="58"/>
      <c r="K520" s="58"/>
    </row>
    <row r="521" spans="1:11" s="71" customFormat="1">
      <c r="A521" s="50"/>
      <c r="B521" s="30"/>
      <c r="C521" s="70"/>
      <c r="G521" s="30"/>
      <c r="H521" s="77"/>
      <c r="I521" s="77"/>
      <c r="J521" s="58"/>
      <c r="K521" s="58"/>
    </row>
    <row r="522" spans="1:11" s="71" customFormat="1">
      <c r="A522" s="50"/>
      <c r="B522" s="30"/>
      <c r="C522" s="70"/>
      <c r="G522" s="30"/>
      <c r="H522" s="77"/>
      <c r="I522" s="77"/>
      <c r="J522" s="58"/>
      <c r="K522" s="58"/>
    </row>
    <row r="523" spans="1:11" s="71" customFormat="1">
      <c r="A523" s="50"/>
      <c r="B523" s="30"/>
      <c r="C523" s="70"/>
      <c r="G523" s="30"/>
      <c r="H523" s="77"/>
      <c r="I523" s="77"/>
      <c r="J523" s="58"/>
      <c r="K523" s="58"/>
    </row>
    <row r="524" spans="1:11" s="71" customFormat="1">
      <c r="A524" s="50"/>
      <c r="B524" s="30"/>
      <c r="C524" s="70"/>
      <c r="G524" s="30"/>
      <c r="H524" s="77"/>
      <c r="I524" s="77"/>
      <c r="J524" s="58"/>
      <c r="K524" s="58"/>
    </row>
    <row r="525" spans="1:11" s="71" customFormat="1">
      <c r="A525" s="50"/>
      <c r="B525" s="30"/>
      <c r="C525" s="70"/>
      <c r="G525" s="30"/>
      <c r="H525" s="77"/>
      <c r="I525" s="77"/>
      <c r="J525" s="58"/>
      <c r="K525" s="58"/>
    </row>
    <row r="526" spans="1:11" s="71" customFormat="1">
      <c r="A526" s="50"/>
      <c r="B526" s="30"/>
      <c r="C526" s="70"/>
      <c r="G526" s="30"/>
      <c r="H526" s="77"/>
      <c r="I526" s="77"/>
      <c r="J526" s="58"/>
      <c r="K526" s="58"/>
    </row>
    <row r="527" spans="1:11" s="71" customFormat="1">
      <c r="A527" s="50"/>
      <c r="B527" s="30"/>
      <c r="C527" s="70"/>
      <c r="G527" s="30"/>
      <c r="H527" s="77"/>
      <c r="I527" s="77"/>
      <c r="J527" s="58"/>
      <c r="K527" s="58"/>
    </row>
    <row r="528" spans="1:11" s="71" customFormat="1">
      <c r="A528" s="50"/>
      <c r="B528" s="30"/>
      <c r="C528" s="70"/>
      <c r="G528" s="30"/>
      <c r="H528" s="77"/>
      <c r="I528" s="77"/>
      <c r="J528" s="58"/>
      <c r="K528" s="58"/>
    </row>
    <row r="529" spans="1:11" s="71" customFormat="1">
      <c r="A529" s="50"/>
      <c r="B529" s="30"/>
      <c r="C529" s="70"/>
      <c r="G529" s="30"/>
      <c r="H529" s="77"/>
      <c r="I529" s="77"/>
      <c r="J529" s="58"/>
      <c r="K529" s="58"/>
    </row>
    <row r="530" spans="1:11" s="71" customFormat="1">
      <c r="A530" s="50"/>
      <c r="B530" s="30"/>
      <c r="C530" s="70"/>
      <c r="G530" s="30"/>
      <c r="H530" s="77"/>
      <c r="I530" s="77"/>
      <c r="J530" s="58"/>
      <c r="K530" s="58"/>
    </row>
    <row r="531" spans="1:11" s="71" customFormat="1">
      <c r="A531" s="50"/>
      <c r="B531" s="30"/>
      <c r="C531" s="70"/>
      <c r="G531" s="30"/>
      <c r="H531" s="77"/>
      <c r="I531" s="77"/>
      <c r="J531" s="58"/>
      <c r="K531" s="58"/>
    </row>
    <row r="532" spans="1:11" s="71" customFormat="1">
      <c r="A532" s="50"/>
      <c r="B532" s="30"/>
      <c r="C532" s="70"/>
      <c r="G532" s="30"/>
      <c r="H532" s="77"/>
      <c r="I532" s="77"/>
      <c r="J532" s="58"/>
      <c r="K532" s="58"/>
    </row>
    <row r="533" spans="1:11" s="71" customFormat="1">
      <c r="A533" s="87"/>
      <c r="B533" s="30"/>
      <c r="C533" s="70"/>
      <c r="G533" s="30"/>
      <c r="H533" s="77"/>
      <c r="I533" s="77"/>
      <c r="J533" s="58"/>
      <c r="K533" s="58"/>
    </row>
    <row r="534" spans="1:11" s="71" customFormat="1">
      <c r="A534" s="87"/>
      <c r="B534" s="30"/>
      <c r="C534" s="70"/>
      <c r="G534" s="30"/>
      <c r="H534" s="77"/>
      <c r="I534" s="77"/>
      <c r="J534" s="58"/>
      <c r="K534" s="58"/>
    </row>
    <row r="535" spans="1:11" s="71" customFormat="1">
      <c r="A535" s="87"/>
      <c r="B535" s="30"/>
      <c r="C535" s="70"/>
      <c r="G535" s="30"/>
      <c r="H535" s="77"/>
      <c r="I535" s="77"/>
      <c r="J535" s="58"/>
      <c r="K535" s="58"/>
    </row>
    <row r="536" spans="1:11" s="71" customFormat="1">
      <c r="A536" s="87"/>
      <c r="B536" s="30"/>
      <c r="C536" s="70"/>
      <c r="G536" s="30"/>
      <c r="H536" s="77"/>
      <c r="I536" s="77"/>
      <c r="J536" s="58"/>
      <c r="K536" s="58"/>
    </row>
    <row r="537" spans="1:11" s="71" customFormat="1">
      <c r="A537" s="87"/>
      <c r="B537" s="30"/>
      <c r="C537" s="70"/>
      <c r="G537" s="30"/>
      <c r="H537" s="77"/>
      <c r="I537" s="77"/>
      <c r="J537" s="58"/>
      <c r="K537" s="58"/>
    </row>
    <row r="538" spans="1:11" s="71" customFormat="1">
      <c r="A538" s="87"/>
      <c r="B538" s="30"/>
      <c r="C538" s="70"/>
      <c r="G538" s="30"/>
      <c r="H538" s="77"/>
      <c r="I538" s="77"/>
      <c r="J538" s="58"/>
      <c r="K538" s="58"/>
    </row>
    <row r="539" spans="1:11" s="71" customFormat="1">
      <c r="A539" s="87"/>
      <c r="B539" s="30"/>
      <c r="C539" s="70"/>
      <c r="G539" s="30"/>
      <c r="H539" s="77"/>
      <c r="I539" s="77"/>
      <c r="J539" s="58"/>
      <c r="K539" s="58"/>
    </row>
    <row r="540" spans="1:11" s="71" customFormat="1">
      <c r="A540" s="87"/>
      <c r="B540" s="30"/>
      <c r="C540" s="70"/>
      <c r="G540" s="30"/>
      <c r="H540" s="77"/>
      <c r="I540" s="77"/>
      <c r="J540" s="58"/>
      <c r="K540" s="58"/>
    </row>
    <row r="541" spans="1:11" s="71" customFormat="1">
      <c r="A541" s="87"/>
      <c r="B541" s="30"/>
      <c r="C541" s="70"/>
      <c r="G541" s="30"/>
      <c r="H541" s="77"/>
      <c r="I541" s="77"/>
      <c r="J541" s="58"/>
      <c r="K541" s="58"/>
    </row>
    <row r="542" spans="1:11" s="71" customFormat="1">
      <c r="A542" s="87"/>
      <c r="B542" s="30"/>
      <c r="C542" s="70"/>
      <c r="G542" s="30"/>
      <c r="H542" s="77"/>
      <c r="I542" s="77"/>
      <c r="J542" s="58"/>
      <c r="K542" s="58"/>
    </row>
    <row r="543" spans="1:11" s="71" customFormat="1">
      <c r="A543" s="87"/>
      <c r="B543" s="30"/>
      <c r="C543" s="70"/>
      <c r="G543" s="30"/>
      <c r="H543" s="77"/>
      <c r="I543" s="77"/>
      <c r="J543" s="58"/>
      <c r="K543" s="58"/>
    </row>
    <row r="544" spans="1:11" s="71" customFormat="1">
      <c r="A544" s="87"/>
      <c r="B544" s="30"/>
      <c r="C544" s="70"/>
      <c r="G544" s="30"/>
      <c r="H544" s="77"/>
      <c r="I544" s="77"/>
      <c r="J544" s="58"/>
      <c r="K544" s="58"/>
    </row>
    <row r="545" spans="1:11" s="71" customFormat="1">
      <c r="A545" s="87"/>
      <c r="B545" s="30"/>
      <c r="C545" s="70"/>
      <c r="G545" s="30"/>
      <c r="H545" s="77"/>
      <c r="I545" s="77"/>
      <c r="J545" s="58"/>
      <c r="K545" s="58"/>
    </row>
    <row r="546" spans="1:11" s="71" customFormat="1">
      <c r="A546" s="87"/>
      <c r="B546" s="30"/>
      <c r="C546" s="70"/>
      <c r="G546" s="30"/>
      <c r="H546" s="77"/>
      <c r="I546" s="77"/>
      <c r="J546" s="58"/>
      <c r="K546" s="58"/>
    </row>
    <row r="547" spans="1:11" s="71" customFormat="1">
      <c r="A547" s="87"/>
      <c r="B547" s="30"/>
      <c r="C547" s="70"/>
      <c r="G547" s="30"/>
      <c r="H547" s="77"/>
      <c r="I547" s="77"/>
      <c r="J547" s="58"/>
      <c r="K547" s="58"/>
    </row>
    <row r="548" spans="1:11" s="71" customFormat="1">
      <c r="A548" s="87"/>
      <c r="B548" s="30"/>
      <c r="C548" s="70"/>
      <c r="G548" s="30"/>
      <c r="H548" s="77"/>
      <c r="I548" s="77"/>
      <c r="J548" s="58"/>
      <c r="K548" s="58"/>
    </row>
    <row r="549" spans="1:11" s="71" customFormat="1">
      <c r="A549" s="87"/>
      <c r="B549" s="30"/>
      <c r="C549" s="70"/>
      <c r="G549" s="30"/>
      <c r="H549" s="77"/>
      <c r="I549" s="77"/>
      <c r="J549" s="58"/>
      <c r="K549" s="58"/>
    </row>
    <row r="550" spans="1:11" s="71" customFormat="1">
      <c r="A550" s="87"/>
      <c r="B550" s="30"/>
      <c r="C550" s="70"/>
      <c r="G550" s="30"/>
      <c r="H550" s="77"/>
      <c r="I550" s="77"/>
      <c r="J550" s="58"/>
      <c r="K550" s="58"/>
    </row>
    <row r="551" spans="1:11" s="71" customFormat="1">
      <c r="A551" s="87"/>
      <c r="B551" s="30"/>
      <c r="C551" s="70"/>
      <c r="G551" s="30"/>
      <c r="H551" s="77"/>
      <c r="I551" s="77"/>
      <c r="J551" s="58"/>
      <c r="K551" s="58"/>
    </row>
    <row r="552" spans="1:11" s="71" customFormat="1">
      <c r="A552" s="87"/>
      <c r="B552" s="30"/>
      <c r="C552" s="70"/>
      <c r="G552" s="30"/>
      <c r="H552" s="77"/>
      <c r="I552" s="77"/>
      <c r="J552" s="58"/>
      <c r="K552" s="58"/>
    </row>
    <row r="553" spans="1:11" s="71" customFormat="1">
      <c r="A553" s="87"/>
      <c r="B553" s="30"/>
      <c r="C553" s="70"/>
      <c r="G553" s="30"/>
      <c r="H553" s="77"/>
      <c r="I553" s="77"/>
      <c r="J553" s="58"/>
      <c r="K553" s="58"/>
    </row>
    <row r="554" spans="1:11" s="71" customFormat="1">
      <c r="A554" s="87"/>
      <c r="B554" s="30"/>
      <c r="C554" s="70"/>
      <c r="G554" s="30"/>
      <c r="H554" s="77"/>
      <c r="I554" s="77"/>
      <c r="J554" s="58"/>
      <c r="K554" s="58"/>
    </row>
    <row r="555" spans="1:11" s="71" customFormat="1">
      <c r="A555" s="87"/>
      <c r="B555" s="30"/>
      <c r="C555" s="70"/>
      <c r="G555" s="30"/>
      <c r="H555" s="77"/>
      <c r="I555" s="77"/>
      <c r="J555" s="58"/>
      <c r="K555" s="58"/>
    </row>
    <row r="556" spans="1:11" s="71" customFormat="1">
      <c r="A556" s="87"/>
      <c r="B556" s="30"/>
      <c r="C556" s="70"/>
      <c r="G556" s="30"/>
      <c r="H556" s="77"/>
      <c r="I556" s="77"/>
      <c r="J556" s="58"/>
      <c r="K556" s="58"/>
    </row>
    <row r="557" spans="1:11" s="71" customFormat="1">
      <c r="A557" s="87"/>
      <c r="B557" s="30"/>
      <c r="C557" s="70"/>
      <c r="G557" s="30"/>
      <c r="H557" s="77"/>
      <c r="I557" s="77"/>
      <c r="J557" s="58"/>
      <c r="K557" s="58"/>
    </row>
    <row r="558" spans="1:11" s="71" customFormat="1">
      <c r="A558" s="87"/>
      <c r="B558" s="30"/>
      <c r="C558" s="70"/>
      <c r="G558" s="30"/>
      <c r="H558" s="77"/>
      <c r="I558" s="77"/>
      <c r="J558" s="58"/>
      <c r="K558" s="58"/>
    </row>
    <row r="559" spans="1:11" s="71" customFormat="1">
      <c r="A559" s="87"/>
      <c r="B559" s="30"/>
      <c r="C559" s="70"/>
      <c r="G559" s="30"/>
      <c r="H559" s="77"/>
      <c r="I559" s="77"/>
      <c r="J559" s="58"/>
      <c r="K559" s="58"/>
    </row>
    <row r="560" spans="1:11" s="71" customFormat="1">
      <c r="A560" s="87"/>
      <c r="B560" s="30"/>
      <c r="C560" s="70"/>
      <c r="G560" s="30"/>
      <c r="H560" s="77"/>
      <c r="I560" s="77"/>
      <c r="J560" s="58"/>
      <c r="K560" s="58"/>
    </row>
    <row r="561" spans="1:11" s="71" customFormat="1">
      <c r="A561" s="87"/>
      <c r="B561" s="30"/>
      <c r="C561" s="70"/>
      <c r="G561" s="30"/>
      <c r="H561" s="77"/>
      <c r="I561" s="77"/>
      <c r="J561" s="58"/>
      <c r="K561" s="58"/>
    </row>
    <row r="562" spans="1:11" s="71" customFormat="1">
      <c r="A562" s="87"/>
      <c r="B562" s="30"/>
      <c r="C562" s="70"/>
      <c r="G562" s="30"/>
      <c r="H562" s="77"/>
      <c r="I562" s="77"/>
      <c r="J562" s="58"/>
      <c r="K562" s="58"/>
    </row>
    <row r="563" spans="1:11" s="71" customFormat="1">
      <c r="A563" s="87"/>
      <c r="B563" s="30"/>
      <c r="C563" s="70"/>
      <c r="G563" s="30"/>
      <c r="H563" s="77"/>
      <c r="I563" s="77"/>
      <c r="J563" s="58"/>
      <c r="K563" s="58"/>
    </row>
    <row r="564" spans="1:11" s="71" customFormat="1">
      <c r="A564" s="87"/>
      <c r="B564" s="30"/>
      <c r="C564" s="70"/>
      <c r="G564" s="30"/>
      <c r="H564" s="77"/>
      <c r="I564" s="77"/>
      <c r="J564" s="58"/>
      <c r="K564" s="58"/>
    </row>
    <row r="565" spans="1:11" s="71" customFormat="1">
      <c r="A565" s="87"/>
      <c r="B565" s="30"/>
      <c r="C565" s="70"/>
      <c r="G565" s="30"/>
      <c r="H565" s="77"/>
      <c r="I565" s="77"/>
      <c r="J565" s="58"/>
      <c r="K565" s="58"/>
    </row>
    <row r="566" spans="1:11" s="71" customFormat="1">
      <c r="A566" s="87"/>
      <c r="B566" s="30"/>
      <c r="C566" s="70"/>
      <c r="G566" s="30"/>
      <c r="H566" s="77"/>
      <c r="I566" s="77"/>
      <c r="J566" s="58"/>
      <c r="K566" s="58"/>
    </row>
    <row r="567" spans="1:11" s="71" customFormat="1">
      <c r="A567" s="87"/>
      <c r="B567" s="30"/>
      <c r="C567" s="70"/>
      <c r="G567" s="30"/>
      <c r="H567" s="77"/>
      <c r="I567" s="77"/>
      <c r="J567" s="58"/>
      <c r="K567" s="58"/>
    </row>
    <row r="568" spans="1:11" s="71" customFormat="1">
      <c r="A568" s="87"/>
      <c r="B568" s="30"/>
      <c r="C568" s="70"/>
      <c r="G568" s="30"/>
      <c r="H568" s="77"/>
      <c r="I568" s="77"/>
      <c r="J568" s="58"/>
      <c r="K568" s="58"/>
    </row>
    <row r="569" spans="1:11" s="71" customFormat="1">
      <c r="A569" s="87"/>
      <c r="B569" s="30"/>
      <c r="C569" s="70"/>
      <c r="G569" s="30"/>
      <c r="H569" s="77"/>
      <c r="I569" s="77"/>
      <c r="J569" s="58"/>
      <c r="K569" s="58"/>
    </row>
    <row r="570" spans="1:11" s="71" customFormat="1">
      <c r="A570" s="87"/>
      <c r="B570" s="30"/>
      <c r="C570" s="70"/>
      <c r="G570" s="30"/>
      <c r="H570" s="77"/>
      <c r="I570" s="77"/>
      <c r="J570" s="58"/>
      <c r="K570" s="58"/>
    </row>
    <row r="571" spans="1:11" s="71" customFormat="1">
      <c r="A571" s="87"/>
      <c r="B571" s="30"/>
      <c r="C571" s="70"/>
      <c r="G571" s="30"/>
      <c r="H571" s="77"/>
      <c r="I571" s="77"/>
      <c r="J571" s="58"/>
      <c r="K571" s="58"/>
    </row>
    <row r="572" spans="1:11" s="71" customFormat="1">
      <c r="A572" s="87"/>
      <c r="B572" s="30"/>
      <c r="C572" s="70"/>
      <c r="G572" s="30"/>
      <c r="H572" s="77"/>
      <c r="I572" s="77"/>
      <c r="J572" s="58"/>
      <c r="K572" s="58"/>
    </row>
    <row r="573" spans="1:11" s="71" customFormat="1">
      <c r="A573" s="87"/>
      <c r="B573" s="30"/>
      <c r="C573" s="70"/>
      <c r="G573" s="30"/>
      <c r="H573" s="77"/>
      <c r="I573" s="77"/>
      <c r="J573" s="58"/>
      <c r="K573" s="58"/>
    </row>
    <row r="574" spans="1:11" s="71" customFormat="1">
      <c r="A574" s="87"/>
      <c r="B574" s="30"/>
      <c r="C574" s="70"/>
      <c r="G574" s="30"/>
      <c r="H574" s="77"/>
      <c r="I574" s="77"/>
      <c r="J574" s="58"/>
      <c r="K574" s="58"/>
    </row>
    <row r="575" spans="1:11" s="71" customFormat="1">
      <c r="A575" s="87"/>
      <c r="B575" s="30"/>
      <c r="C575" s="70"/>
      <c r="G575" s="30"/>
      <c r="H575" s="77"/>
      <c r="I575" s="77"/>
      <c r="J575" s="58"/>
      <c r="K575" s="58"/>
    </row>
    <row r="576" spans="1:11" s="71" customFormat="1">
      <c r="A576" s="87"/>
      <c r="B576" s="30"/>
      <c r="C576" s="70"/>
      <c r="G576" s="30"/>
      <c r="H576" s="77"/>
      <c r="I576" s="77"/>
      <c r="J576" s="58"/>
      <c r="K576" s="58"/>
    </row>
    <row r="577" spans="1:11" s="71" customFormat="1">
      <c r="A577" s="87"/>
      <c r="B577" s="30"/>
      <c r="C577" s="70"/>
      <c r="G577" s="30"/>
      <c r="H577" s="77"/>
      <c r="I577" s="77"/>
      <c r="J577" s="58"/>
      <c r="K577" s="58"/>
    </row>
    <row r="578" spans="1:11" s="71" customFormat="1">
      <c r="A578" s="87"/>
      <c r="B578" s="30"/>
      <c r="C578" s="70"/>
      <c r="G578" s="30"/>
      <c r="H578" s="77"/>
      <c r="I578" s="77"/>
      <c r="J578" s="58"/>
      <c r="K578" s="58"/>
    </row>
    <row r="579" spans="1:11" s="71" customFormat="1">
      <c r="A579" s="87"/>
      <c r="B579" s="30"/>
      <c r="C579" s="70"/>
      <c r="G579" s="30"/>
      <c r="H579" s="77"/>
      <c r="I579" s="77"/>
      <c r="J579" s="58"/>
      <c r="K579" s="58"/>
    </row>
    <row r="580" spans="1:11" s="71" customFormat="1">
      <c r="A580" s="87"/>
      <c r="B580" s="30"/>
      <c r="C580" s="70"/>
      <c r="G580" s="30"/>
      <c r="H580" s="77"/>
      <c r="I580" s="77"/>
      <c r="J580" s="58"/>
      <c r="K580" s="58"/>
    </row>
    <row r="581" spans="1:11" s="71" customFormat="1">
      <c r="A581" s="87"/>
      <c r="B581" s="30"/>
      <c r="C581" s="70"/>
      <c r="G581" s="30"/>
      <c r="H581" s="77"/>
      <c r="I581" s="77"/>
      <c r="J581" s="58"/>
      <c r="K581" s="58"/>
    </row>
    <row r="582" spans="1:11" s="71" customFormat="1">
      <c r="A582" s="87"/>
      <c r="B582" s="30"/>
      <c r="C582" s="70"/>
      <c r="G582" s="30"/>
      <c r="H582" s="77"/>
      <c r="I582" s="77"/>
      <c r="J582" s="58"/>
      <c r="K582" s="58"/>
    </row>
    <row r="583" spans="1:11" s="71" customFormat="1">
      <c r="A583" s="87"/>
      <c r="B583" s="30"/>
      <c r="C583" s="70"/>
      <c r="G583" s="30"/>
      <c r="H583" s="77"/>
      <c r="I583" s="77"/>
      <c r="J583" s="58"/>
      <c r="K583" s="58"/>
    </row>
    <row r="584" spans="1:11" s="71" customFormat="1">
      <c r="A584" s="87"/>
      <c r="B584" s="30"/>
      <c r="C584" s="70"/>
      <c r="G584" s="30"/>
      <c r="H584" s="77"/>
      <c r="I584" s="77"/>
      <c r="J584" s="58"/>
      <c r="K584" s="58"/>
    </row>
    <row r="585" spans="1:11" s="71" customFormat="1">
      <c r="A585" s="87"/>
      <c r="B585" s="30"/>
      <c r="C585" s="70"/>
      <c r="G585" s="30"/>
      <c r="H585" s="77"/>
      <c r="I585" s="77"/>
      <c r="J585" s="58"/>
      <c r="K585" s="58"/>
    </row>
    <row r="586" spans="1:11" s="71" customFormat="1">
      <c r="A586" s="87"/>
      <c r="B586" s="30"/>
      <c r="C586" s="70"/>
      <c r="G586" s="30"/>
      <c r="H586" s="77"/>
      <c r="I586" s="77"/>
      <c r="J586" s="58"/>
      <c r="K586" s="58"/>
    </row>
    <row r="587" spans="1:11" s="71" customFormat="1">
      <c r="A587" s="87"/>
      <c r="B587" s="30"/>
      <c r="C587" s="70"/>
      <c r="G587" s="30"/>
      <c r="H587" s="77"/>
      <c r="I587" s="77"/>
      <c r="J587" s="58"/>
      <c r="K587" s="58"/>
    </row>
    <row r="588" spans="1:11" s="71" customFormat="1">
      <c r="A588" s="87"/>
      <c r="B588" s="30"/>
      <c r="C588" s="70"/>
      <c r="G588" s="30"/>
      <c r="H588" s="77"/>
      <c r="I588" s="77"/>
      <c r="J588" s="58"/>
      <c r="K588" s="58"/>
    </row>
    <row r="589" spans="1:11" s="71" customFormat="1">
      <c r="A589" s="87"/>
      <c r="B589" s="30"/>
      <c r="C589" s="70"/>
      <c r="G589" s="30"/>
      <c r="H589" s="77"/>
      <c r="I589" s="77"/>
      <c r="J589" s="58"/>
      <c r="K589" s="58"/>
    </row>
    <row r="590" spans="1:11" s="71" customFormat="1">
      <c r="A590" s="87"/>
      <c r="B590" s="30"/>
      <c r="C590" s="70"/>
      <c r="G590" s="30"/>
      <c r="H590" s="77"/>
      <c r="I590" s="77"/>
      <c r="J590" s="58"/>
      <c r="K590" s="58"/>
    </row>
    <row r="591" spans="1:11" s="71" customFormat="1">
      <c r="A591" s="87"/>
      <c r="B591" s="30"/>
      <c r="C591" s="70"/>
      <c r="G591" s="30"/>
      <c r="H591" s="77"/>
      <c r="I591" s="77"/>
      <c r="J591" s="58"/>
      <c r="K591" s="58"/>
    </row>
    <row r="592" spans="1:11" s="71" customFormat="1">
      <c r="A592" s="87"/>
      <c r="B592" s="30"/>
      <c r="C592" s="70"/>
      <c r="G592" s="30"/>
      <c r="H592" s="77"/>
      <c r="I592" s="77"/>
      <c r="J592" s="58"/>
      <c r="K592" s="58"/>
    </row>
    <row r="593" spans="1:11" s="71" customFormat="1">
      <c r="A593" s="87"/>
      <c r="B593" s="30"/>
      <c r="C593" s="70"/>
      <c r="G593" s="30"/>
      <c r="H593" s="77"/>
      <c r="I593" s="77"/>
      <c r="J593" s="58"/>
      <c r="K593" s="58"/>
    </row>
    <row r="594" spans="1:11" s="71" customFormat="1">
      <c r="A594" s="87"/>
      <c r="B594" s="30"/>
      <c r="C594" s="70"/>
      <c r="G594" s="30"/>
      <c r="H594" s="77"/>
      <c r="I594" s="77"/>
      <c r="J594" s="58"/>
      <c r="K594" s="58"/>
    </row>
    <row r="595" spans="1:11" s="71" customFormat="1">
      <c r="A595" s="87"/>
      <c r="B595" s="30"/>
      <c r="C595" s="70"/>
      <c r="G595" s="30"/>
      <c r="H595" s="77"/>
      <c r="I595" s="77"/>
      <c r="J595" s="58"/>
      <c r="K595" s="58"/>
    </row>
    <row r="596" spans="1:11" s="71" customFormat="1">
      <c r="A596" s="87"/>
      <c r="B596" s="30"/>
      <c r="C596" s="70"/>
      <c r="G596" s="30"/>
      <c r="H596" s="77"/>
      <c r="I596" s="77"/>
      <c r="J596" s="58"/>
      <c r="K596" s="58"/>
    </row>
    <row r="597" spans="1:11" s="71" customFormat="1">
      <c r="A597" s="87"/>
      <c r="B597" s="30"/>
      <c r="C597" s="70"/>
      <c r="G597" s="30"/>
      <c r="H597" s="77"/>
      <c r="I597" s="77"/>
      <c r="J597" s="58"/>
      <c r="K597" s="58"/>
    </row>
    <row r="598" spans="1:11" s="71" customFormat="1">
      <c r="A598" s="87"/>
      <c r="B598" s="30"/>
      <c r="C598" s="70"/>
      <c r="G598" s="30"/>
      <c r="H598" s="77"/>
      <c r="I598" s="77"/>
      <c r="J598" s="58"/>
      <c r="K598" s="58"/>
    </row>
    <row r="599" spans="1:11" s="71" customFormat="1">
      <c r="A599" s="87"/>
      <c r="B599" s="30"/>
      <c r="C599" s="70"/>
      <c r="G599" s="30"/>
      <c r="H599" s="77"/>
      <c r="I599" s="77"/>
      <c r="J599" s="58"/>
      <c r="K599" s="58"/>
    </row>
    <row r="600" spans="1:11" s="71" customFormat="1">
      <c r="A600" s="87"/>
      <c r="B600" s="30"/>
      <c r="C600" s="70"/>
      <c r="G600" s="30"/>
      <c r="H600" s="77"/>
      <c r="I600" s="77"/>
      <c r="J600" s="58"/>
      <c r="K600" s="58"/>
    </row>
    <row r="601" spans="1:11" s="71" customFormat="1">
      <c r="A601" s="87"/>
      <c r="B601" s="30"/>
      <c r="C601" s="70"/>
      <c r="G601" s="30"/>
      <c r="H601" s="77"/>
      <c r="I601" s="77"/>
      <c r="J601" s="58"/>
      <c r="K601" s="58"/>
    </row>
    <row r="602" spans="1:11" s="71" customFormat="1">
      <c r="A602" s="87"/>
      <c r="B602" s="30"/>
      <c r="C602" s="70"/>
      <c r="G602" s="30"/>
      <c r="H602" s="77"/>
      <c r="I602" s="77"/>
      <c r="J602" s="58"/>
      <c r="K602" s="58"/>
    </row>
    <row r="603" spans="1:11" s="71" customFormat="1">
      <c r="A603" s="87"/>
      <c r="B603" s="30"/>
      <c r="C603" s="70"/>
      <c r="G603" s="30"/>
      <c r="H603" s="77"/>
      <c r="I603" s="77"/>
      <c r="J603" s="58"/>
      <c r="K603" s="58"/>
    </row>
    <row r="604" spans="1:11" s="71" customFormat="1">
      <c r="A604" s="87"/>
      <c r="B604" s="30"/>
      <c r="C604" s="70"/>
      <c r="G604" s="30"/>
      <c r="H604" s="77"/>
      <c r="I604" s="77"/>
      <c r="J604" s="58"/>
      <c r="K604" s="58"/>
    </row>
    <row r="605" spans="1:11" s="71" customFormat="1">
      <c r="A605" s="87"/>
      <c r="B605" s="30"/>
      <c r="C605" s="70"/>
      <c r="G605" s="30"/>
      <c r="H605" s="77"/>
      <c r="I605" s="77"/>
      <c r="J605" s="58"/>
      <c r="K605" s="58"/>
    </row>
    <row r="606" spans="1:11" s="71" customFormat="1">
      <c r="A606" s="87"/>
      <c r="B606" s="30"/>
      <c r="C606" s="70"/>
      <c r="G606" s="30"/>
      <c r="H606" s="77"/>
      <c r="I606" s="77"/>
      <c r="J606" s="58"/>
      <c r="K606" s="58"/>
    </row>
    <row r="607" spans="1:11" s="71" customFormat="1">
      <c r="A607" s="87"/>
      <c r="B607" s="30"/>
      <c r="C607" s="70"/>
      <c r="G607" s="30"/>
      <c r="H607" s="77"/>
      <c r="I607" s="77"/>
      <c r="J607" s="58"/>
      <c r="K607" s="58"/>
    </row>
    <row r="608" spans="1:11" s="71" customFormat="1">
      <c r="A608" s="87"/>
      <c r="B608" s="30"/>
      <c r="C608" s="70"/>
      <c r="G608" s="30"/>
      <c r="H608" s="77"/>
      <c r="I608" s="77"/>
      <c r="J608" s="58"/>
      <c r="K608" s="58"/>
    </row>
    <row r="609" spans="1:11" s="71" customFormat="1">
      <c r="A609" s="87"/>
      <c r="B609" s="30"/>
      <c r="C609" s="70"/>
      <c r="G609" s="30"/>
      <c r="H609" s="77"/>
      <c r="I609" s="77"/>
      <c r="J609" s="58"/>
      <c r="K609" s="58"/>
    </row>
    <row r="610" spans="1:11" s="71" customFormat="1">
      <c r="A610" s="87"/>
      <c r="B610" s="30"/>
      <c r="C610" s="70"/>
      <c r="G610" s="30"/>
      <c r="H610" s="77"/>
      <c r="I610" s="77"/>
      <c r="J610" s="58"/>
      <c r="K610" s="58"/>
    </row>
    <row r="611" spans="1:11" s="71" customFormat="1">
      <c r="A611" s="87"/>
      <c r="B611" s="30"/>
      <c r="C611" s="70"/>
      <c r="G611" s="30"/>
      <c r="H611" s="77"/>
      <c r="I611" s="77"/>
      <c r="J611" s="58"/>
      <c r="K611" s="58"/>
    </row>
    <row r="612" spans="1:11" s="71" customFormat="1">
      <c r="A612" s="87"/>
      <c r="B612" s="30"/>
      <c r="C612" s="70"/>
      <c r="G612" s="30"/>
      <c r="H612" s="77"/>
      <c r="I612" s="77"/>
      <c r="J612" s="58"/>
      <c r="K612" s="58"/>
    </row>
    <row r="613" spans="1:11" s="71" customFormat="1">
      <c r="A613" s="87"/>
      <c r="B613" s="30"/>
      <c r="C613" s="70"/>
      <c r="G613" s="30"/>
      <c r="H613" s="77"/>
      <c r="I613" s="77"/>
      <c r="J613" s="58"/>
      <c r="K613" s="58"/>
    </row>
    <row r="614" spans="1:11" s="71" customFormat="1">
      <c r="A614" s="87"/>
      <c r="B614" s="30"/>
      <c r="C614" s="70"/>
      <c r="G614" s="30"/>
      <c r="H614" s="77"/>
      <c r="I614" s="77"/>
      <c r="J614" s="58"/>
      <c r="K614" s="58"/>
    </row>
    <row r="615" spans="1:11" s="71" customFormat="1">
      <c r="A615" s="87"/>
      <c r="B615" s="30"/>
      <c r="C615" s="70"/>
      <c r="G615" s="30"/>
      <c r="H615" s="77"/>
      <c r="I615" s="77"/>
      <c r="J615" s="58"/>
      <c r="K615" s="58"/>
    </row>
    <row r="616" spans="1:11" s="71" customFormat="1">
      <c r="A616" s="87"/>
      <c r="B616" s="30"/>
      <c r="C616" s="70"/>
      <c r="G616" s="30"/>
      <c r="H616" s="77"/>
      <c r="I616" s="77"/>
      <c r="J616" s="58"/>
      <c r="K616" s="58"/>
    </row>
    <row r="617" spans="1:11" s="71" customFormat="1">
      <c r="A617" s="87"/>
      <c r="B617" s="30"/>
      <c r="C617" s="70"/>
      <c r="G617" s="30"/>
      <c r="H617" s="77"/>
      <c r="I617" s="77"/>
      <c r="J617" s="58"/>
      <c r="K617" s="58"/>
    </row>
    <row r="618" spans="1:11" s="71" customFormat="1">
      <c r="A618" s="87"/>
      <c r="B618" s="30"/>
      <c r="C618" s="70"/>
      <c r="G618" s="30"/>
      <c r="H618" s="77"/>
      <c r="I618" s="77"/>
      <c r="J618" s="58"/>
      <c r="K618" s="58"/>
    </row>
    <row r="619" spans="1:11" s="71" customFormat="1">
      <c r="A619" s="87"/>
      <c r="B619" s="30"/>
      <c r="C619" s="70"/>
      <c r="G619" s="30"/>
      <c r="H619" s="77"/>
      <c r="I619" s="77"/>
      <c r="J619" s="58"/>
      <c r="K619" s="58"/>
    </row>
    <row r="620" spans="1:11" s="71" customFormat="1">
      <c r="A620" s="87"/>
      <c r="B620" s="30"/>
      <c r="C620" s="70"/>
      <c r="G620" s="30"/>
      <c r="H620" s="77"/>
      <c r="I620" s="77"/>
      <c r="J620" s="58"/>
      <c r="K620" s="58"/>
    </row>
    <row r="621" spans="1:11" s="71" customFormat="1">
      <c r="A621" s="87"/>
      <c r="B621" s="30"/>
      <c r="C621" s="70"/>
      <c r="G621" s="30"/>
      <c r="H621" s="77"/>
      <c r="I621" s="77"/>
      <c r="J621" s="58"/>
      <c r="K621" s="58"/>
    </row>
    <row r="622" spans="1:11" s="71" customFormat="1">
      <c r="A622" s="87"/>
      <c r="B622" s="30"/>
      <c r="C622" s="70"/>
      <c r="G622" s="30"/>
      <c r="H622" s="77"/>
      <c r="I622" s="77"/>
      <c r="J622" s="58"/>
      <c r="K622" s="58"/>
    </row>
    <row r="623" spans="1:11" s="71" customFormat="1">
      <c r="A623" s="87"/>
      <c r="B623" s="30"/>
      <c r="C623" s="70"/>
      <c r="G623" s="30"/>
      <c r="H623" s="77"/>
      <c r="I623" s="77"/>
      <c r="J623" s="58"/>
      <c r="K623" s="58"/>
    </row>
    <row r="624" spans="1:11" s="71" customFormat="1">
      <c r="A624" s="87"/>
      <c r="B624" s="30"/>
      <c r="C624" s="70"/>
      <c r="G624" s="30"/>
      <c r="H624" s="77"/>
      <c r="I624" s="77"/>
      <c r="J624" s="58"/>
      <c r="K624" s="58"/>
    </row>
    <row r="625" spans="1:11" s="71" customFormat="1">
      <c r="A625" s="87"/>
      <c r="B625" s="30"/>
      <c r="C625" s="70"/>
      <c r="G625" s="30"/>
      <c r="H625" s="77"/>
      <c r="I625" s="77"/>
      <c r="J625" s="58"/>
      <c r="K625" s="58"/>
    </row>
    <row r="626" spans="1:11" s="71" customFormat="1">
      <c r="A626" s="87"/>
      <c r="B626" s="30"/>
      <c r="C626" s="70"/>
      <c r="G626" s="30"/>
      <c r="H626" s="77"/>
      <c r="I626" s="77"/>
      <c r="J626" s="58"/>
      <c r="K626" s="58"/>
    </row>
    <row r="627" spans="1:11" s="71" customFormat="1">
      <c r="A627" s="87"/>
      <c r="B627" s="30"/>
      <c r="C627" s="70"/>
      <c r="G627" s="30"/>
      <c r="H627" s="77"/>
      <c r="I627" s="77"/>
      <c r="J627" s="58"/>
      <c r="K627" s="58"/>
    </row>
    <row r="628" spans="1:11" s="71" customFormat="1">
      <c r="A628" s="87"/>
      <c r="B628" s="30"/>
      <c r="C628" s="70"/>
      <c r="G628" s="30"/>
      <c r="H628" s="77"/>
      <c r="I628" s="77"/>
      <c r="J628" s="58"/>
      <c r="K628" s="58"/>
    </row>
    <row r="629" spans="1:11" s="71" customFormat="1">
      <c r="A629" s="87"/>
      <c r="B629" s="30"/>
      <c r="C629" s="70"/>
      <c r="G629" s="30"/>
      <c r="H629" s="77"/>
      <c r="I629" s="77"/>
      <c r="J629" s="58"/>
      <c r="K629" s="58"/>
    </row>
    <row r="630" spans="1:11" s="71" customFormat="1">
      <c r="A630" s="87"/>
      <c r="B630" s="30"/>
      <c r="C630" s="70"/>
      <c r="G630" s="30"/>
      <c r="H630" s="77"/>
      <c r="I630" s="77"/>
      <c r="J630" s="58"/>
      <c r="K630" s="58"/>
    </row>
    <row r="631" spans="1:11" s="71" customFormat="1">
      <c r="A631" s="87"/>
      <c r="B631" s="30"/>
      <c r="C631" s="70"/>
      <c r="G631" s="30"/>
      <c r="H631" s="77"/>
      <c r="I631" s="77"/>
      <c r="J631" s="58"/>
      <c r="K631" s="58"/>
    </row>
    <row r="632" spans="1:11" s="71" customFormat="1">
      <c r="A632" s="87"/>
      <c r="B632" s="30"/>
      <c r="C632" s="70"/>
      <c r="G632" s="30"/>
      <c r="H632" s="77"/>
      <c r="I632" s="77"/>
      <c r="J632" s="58"/>
      <c r="K632" s="58"/>
    </row>
    <row r="633" spans="1:11" s="71" customFormat="1">
      <c r="A633" s="87"/>
      <c r="B633" s="30"/>
      <c r="C633" s="70"/>
      <c r="G633" s="30"/>
      <c r="H633" s="77"/>
      <c r="I633" s="77"/>
      <c r="J633" s="58"/>
      <c r="K633" s="58"/>
    </row>
    <row r="634" spans="1:11" s="71" customFormat="1">
      <c r="A634" s="87"/>
      <c r="B634" s="30"/>
      <c r="C634" s="70"/>
      <c r="G634" s="30"/>
      <c r="H634" s="77"/>
      <c r="I634" s="77"/>
      <c r="J634" s="58"/>
      <c r="K634" s="58"/>
    </row>
    <row r="635" spans="1:11" s="71" customFormat="1">
      <c r="A635" s="87"/>
      <c r="B635" s="30"/>
      <c r="C635" s="70"/>
      <c r="G635" s="30"/>
      <c r="H635" s="77"/>
      <c r="I635" s="77"/>
      <c r="J635" s="58"/>
      <c r="K635" s="58"/>
    </row>
    <row r="636" spans="1:11" s="71" customFormat="1">
      <c r="A636" s="87"/>
      <c r="B636" s="30"/>
      <c r="C636" s="70"/>
      <c r="G636" s="30"/>
      <c r="H636" s="77"/>
      <c r="I636" s="77"/>
      <c r="J636" s="58"/>
      <c r="K636" s="58"/>
    </row>
    <row r="637" spans="1:11" s="71" customFormat="1">
      <c r="A637" s="87"/>
      <c r="B637" s="30"/>
      <c r="C637" s="70"/>
      <c r="G637" s="30"/>
      <c r="H637" s="77"/>
      <c r="I637" s="77"/>
      <c r="J637" s="58"/>
      <c r="K637" s="58"/>
    </row>
    <row r="638" spans="1:11" s="71" customFormat="1">
      <c r="A638" s="87"/>
      <c r="B638" s="30"/>
      <c r="C638" s="70"/>
      <c r="G638" s="30"/>
      <c r="H638" s="77"/>
      <c r="I638" s="77"/>
      <c r="J638" s="58"/>
      <c r="K638" s="58"/>
    </row>
    <row r="639" spans="1:11" s="71" customFormat="1">
      <c r="A639" s="87"/>
      <c r="B639" s="30"/>
      <c r="C639" s="70"/>
      <c r="G639" s="30"/>
      <c r="H639" s="77"/>
      <c r="I639" s="77"/>
      <c r="J639" s="58"/>
      <c r="K639" s="58"/>
    </row>
    <row r="640" spans="1:11" s="71" customFormat="1">
      <c r="A640" s="87"/>
      <c r="B640" s="30"/>
      <c r="C640" s="70"/>
      <c r="G640" s="30"/>
      <c r="H640" s="77"/>
      <c r="I640" s="77"/>
      <c r="J640" s="58"/>
      <c r="K640" s="58"/>
    </row>
    <row r="641" spans="1:11" s="71" customFormat="1">
      <c r="A641" s="87"/>
      <c r="B641" s="30"/>
      <c r="C641" s="70"/>
      <c r="G641" s="30"/>
      <c r="H641" s="77"/>
      <c r="I641" s="77"/>
      <c r="J641" s="58"/>
      <c r="K641" s="58"/>
    </row>
    <row r="642" spans="1:11" s="71" customFormat="1">
      <c r="A642" s="87"/>
      <c r="B642" s="30"/>
      <c r="C642" s="70"/>
      <c r="G642" s="30"/>
      <c r="H642" s="77"/>
      <c r="I642" s="77"/>
      <c r="J642" s="58"/>
      <c r="K642" s="58"/>
    </row>
    <row r="643" spans="1:11" s="71" customFormat="1">
      <c r="A643" s="87"/>
      <c r="B643" s="30"/>
      <c r="C643" s="70"/>
      <c r="G643" s="30"/>
      <c r="H643" s="77"/>
      <c r="I643" s="77"/>
      <c r="J643" s="58"/>
      <c r="K643" s="58"/>
    </row>
    <row r="644" spans="1:11" s="71" customFormat="1">
      <c r="A644" s="87"/>
      <c r="B644" s="30"/>
      <c r="C644" s="70"/>
      <c r="G644" s="30"/>
      <c r="H644" s="77"/>
      <c r="I644" s="77"/>
      <c r="J644" s="58"/>
      <c r="K644" s="58"/>
    </row>
    <row r="645" spans="1:11" s="71" customFormat="1">
      <c r="A645" s="87"/>
      <c r="B645" s="30"/>
      <c r="C645" s="70"/>
      <c r="G645" s="30"/>
      <c r="H645" s="77"/>
      <c r="I645" s="77"/>
      <c r="J645" s="58"/>
      <c r="K645" s="58"/>
    </row>
    <row r="646" spans="1:11" s="71" customFormat="1">
      <c r="A646" s="87"/>
      <c r="B646" s="30"/>
      <c r="C646" s="70"/>
      <c r="G646" s="30"/>
      <c r="H646" s="77"/>
      <c r="I646" s="77"/>
      <c r="J646" s="58"/>
      <c r="K646" s="58"/>
    </row>
    <row r="647" spans="1:11" s="71" customFormat="1">
      <c r="A647" s="87"/>
      <c r="B647" s="30"/>
      <c r="C647" s="70"/>
      <c r="G647" s="30"/>
      <c r="H647" s="77"/>
      <c r="I647" s="77"/>
      <c r="J647" s="58"/>
      <c r="K647" s="58"/>
    </row>
    <row r="648" spans="1:11" s="71" customFormat="1">
      <c r="A648" s="87"/>
      <c r="B648" s="30"/>
      <c r="C648" s="70"/>
      <c r="G648" s="30"/>
      <c r="H648" s="77"/>
      <c r="I648" s="77"/>
      <c r="J648" s="58"/>
      <c r="K648" s="58"/>
    </row>
    <row r="649" spans="1:11" s="71" customFormat="1">
      <c r="A649" s="87"/>
      <c r="B649" s="30"/>
      <c r="C649" s="70"/>
      <c r="G649" s="30"/>
      <c r="H649" s="77"/>
      <c r="I649" s="77"/>
      <c r="J649" s="58"/>
      <c r="K649" s="58"/>
    </row>
    <row r="650" spans="1:11" s="71" customFormat="1">
      <c r="A650" s="87"/>
      <c r="B650" s="30"/>
      <c r="C650" s="70"/>
      <c r="G650" s="30"/>
      <c r="H650" s="77"/>
      <c r="I650" s="77"/>
      <c r="J650" s="58"/>
      <c r="K650" s="58"/>
    </row>
    <row r="651" spans="1:11" s="71" customFormat="1">
      <c r="A651" s="87"/>
      <c r="B651" s="30"/>
      <c r="C651" s="70"/>
      <c r="G651" s="30"/>
      <c r="H651" s="77"/>
      <c r="I651" s="77"/>
      <c r="J651" s="58"/>
      <c r="K651" s="58"/>
    </row>
    <row r="652" spans="1:11" s="71" customFormat="1">
      <c r="A652" s="87"/>
      <c r="B652" s="30"/>
      <c r="C652" s="70"/>
      <c r="G652" s="30"/>
      <c r="H652" s="77"/>
      <c r="I652" s="77"/>
      <c r="J652" s="58"/>
      <c r="K652" s="58"/>
    </row>
    <row r="653" spans="1:11" s="71" customFormat="1">
      <c r="A653" s="87"/>
      <c r="B653" s="30"/>
      <c r="C653" s="70"/>
      <c r="G653" s="30"/>
      <c r="H653" s="77"/>
      <c r="I653" s="77"/>
      <c r="J653" s="58"/>
      <c r="K653" s="58"/>
    </row>
    <row r="654" spans="1:11" s="71" customFormat="1">
      <c r="A654" s="87"/>
      <c r="B654" s="30"/>
      <c r="C654" s="70"/>
      <c r="G654" s="30"/>
      <c r="H654" s="77"/>
      <c r="I654" s="77"/>
      <c r="J654" s="58"/>
      <c r="K654" s="58"/>
    </row>
    <row r="655" spans="1:11" s="71" customFormat="1">
      <c r="A655" s="87"/>
      <c r="B655" s="30"/>
      <c r="C655" s="70"/>
      <c r="G655" s="30"/>
      <c r="H655" s="77"/>
      <c r="I655" s="77"/>
      <c r="J655" s="58"/>
      <c r="K655" s="58"/>
    </row>
    <row r="656" spans="1:11" s="71" customFormat="1">
      <c r="A656" s="87"/>
      <c r="B656" s="30"/>
      <c r="C656" s="70"/>
      <c r="G656" s="30"/>
      <c r="H656" s="77"/>
      <c r="I656" s="77"/>
      <c r="J656" s="58"/>
      <c r="K656" s="58"/>
    </row>
    <row r="657" spans="1:11" s="71" customFormat="1">
      <c r="A657" s="87"/>
      <c r="B657" s="30"/>
      <c r="C657" s="70"/>
      <c r="G657" s="30"/>
      <c r="H657" s="77"/>
      <c r="I657" s="77"/>
      <c r="J657" s="58"/>
      <c r="K657" s="58"/>
    </row>
    <row r="658" spans="1:11" s="71" customFormat="1">
      <c r="A658" s="87"/>
      <c r="B658" s="30"/>
      <c r="C658" s="70"/>
      <c r="G658" s="30"/>
      <c r="H658" s="77"/>
      <c r="I658" s="77"/>
      <c r="J658" s="58"/>
      <c r="K658" s="58"/>
    </row>
    <row r="659" spans="1:11" s="71" customFormat="1">
      <c r="A659" s="87"/>
      <c r="B659" s="30"/>
      <c r="C659" s="70"/>
      <c r="G659" s="30"/>
      <c r="H659" s="77"/>
      <c r="I659" s="77"/>
      <c r="J659" s="58"/>
      <c r="K659" s="58"/>
    </row>
    <row r="660" spans="1:11" s="71" customFormat="1">
      <c r="A660" s="87"/>
      <c r="B660" s="30"/>
      <c r="C660" s="70"/>
      <c r="G660" s="30"/>
      <c r="H660" s="77"/>
      <c r="I660" s="77"/>
      <c r="J660" s="58"/>
      <c r="K660" s="58"/>
    </row>
    <row r="661" spans="1:11" s="71" customFormat="1">
      <c r="A661" s="87"/>
      <c r="B661" s="30"/>
      <c r="C661" s="70"/>
      <c r="G661" s="30"/>
      <c r="H661" s="77"/>
      <c r="I661" s="77"/>
      <c r="J661" s="58"/>
      <c r="K661" s="58"/>
    </row>
    <row r="662" spans="1:11" s="71" customFormat="1">
      <c r="A662" s="87"/>
      <c r="B662" s="30"/>
      <c r="C662" s="70"/>
      <c r="G662" s="30"/>
      <c r="H662" s="77"/>
      <c r="I662" s="77"/>
      <c r="J662" s="58"/>
      <c r="K662" s="58"/>
    </row>
    <row r="663" spans="1:11" s="71" customFormat="1">
      <c r="A663" s="87"/>
      <c r="B663" s="30"/>
      <c r="C663" s="70"/>
      <c r="G663" s="30"/>
      <c r="H663" s="77"/>
      <c r="I663" s="77"/>
      <c r="J663" s="58"/>
      <c r="K663" s="58"/>
    </row>
    <row r="664" spans="1:11" s="71" customFormat="1">
      <c r="A664" s="87"/>
      <c r="B664" s="30"/>
      <c r="C664" s="70"/>
      <c r="G664" s="30"/>
      <c r="H664" s="77"/>
      <c r="I664" s="77"/>
      <c r="J664" s="58"/>
      <c r="K664" s="58"/>
    </row>
    <row r="665" spans="1:11" s="71" customFormat="1">
      <c r="A665" s="87"/>
      <c r="B665" s="30"/>
      <c r="C665" s="70"/>
      <c r="G665" s="30"/>
      <c r="H665" s="77"/>
      <c r="I665" s="77"/>
      <c r="J665" s="58"/>
      <c r="K665" s="58"/>
    </row>
    <row r="666" spans="1:11" s="71" customFormat="1">
      <c r="A666" s="87"/>
      <c r="B666" s="30"/>
      <c r="C666" s="70"/>
      <c r="G666" s="30"/>
      <c r="H666" s="77"/>
      <c r="I666" s="77"/>
      <c r="J666" s="58"/>
      <c r="K666" s="58"/>
    </row>
    <row r="667" spans="1:11" s="71" customFormat="1">
      <c r="A667" s="87"/>
      <c r="B667" s="30"/>
      <c r="C667" s="70"/>
      <c r="G667" s="30"/>
      <c r="H667" s="77"/>
      <c r="I667" s="77"/>
      <c r="J667" s="58"/>
      <c r="K667" s="58"/>
    </row>
    <row r="668" spans="1:11" s="71" customFormat="1">
      <c r="A668" s="87"/>
      <c r="B668" s="30"/>
      <c r="C668" s="70"/>
      <c r="G668" s="30"/>
      <c r="H668" s="77"/>
      <c r="I668" s="77"/>
      <c r="J668" s="58"/>
      <c r="K668" s="58"/>
    </row>
    <row r="669" spans="1:11" s="71" customFormat="1">
      <c r="A669" s="87"/>
      <c r="B669" s="30"/>
      <c r="C669" s="70"/>
      <c r="G669" s="30"/>
      <c r="H669" s="77"/>
      <c r="I669" s="77"/>
      <c r="J669" s="58"/>
      <c r="K669" s="58"/>
    </row>
    <row r="670" spans="1:11" s="71" customFormat="1">
      <c r="A670" s="87"/>
      <c r="B670" s="30"/>
      <c r="C670" s="70"/>
      <c r="G670" s="30"/>
      <c r="H670" s="77"/>
      <c r="I670" s="77"/>
      <c r="J670" s="58"/>
      <c r="K670" s="58"/>
    </row>
    <row r="671" spans="1:11" s="71" customFormat="1">
      <c r="A671" s="87"/>
      <c r="B671" s="30"/>
      <c r="C671" s="70"/>
      <c r="G671" s="30"/>
      <c r="H671" s="77"/>
      <c r="I671" s="77"/>
      <c r="J671" s="58"/>
      <c r="K671" s="58"/>
    </row>
    <row r="672" spans="1:11" s="71" customFormat="1">
      <c r="A672" s="87"/>
      <c r="B672" s="30"/>
      <c r="C672" s="70"/>
      <c r="G672" s="30"/>
      <c r="H672" s="77"/>
      <c r="I672" s="77"/>
      <c r="J672" s="58"/>
      <c r="K672" s="58"/>
    </row>
    <row r="673" spans="1:11" s="71" customFormat="1">
      <c r="A673" s="87"/>
      <c r="B673" s="30"/>
      <c r="C673" s="70"/>
      <c r="G673" s="30"/>
      <c r="H673" s="77"/>
      <c r="I673" s="77"/>
      <c r="J673" s="58"/>
      <c r="K673" s="58"/>
    </row>
    <row r="674" spans="1:11" s="71" customFormat="1">
      <c r="A674" s="87"/>
      <c r="B674" s="30"/>
      <c r="C674" s="70"/>
      <c r="G674" s="30"/>
      <c r="H674" s="77"/>
      <c r="I674" s="77"/>
      <c r="J674" s="58"/>
      <c r="K674" s="58"/>
    </row>
    <row r="675" spans="1:11" s="71" customFormat="1">
      <c r="A675" s="87"/>
      <c r="B675" s="30"/>
      <c r="C675" s="70"/>
      <c r="G675" s="30"/>
      <c r="H675" s="77"/>
      <c r="I675" s="77"/>
      <c r="J675" s="58"/>
      <c r="K675" s="58"/>
    </row>
    <row r="676" spans="1:11" s="71" customFormat="1">
      <c r="A676" s="87"/>
      <c r="B676" s="30"/>
      <c r="C676" s="70"/>
      <c r="G676" s="30"/>
      <c r="H676" s="77"/>
      <c r="I676" s="77"/>
      <c r="J676" s="58"/>
      <c r="K676" s="58"/>
    </row>
    <row r="677" spans="1:11" s="71" customFormat="1">
      <c r="A677" s="87"/>
      <c r="B677" s="30"/>
      <c r="C677" s="70"/>
      <c r="G677" s="30"/>
      <c r="H677" s="77"/>
      <c r="I677" s="77"/>
      <c r="J677" s="58"/>
      <c r="K677" s="58"/>
    </row>
    <row r="678" spans="1:11" s="71" customFormat="1">
      <c r="A678" s="87"/>
      <c r="B678" s="30"/>
      <c r="C678" s="70"/>
      <c r="G678" s="30"/>
      <c r="H678" s="77"/>
      <c r="I678" s="77"/>
      <c r="J678" s="58"/>
      <c r="K678" s="58"/>
    </row>
    <row r="679" spans="1:11" s="71" customFormat="1">
      <c r="A679" s="87"/>
      <c r="B679" s="30"/>
      <c r="C679" s="70"/>
      <c r="G679" s="30"/>
      <c r="H679" s="77"/>
      <c r="I679" s="77"/>
      <c r="J679" s="58"/>
      <c r="K679" s="58"/>
    </row>
    <row r="680" spans="1:11" s="71" customFormat="1">
      <c r="A680" s="87"/>
      <c r="B680" s="30"/>
      <c r="C680" s="70"/>
      <c r="G680" s="30"/>
      <c r="H680" s="77"/>
      <c r="I680" s="77"/>
      <c r="J680" s="58"/>
      <c r="K680" s="58"/>
    </row>
    <row r="681" spans="1:11" s="71" customFormat="1">
      <c r="A681" s="87"/>
      <c r="B681" s="30"/>
      <c r="C681" s="70"/>
      <c r="G681" s="30"/>
      <c r="H681" s="77"/>
      <c r="I681" s="77"/>
      <c r="J681" s="58"/>
      <c r="K681" s="58"/>
    </row>
    <row r="682" spans="1:11" s="71" customFormat="1">
      <c r="A682" s="87"/>
      <c r="B682" s="30"/>
      <c r="C682" s="70"/>
      <c r="G682" s="30"/>
      <c r="H682" s="77"/>
      <c r="I682" s="77"/>
      <c r="J682" s="58"/>
      <c r="K682" s="58"/>
    </row>
    <row r="683" spans="1:11" s="71" customFormat="1">
      <c r="A683" s="87"/>
      <c r="B683" s="30"/>
      <c r="C683" s="70"/>
      <c r="G683" s="30"/>
      <c r="H683" s="77"/>
      <c r="I683" s="77"/>
      <c r="J683" s="58"/>
      <c r="K683" s="58"/>
    </row>
    <row r="684" spans="1:11" s="71" customFormat="1">
      <c r="A684" s="87"/>
      <c r="B684" s="30"/>
      <c r="C684" s="70"/>
      <c r="G684" s="30"/>
      <c r="H684" s="77"/>
      <c r="I684" s="77"/>
      <c r="J684" s="58"/>
      <c r="K684" s="58"/>
    </row>
    <row r="685" spans="1:11" s="71" customFormat="1">
      <c r="A685" s="87"/>
      <c r="B685" s="30"/>
      <c r="C685" s="70"/>
      <c r="G685" s="30"/>
      <c r="H685" s="77"/>
      <c r="I685" s="77"/>
      <c r="J685" s="58"/>
      <c r="K685" s="58"/>
    </row>
    <row r="686" spans="1:11" s="71" customFormat="1">
      <c r="A686" s="87"/>
      <c r="B686" s="30"/>
      <c r="C686" s="70"/>
      <c r="G686" s="30"/>
      <c r="H686" s="77"/>
      <c r="I686" s="77"/>
      <c r="J686" s="58"/>
      <c r="K686" s="58"/>
    </row>
    <row r="687" spans="1:11" s="71" customFormat="1">
      <c r="A687" s="87"/>
      <c r="B687" s="30"/>
      <c r="C687" s="70"/>
      <c r="G687" s="30"/>
      <c r="H687" s="77"/>
      <c r="I687" s="77"/>
      <c r="J687" s="58"/>
      <c r="K687" s="58"/>
    </row>
    <row r="688" spans="1:11" s="71" customFormat="1">
      <c r="A688" s="87"/>
      <c r="B688" s="30"/>
      <c r="C688" s="70"/>
      <c r="G688" s="30"/>
      <c r="H688" s="77"/>
      <c r="I688" s="77"/>
      <c r="J688" s="58"/>
      <c r="K688" s="58"/>
    </row>
    <row r="689" spans="1:11" s="71" customFormat="1">
      <c r="A689" s="87"/>
      <c r="B689" s="30"/>
      <c r="C689" s="70"/>
      <c r="G689" s="30"/>
      <c r="H689" s="77"/>
      <c r="I689" s="77"/>
      <c r="J689" s="58"/>
      <c r="K689" s="58"/>
    </row>
    <row r="690" spans="1:11" s="71" customFormat="1">
      <c r="A690" s="87"/>
      <c r="B690" s="30"/>
      <c r="C690" s="70"/>
      <c r="G690" s="30"/>
      <c r="H690" s="77"/>
      <c r="I690" s="77"/>
      <c r="J690" s="58"/>
      <c r="K690" s="58"/>
    </row>
    <row r="691" spans="1:11" s="71" customFormat="1">
      <c r="A691" s="87"/>
      <c r="B691" s="30"/>
      <c r="C691" s="70"/>
      <c r="G691" s="30"/>
      <c r="H691" s="77"/>
      <c r="I691" s="77"/>
      <c r="J691" s="58"/>
      <c r="K691" s="58"/>
    </row>
    <row r="692" spans="1:11" s="71" customFormat="1">
      <c r="A692" s="87"/>
      <c r="B692" s="30"/>
      <c r="C692" s="70"/>
      <c r="G692" s="30"/>
      <c r="H692" s="77"/>
      <c r="I692" s="77"/>
      <c r="J692" s="58"/>
      <c r="K692" s="58"/>
    </row>
    <row r="693" spans="1:11" s="71" customFormat="1">
      <c r="A693" s="87"/>
      <c r="B693" s="30"/>
      <c r="C693" s="70"/>
      <c r="G693" s="30"/>
      <c r="H693" s="77"/>
      <c r="I693" s="77"/>
      <c r="J693" s="58"/>
      <c r="K693" s="58"/>
    </row>
    <row r="694" spans="1:11" s="71" customFormat="1">
      <c r="A694" s="87"/>
      <c r="B694" s="30"/>
      <c r="C694" s="70"/>
      <c r="G694" s="30"/>
      <c r="H694" s="77"/>
      <c r="I694" s="77"/>
      <c r="J694" s="58"/>
      <c r="K694" s="58"/>
    </row>
    <row r="695" spans="1:11" s="71" customFormat="1">
      <c r="A695" s="87"/>
      <c r="B695" s="30"/>
      <c r="C695" s="70"/>
      <c r="G695" s="30"/>
      <c r="H695" s="77"/>
      <c r="I695" s="77"/>
      <c r="J695" s="58"/>
      <c r="K695" s="58"/>
    </row>
    <row r="696" spans="1:11" s="71" customFormat="1">
      <c r="A696" s="87"/>
      <c r="B696" s="30"/>
      <c r="C696" s="70"/>
      <c r="G696" s="30"/>
      <c r="H696" s="77"/>
      <c r="I696" s="77"/>
      <c r="J696" s="58"/>
      <c r="K696" s="58"/>
    </row>
    <row r="697" spans="1:11" s="71" customFormat="1">
      <c r="A697" s="87"/>
      <c r="B697" s="30"/>
      <c r="C697" s="70"/>
      <c r="G697" s="30"/>
      <c r="H697" s="77"/>
      <c r="I697" s="77"/>
      <c r="J697" s="58"/>
      <c r="K697" s="58"/>
    </row>
    <row r="698" spans="1:11" s="71" customFormat="1">
      <c r="A698" s="87"/>
      <c r="B698" s="30"/>
      <c r="C698" s="70"/>
      <c r="G698" s="30"/>
      <c r="H698" s="77"/>
      <c r="I698" s="77"/>
      <c r="J698" s="58"/>
      <c r="K698" s="58"/>
    </row>
    <row r="699" spans="1:11" s="71" customFormat="1">
      <c r="A699" s="87"/>
      <c r="B699" s="30"/>
      <c r="C699" s="70"/>
      <c r="G699" s="30"/>
      <c r="H699" s="77"/>
      <c r="I699" s="77"/>
      <c r="J699" s="58"/>
      <c r="K699" s="58"/>
    </row>
    <row r="700" spans="1:11" s="71" customFormat="1">
      <c r="A700" s="87"/>
      <c r="B700" s="30"/>
      <c r="C700" s="70"/>
      <c r="G700" s="30"/>
      <c r="H700" s="77"/>
      <c r="I700" s="77"/>
      <c r="J700" s="58"/>
      <c r="K700" s="58"/>
    </row>
    <row r="701" spans="1:11" s="71" customFormat="1">
      <c r="A701" s="87"/>
      <c r="B701" s="30"/>
      <c r="C701" s="70"/>
      <c r="G701" s="30"/>
      <c r="H701" s="77"/>
      <c r="I701" s="77"/>
      <c r="J701" s="58"/>
      <c r="K701" s="58"/>
    </row>
    <row r="702" spans="1:11" s="71" customFormat="1">
      <c r="A702" s="87"/>
      <c r="B702" s="30"/>
      <c r="C702" s="70"/>
      <c r="G702" s="30"/>
      <c r="H702" s="77"/>
      <c r="I702" s="77"/>
      <c r="J702" s="58"/>
      <c r="K702" s="58"/>
    </row>
    <row r="703" spans="1:11" s="71" customFormat="1">
      <c r="A703" s="87"/>
      <c r="B703" s="30"/>
      <c r="C703" s="70"/>
      <c r="G703" s="30"/>
      <c r="H703" s="77"/>
      <c r="I703" s="77"/>
      <c r="J703" s="58"/>
      <c r="K703" s="58"/>
    </row>
    <row r="704" spans="1:11" s="71" customFormat="1">
      <c r="A704" s="87"/>
      <c r="B704" s="30"/>
      <c r="C704" s="70"/>
      <c r="G704" s="30"/>
      <c r="H704" s="77"/>
      <c r="I704" s="77"/>
      <c r="J704" s="58"/>
      <c r="K704" s="58"/>
    </row>
    <row r="705" spans="1:11" s="71" customFormat="1">
      <c r="A705" s="87"/>
      <c r="B705" s="30"/>
      <c r="C705" s="70"/>
      <c r="G705" s="30"/>
      <c r="H705" s="77"/>
      <c r="I705" s="77"/>
      <c r="J705" s="58"/>
      <c r="K705" s="58"/>
    </row>
    <row r="706" spans="1:11" s="71" customFormat="1">
      <c r="A706" s="87"/>
      <c r="B706" s="30"/>
      <c r="C706" s="70"/>
      <c r="G706" s="30"/>
      <c r="H706" s="77"/>
      <c r="I706" s="77"/>
      <c r="J706" s="58"/>
      <c r="K706" s="58"/>
    </row>
    <row r="707" spans="1:11" s="71" customFormat="1">
      <c r="A707" s="87"/>
      <c r="B707" s="30"/>
      <c r="C707" s="70"/>
      <c r="G707" s="30"/>
      <c r="H707" s="77"/>
      <c r="I707" s="77"/>
      <c r="J707" s="58"/>
      <c r="K707" s="58"/>
    </row>
    <row r="708" spans="1:11" s="71" customFormat="1">
      <c r="A708" s="87"/>
      <c r="B708" s="30"/>
      <c r="C708" s="70"/>
      <c r="G708" s="30"/>
      <c r="H708" s="77"/>
      <c r="I708" s="77"/>
      <c r="J708" s="58"/>
      <c r="K708" s="58"/>
    </row>
    <row r="709" spans="1:11" s="71" customFormat="1">
      <c r="A709" s="87"/>
      <c r="B709" s="30"/>
      <c r="C709" s="70"/>
      <c r="G709" s="30"/>
      <c r="H709" s="77"/>
      <c r="I709" s="77"/>
      <c r="J709" s="58"/>
      <c r="K709" s="58"/>
    </row>
    <row r="710" spans="1:11" s="71" customFormat="1">
      <c r="A710" s="87"/>
      <c r="B710" s="30"/>
      <c r="C710" s="70"/>
      <c r="G710" s="30"/>
      <c r="H710" s="77"/>
      <c r="I710" s="77"/>
      <c r="J710" s="58"/>
      <c r="K710" s="58"/>
    </row>
    <row r="711" spans="1:11" s="71" customFormat="1">
      <c r="A711" s="87"/>
      <c r="B711" s="30"/>
      <c r="C711" s="70"/>
      <c r="G711" s="30"/>
      <c r="H711" s="77"/>
      <c r="I711" s="77"/>
      <c r="J711" s="58"/>
      <c r="K711" s="58"/>
    </row>
    <row r="712" spans="1:11" s="71" customFormat="1">
      <c r="A712" s="87"/>
      <c r="B712" s="30"/>
      <c r="C712" s="70"/>
      <c r="G712" s="30"/>
      <c r="H712" s="77"/>
      <c r="I712" s="77"/>
      <c r="J712" s="58"/>
      <c r="K712" s="58"/>
    </row>
    <row r="713" spans="1:11" s="71" customFormat="1">
      <c r="A713" s="87"/>
      <c r="B713" s="30"/>
      <c r="C713" s="70"/>
      <c r="G713" s="30"/>
      <c r="H713" s="77"/>
      <c r="I713" s="77"/>
      <c r="J713" s="58"/>
      <c r="K713" s="58"/>
    </row>
    <row r="714" spans="1:11" s="71" customFormat="1">
      <c r="A714" s="87"/>
      <c r="B714" s="30"/>
      <c r="C714" s="70"/>
      <c r="G714" s="30"/>
      <c r="H714" s="77"/>
      <c r="I714" s="77"/>
      <c r="J714" s="58"/>
      <c r="K714" s="58"/>
    </row>
    <row r="715" spans="1:11" s="71" customFormat="1">
      <c r="A715" s="87"/>
      <c r="B715" s="30"/>
      <c r="C715" s="70"/>
      <c r="G715" s="30"/>
      <c r="H715" s="77"/>
      <c r="I715" s="77"/>
      <c r="J715" s="58"/>
      <c r="K715" s="58"/>
    </row>
    <row r="716" spans="1:11" s="71" customFormat="1">
      <c r="A716" s="87"/>
      <c r="B716" s="30"/>
      <c r="C716" s="70"/>
      <c r="G716" s="30"/>
      <c r="H716" s="77"/>
      <c r="I716" s="77"/>
      <c r="J716" s="58"/>
      <c r="K716" s="58"/>
    </row>
    <row r="717" spans="1:11" s="71" customFormat="1">
      <c r="A717" s="87"/>
      <c r="B717" s="30"/>
      <c r="C717" s="70"/>
      <c r="G717" s="30"/>
      <c r="H717" s="77"/>
      <c r="I717" s="77"/>
      <c r="J717" s="58"/>
      <c r="K717" s="58"/>
    </row>
    <row r="718" spans="1:11" s="71" customFormat="1">
      <c r="A718" s="87"/>
      <c r="B718" s="30"/>
      <c r="C718" s="70"/>
      <c r="G718" s="30"/>
      <c r="H718" s="77"/>
      <c r="I718" s="77"/>
      <c r="J718" s="58"/>
      <c r="K718" s="58"/>
    </row>
    <row r="719" spans="1:11" s="71" customFormat="1">
      <c r="A719" s="87"/>
      <c r="B719" s="30"/>
      <c r="C719" s="70"/>
      <c r="G719" s="30"/>
      <c r="H719" s="77"/>
      <c r="I719" s="77"/>
      <c r="J719" s="58"/>
      <c r="K719" s="58"/>
    </row>
    <row r="720" spans="1:11" s="71" customFormat="1">
      <c r="A720" s="87"/>
      <c r="B720" s="30"/>
      <c r="C720" s="70"/>
      <c r="G720" s="30"/>
      <c r="H720" s="77"/>
      <c r="I720" s="77"/>
      <c r="J720" s="58"/>
      <c r="K720" s="58"/>
    </row>
    <row r="721" spans="1:11" s="71" customFormat="1">
      <c r="A721" s="87"/>
      <c r="B721" s="30"/>
      <c r="C721" s="70"/>
      <c r="G721" s="30"/>
      <c r="H721" s="77"/>
      <c r="I721" s="77"/>
      <c r="J721" s="58"/>
      <c r="K721" s="58"/>
    </row>
    <row r="722" spans="1:11" s="71" customFormat="1">
      <c r="A722" s="87"/>
      <c r="B722" s="30"/>
      <c r="C722" s="70"/>
      <c r="G722" s="30"/>
      <c r="H722" s="77"/>
      <c r="I722" s="77"/>
      <c r="J722" s="58"/>
      <c r="K722" s="58"/>
    </row>
    <row r="723" spans="1:11" s="71" customFormat="1">
      <c r="A723" s="87"/>
      <c r="B723" s="30"/>
      <c r="C723" s="70"/>
      <c r="G723" s="30"/>
      <c r="H723" s="77"/>
      <c r="I723" s="77"/>
      <c r="J723" s="58"/>
      <c r="K723" s="58"/>
    </row>
    <row r="724" spans="1:11" s="71" customFormat="1">
      <c r="A724" s="87"/>
      <c r="B724" s="30"/>
      <c r="C724" s="70"/>
      <c r="G724" s="30"/>
      <c r="H724" s="77"/>
      <c r="I724" s="77"/>
      <c r="J724" s="58"/>
      <c r="K724" s="58"/>
    </row>
    <row r="725" spans="1:11" s="71" customFormat="1">
      <c r="A725" s="87"/>
      <c r="B725" s="30"/>
      <c r="C725" s="70"/>
      <c r="G725" s="30"/>
      <c r="H725" s="77"/>
      <c r="I725" s="77"/>
      <c r="J725" s="58"/>
      <c r="K725" s="58"/>
    </row>
    <row r="726" spans="1:11" s="71" customFormat="1">
      <c r="A726" s="87"/>
      <c r="B726" s="30"/>
      <c r="C726" s="70"/>
      <c r="G726" s="30"/>
      <c r="H726" s="77"/>
      <c r="I726" s="77"/>
      <c r="J726" s="58"/>
      <c r="K726" s="58"/>
    </row>
    <row r="727" spans="1:11" s="71" customFormat="1">
      <c r="A727" s="87"/>
      <c r="B727" s="30"/>
      <c r="C727" s="70"/>
      <c r="G727" s="30"/>
      <c r="H727" s="77"/>
      <c r="I727" s="77"/>
      <c r="J727" s="58"/>
      <c r="K727" s="58"/>
    </row>
    <row r="728" spans="1:11" s="71" customFormat="1">
      <c r="A728" s="87"/>
      <c r="B728" s="30"/>
      <c r="C728" s="70"/>
      <c r="G728" s="30"/>
      <c r="H728" s="77"/>
      <c r="I728" s="77"/>
      <c r="J728" s="58"/>
      <c r="K728" s="58"/>
    </row>
    <row r="729" spans="1:11" s="71" customFormat="1">
      <c r="A729" s="87"/>
      <c r="B729" s="30"/>
      <c r="C729" s="70"/>
      <c r="G729" s="30"/>
      <c r="H729" s="77"/>
      <c r="I729" s="77"/>
      <c r="J729" s="58"/>
      <c r="K729" s="58"/>
    </row>
    <row r="730" spans="1:11" s="71" customFormat="1">
      <c r="A730" s="87"/>
      <c r="B730" s="30"/>
      <c r="C730" s="70"/>
      <c r="G730" s="30"/>
      <c r="H730" s="77"/>
      <c r="I730" s="77"/>
      <c r="J730" s="58"/>
      <c r="K730" s="58"/>
    </row>
    <row r="731" spans="1:11" s="71" customFormat="1">
      <c r="A731" s="87"/>
      <c r="B731" s="30"/>
      <c r="C731" s="70"/>
      <c r="G731" s="30"/>
      <c r="H731" s="77"/>
      <c r="I731" s="77"/>
      <c r="J731" s="58"/>
      <c r="K731" s="58"/>
    </row>
    <row r="732" spans="1:11" s="71" customFormat="1">
      <c r="A732" s="87"/>
      <c r="B732" s="30"/>
      <c r="C732" s="70"/>
      <c r="G732" s="30"/>
      <c r="H732" s="77"/>
      <c r="I732" s="77"/>
      <c r="J732" s="58"/>
      <c r="K732" s="58"/>
    </row>
    <row r="733" spans="1:11" s="71" customFormat="1">
      <c r="A733" s="87"/>
      <c r="B733" s="30"/>
      <c r="C733" s="70"/>
      <c r="G733" s="30"/>
      <c r="H733" s="77"/>
      <c r="I733" s="77"/>
      <c r="J733" s="58"/>
      <c r="K733" s="58"/>
    </row>
    <row r="734" spans="1:11" s="71" customFormat="1">
      <c r="A734" s="87"/>
      <c r="B734" s="30"/>
      <c r="C734" s="70"/>
      <c r="G734" s="30"/>
      <c r="H734" s="77"/>
      <c r="I734" s="77"/>
      <c r="J734" s="58"/>
      <c r="K734" s="58"/>
    </row>
    <row r="735" spans="1:11" s="71" customFormat="1">
      <c r="A735" s="87"/>
      <c r="B735" s="30"/>
      <c r="C735" s="70"/>
      <c r="G735" s="30"/>
      <c r="H735" s="77"/>
      <c r="I735" s="77"/>
      <c r="J735" s="58"/>
      <c r="K735" s="58"/>
    </row>
    <row r="736" spans="1:11" s="71" customFormat="1">
      <c r="A736" s="87"/>
      <c r="B736" s="30"/>
      <c r="C736" s="70"/>
      <c r="G736" s="30"/>
      <c r="H736" s="77"/>
      <c r="I736" s="77"/>
      <c r="J736" s="58"/>
      <c r="K736" s="58"/>
    </row>
    <row r="737" spans="1:11" s="71" customFormat="1">
      <c r="A737" s="87"/>
      <c r="B737" s="30"/>
      <c r="C737" s="70"/>
      <c r="G737" s="30"/>
      <c r="H737" s="77"/>
      <c r="I737" s="77"/>
      <c r="J737" s="58"/>
      <c r="K737" s="58"/>
    </row>
    <row r="738" spans="1:11" s="71" customFormat="1">
      <c r="A738" s="87"/>
      <c r="B738" s="30"/>
      <c r="C738" s="70"/>
      <c r="G738" s="30"/>
      <c r="H738" s="77"/>
      <c r="I738" s="77"/>
      <c r="J738" s="58"/>
      <c r="K738" s="58"/>
    </row>
    <row r="739" spans="1:11" s="71" customFormat="1">
      <c r="A739" s="87"/>
      <c r="B739" s="30"/>
      <c r="C739" s="70"/>
      <c r="G739" s="30"/>
      <c r="H739" s="77"/>
      <c r="I739" s="77"/>
      <c r="J739" s="58"/>
      <c r="K739" s="58"/>
    </row>
    <row r="740" spans="1:11" s="71" customFormat="1">
      <c r="A740" s="87"/>
      <c r="B740" s="30"/>
      <c r="C740" s="70"/>
      <c r="G740" s="30"/>
      <c r="H740" s="77"/>
      <c r="I740" s="77"/>
      <c r="J740" s="58"/>
      <c r="K740" s="58"/>
    </row>
    <row r="741" spans="1:11" s="71" customFormat="1">
      <c r="A741" s="87"/>
      <c r="B741" s="30"/>
      <c r="C741" s="70"/>
      <c r="G741" s="30"/>
      <c r="H741" s="77"/>
      <c r="I741" s="77"/>
      <c r="J741" s="58"/>
      <c r="K741" s="58"/>
    </row>
    <row r="742" spans="1:11" s="71" customFormat="1">
      <c r="A742" s="87"/>
      <c r="B742" s="30"/>
      <c r="C742" s="70"/>
      <c r="G742" s="30"/>
      <c r="H742" s="77"/>
      <c r="I742" s="77"/>
      <c r="J742" s="58"/>
      <c r="K742" s="58"/>
    </row>
    <row r="743" spans="1:11" s="71" customFormat="1">
      <c r="A743" s="87"/>
      <c r="B743" s="30"/>
      <c r="C743" s="70"/>
      <c r="G743" s="30"/>
      <c r="H743" s="77"/>
      <c r="I743" s="77"/>
      <c r="J743" s="58"/>
      <c r="K743" s="58"/>
    </row>
    <row r="744" spans="1:11" s="71" customFormat="1">
      <c r="A744" s="87"/>
      <c r="B744" s="30"/>
      <c r="C744" s="70"/>
      <c r="G744" s="30"/>
      <c r="H744" s="77"/>
      <c r="I744" s="77"/>
      <c r="J744" s="58"/>
      <c r="K744" s="58"/>
    </row>
    <row r="745" spans="1:11" s="71" customFormat="1">
      <c r="A745" s="87"/>
      <c r="B745" s="30"/>
      <c r="C745" s="70"/>
      <c r="G745" s="30"/>
      <c r="H745" s="77"/>
      <c r="I745" s="77"/>
      <c r="J745" s="58"/>
      <c r="K745" s="58"/>
    </row>
    <row r="746" spans="1:11" s="71" customFormat="1">
      <c r="A746" s="87"/>
      <c r="B746" s="30"/>
      <c r="C746" s="70"/>
      <c r="G746" s="30"/>
      <c r="H746" s="77"/>
      <c r="I746" s="77"/>
      <c r="J746" s="58"/>
      <c r="K746" s="58"/>
    </row>
    <row r="747" spans="1:11" s="71" customFormat="1">
      <c r="A747" s="87"/>
      <c r="B747" s="30"/>
      <c r="C747" s="70"/>
      <c r="G747" s="30"/>
      <c r="H747" s="77"/>
      <c r="I747" s="77"/>
      <c r="J747" s="58"/>
      <c r="K747" s="58"/>
    </row>
    <row r="748" spans="1:11" s="71" customFormat="1">
      <c r="A748" s="87"/>
      <c r="B748" s="30"/>
      <c r="C748" s="70"/>
      <c r="G748" s="30"/>
      <c r="H748" s="77"/>
      <c r="I748" s="77"/>
      <c r="J748" s="58"/>
      <c r="K748" s="58"/>
    </row>
    <row r="749" spans="1:11" s="71" customFormat="1">
      <c r="A749" s="87"/>
      <c r="B749" s="30"/>
      <c r="C749" s="70"/>
      <c r="G749" s="30"/>
      <c r="H749" s="77"/>
      <c r="I749" s="77"/>
      <c r="J749" s="58"/>
      <c r="K749" s="58"/>
    </row>
    <row r="750" spans="1:11" s="71" customFormat="1">
      <c r="A750" s="87"/>
      <c r="B750" s="30"/>
      <c r="C750" s="70"/>
      <c r="G750" s="30"/>
      <c r="H750" s="77"/>
      <c r="I750" s="77"/>
      <c r="J750" s="58"/>
      <c r="K750" s="58"/>
    </row>
    <row r="751" spans="1:11" s="71" customFormat="1">
      <c r="A751" s="87"/>
      <c r="B751" s="30"/>
      <c r="C751" s="70"/>
      <c r="G751" s="30"/>
      <c r="H751" s="77"/>
      <c r="I751" s="77"/>
      <c r="J751" s="58"/>
      <c r="K751" s="58"/>
    </row>
    <row r="752" spans="1:11" s="71" customFormat="1">
      <c r="A752" s="87"/>
      <c r="B752" s="30"/>
      <c r="C752" s="70"/>
      <c r="G752" s="30"/>
      <c r="H752" s="77"/>
      <c r="I752" s="77"/>
      <c r="J752" s="58"/>
      <c r="K752" s="58"/>
    </row>
    <row r="753" spans="1:11" s="71" customFormat="1">
      <c r="A753" s="87"/>
      <c r="B753" s="30"/>
      <c r="C753" s="70"/>
      <c r="G753" s="30"/>
      <c r="H753" s="77"/>
      <c r="I753" s="77"/>
      <c r="J753" s="58"/>
      <c r="K753" s="58"/>
    </row>
    <row r="754" spans="1:11" s="71" customFormat="1">
      <c r="A754" s="87"/>
      <c r="B754" s="30"/>
      <c r="C754" s="70"/>
      <c r="G754" s="30"/>
      <c r="H754" s="77"/>
      <c r="I754" s="77"/>
      <c r="J754" s="58"/>
      <c r="K754" s="58"/>
    </row>
    <row r="755" spans="1:11" s="71" customFormat="1">
      <c r="A755" s="87"/>
      <c r="B755" s="30"/>
      <c r="C755" s="70"/>
      <c r="G755" s="30"/>
      <c r="H755" s="77"/>
      <c r="I755" s="77"/>
      <c r="J755" s="58"/>
      <c r="K755" s="58"/>
    </row>
    <row r="756" spans="1:11" s="71" customFormat="1">
      <c r="A756" s="87"/>
      <c r="B756" s="30"/>
      <c r="C756" s="70"/>
      <c r="G756" s="30"/>
      <c r="H756" s="77"/>
      <c r="I756" s="77"/>
      <c r="J756" s="58"/>
      <c r="K756" s="58"/>
    </row>
    <row r="757" spans="1:11" s="71" customFormat="1">
      <c r="A757" s="87"/>
      <c r="B757" s="30"/>
      <c r="C757" s="70"/>
      <c r="G757" s="30"/>
      <c r="H757" s="77"/>
      <c r="I757" s="77"/>
      <c r="J757" s="58"/>
      <c r="K757" s="58"/>
    </row>
    <row r="758" spans="1:11" s="71" customFormat="1">
      <c r="A758" s="87"/>
      <c r="B758" s="30"/>
      <c r="C758" s="70"/>
      <c r="G758" s="30"/>
      <c r="H758" s="77"/>
      <c r="I758" s="77"/>
      <c r="J758" s="58"/>
      <c r="K758" s="58"/>
    </row>
    <row r="759" spans="1:11" s="71" customFormat="1">
      <c r="A759" s="87"/>
      <c r="B759" s="30"/>
      <c r="C759" s="70"/>
      <c r="G759" s="30"/>
      <c r="H759" s="77"/>
      <c r="I759" s="77"/>
      <c r="J759" s="58"/>
      <c r="K759" s="58"/>
    </row>
    <row r="760" spans="1:11" s="71" customFormat="1">
      <c r="A760" s="87"/>
      <c r="B760" s="30"/>
      <c r="C760" s="70"/>
      <c r="G760" s="30"/>
      <c r="H760" s="77"/>
      <c r="I760" s="77"/>
      <c r="J760" s="58"/>
      <c r="K760" s="58"/>
    </row>
    <row r="761" spans="1:11" s="71" customFormat="1">
      <c r="A761" s="87"/>
      <c r="B761" s="30"/>
      <c r="C761" s="70"/>
      <c r="G761" s="30"/>
      <c r="H761" s="77"/>
      <c r="I761" s="77"/>
      <c r="J761" s="58"/>
      <c r="K761" s="58"/>
    </row>
    <row r="762" spans="1:11" s="71" customFormat="1">
      <c r="A762" s="87"/>
      <c r="B762" s="30"/>
      <c r="C762" s="70"/>
      <c r="G762" s="30"/>
      <c r="H762" s="77"/>
      <c r="I762" s="77"/>
      <c r="J762" s="58"/>
      <c r="K762" s="58"/>
    </row>
    <row r="763" spans="1:11" s="71" customFormat="1">
      <c r="A763" s="87"/>
      <c r="B763" s="30"/>
      <c r="C763" s="70"/>
      <c r="G763" s="30"/>
      <c r="H763" s="77"/>
      <c r="I763" s="77"/>
      <c r="J763" s="58"/>
      <c r="K763" s="58"/>
    </row>
    <row r="764" spans="1:11" s="71" customFormat="1">
      <c r="A764" s="87"/>
      <c r="B764" s="30"/>
      <c r="C764" s="70"/>
      <c r="G764" s="30"/>
      <c r="H764" s="77"/>
      <c r="I764" s="77"/>
      <c r="J764" s="58"/>
      <c r="K764" s="58"/>
    </row>
    <row r="765" spans="1:11" s="71" customFormat="1">
      <c r="A765" s="87"/>
      <c r="B765" s="30"/>
      <c r="C765" s="70"/>
      <c r="G765" s="30"/>
      <c r="H765" s="77"/>
      <c r="I765" s="77"/>
      <c r="J765" s="58"/>
      <c r="K765" s="58"/>
    </row>
    <row r="766" spans="1:11" s="71" customFormat="1">
      <c r="A766" s="87"/>
      <c r="B766" s="30"/>
      <c r="C766" s="70"/>
      <c r="G766" s="30"/>
      <c r="H766" s="77"/>
      <c r="I766" s="77"/>
      <c r="J766" s="58"/>
      <c r="K766" s="58"/>
    </row>
    <row r="767" spans="1:11" s="71" customFormat="1">
      <c r="A767" s="87"/>
      <c r="B767" s="30"/>
      <c r="C767" s="70"/>
      <c r="G767" s="30"/>
      <c r="H767" s="77"/>
      <c r="I767" s="77"/>
      <c r="J767" s="58"/>
      <c r="K767" s="58"/>
    </row>
    <row r="768" spans="1:11" s="71" customFormat="1">
      <c r="A768" s="87"/>
      <c r="B768" s="30"/>
      <c r="C768" s="70"/>
      <c r="G768" s="30"/>
      <c r="H768" s="77"/>
      <c r="I768" s="77"/>
      <c r="J768" s="58"/>
      <c r="K768" s="58"/>
    </row>
    <row r="769" spans="1:11" s="71" customFormat="1">
      <c r="A769" s="87"/>
      <c r="B769" s="30"/>
      <c r="C769" s="70"/>
      <c r="G769" s="30"/>
      <c r="H769" s="77"/>
      <c r="I769" s="77"/>
      <c r="J769" s="58"/>
      <c r="K769" s="58"/>
    </row>
    <row r="770" spans="1:11" s="71" customFormat="1">
      <c r="A770" s="87"/>
      <c r="B770" s="30"/>
      <c r="C770" s="70"/>
      <c r="G770" s="30"/>
      <c r="H770" s="77"/>
      <c r="I770" s="77"/>
      <c r="J770" s="58"/>
      <c r="K770" s="58"/>
    </row>
    <row r="771" spans="1:11" s="71" customFormat="1">
      <c r="A771" s="87"/>
      <c r="B771" s="30"/>
      <c r="C771" s="70"/>
      <c r="G771" s="30"/>
      <c r="H771" s="77"/>
      <c r="I771" s="77"/>
      <c r="J771" s="58"/>
      <c r="K771" s="58"/>
    </row>
    <row r="772" spans="1:11" s="71" customFormat="1">
      <c r="A772" s="87"/>
      <c r="B772" s="30"/>
      <c r="C772" s="70"/>
      <c r="G772" s="30"/>
      <c r="H772" s="77"/>
      <c r="I772" s="77"/>
      <c r="J772" s="58"/>
      <c r="K772" s="58"/>
    </row>
    <row r="773" spans="1:11" s="71" customFormat="1">
      <c r="A773" s="87"/>
      <c r="B773" s="30"/>
      <c r="C773" s="70"/>
      <c r="G773" s="30"/>
      <c r="H773" s="77"/>
      <c r="I773" s="77"/>
      <c r="J773" s="58"/>
      <c r="K773" s="58"/>
    </row>
    <row r="774" spans="1:11" s="71" customFormat="1">
      <c r="A774" s="87"/>
      <c r="B774" s="30"/>
      <c r="C774" s="70"/>
      <c r="G774" s="30"/>
      <c r="H774" s="77"/>
      <c r="I774" s="77"/>
      <c r="J774" s="58"/>
      <c r="K774" s="58"/>
    </row>
    <row r="775" spans="1:11" s="71" customFormat="1">
      <c r="A775" s="87"/>
      <c r="B775" s="30"/>
      <c r="C775" s="70"/>
      <c r="G775" s="30"/>
      <c r="H775" s="77"/>
      <c r="I775" s="77"/>
      <c r="J775" s="58"/>
      <c r="K775" s="58"/>
    </row>
    <row r="776" spans="1:11" s="71" customFormat="1">
      <c r="A776" s="87"/>
      <c r="B776" s="30"/>
      <c r="C776" s="70"/>
      <c r="G776" s="30"/>
      <c r="H776" s="77"/>
      <c r="I776" s="77"/>
      <c r="J776" s="58"/>
      <c r="K776" s="58"/>
    </row>
    <row r="777" spans="1:11" s="71" customFormat="1">
      <c r="A777" s="87"/>
      <c r="B777" s="30"/>
      <c r="C777" s="70"/>
      <c r="G777" s="30"/>
      <c r="H777" s="77"/>
      <c r="I777" s="77"/>
      <c r="J777" s="58"/>
      <c r="K777" s="58"/>
    </row>
    <row r="778" spans="1:11" s="71" customFormat="1">
      <c r="A778" s="87"/>
      <c r="B778" s="30"/>
      <c r="C778" s="70"/>
      <c r="G778" s="30"/>
      <c r="H778" s="77"/>
      <c r="I778" s="77"/>
      <c r="J778" s="58"/>
      <c r="K778" s="58"/>
    </row>
    <row r="779" spans="1:11" s="71" customFormat="1">
      <c r="A779" s="87"/>
      <c r="B779" s="30"/>
      <c r="C779" s="70"/>
      <c r="G779" s="30"/>
      <c r="H779" s="77"/>
      <c r="I779" s="77"/>
      <c r="J779" s="58"/>
      <c r="K779" s="58"/>
    </row>
    <row r="780" spans="1:11" s="71" customFormat="1">
      <c r="A780" s="87"/>
      <c r="B780" s="30"/>
      <c r="C780" s="70"/>
      <c r="G780" s="30"/>
      <c r="H780" s="77"/>
      <c r="I780" s="77"/>
      <c r="J780" s="58"/>
      <c r="K780" s="58"/>
    </row>
    <row r="781" spans="1:11" s="71" customFormat="1">
      <c r="A781" s="87"/>
      <c r="B781" s="30"/>
      <c r="C781" s="70"/>
      <c r="G781" s="30"/>
      <c r="H781" s="77"/>
      <c r="I781" s="77"/>
      <c r="J781" s="58"/>
      <c r="K781" s="58"/>
    </row>
    <row r="782" spans="1:11" s="71" customFormat="1">
      <c r="A782" s="87"/>
      <c r="B782" s="30"/>
      <c r="C782" s="70"/>
      <c r="G782" s="30"/>
      <c r="H782" s="77"/>
      <c r="I782" s="77"/>
      <c r="J782" s="58"/>
      <c r="K782" s="58"/>
    </row>
    <row r="783" spans="1:11" s="71" customFormat="1">
      <c r="A783" s="87"/>
      <c r="B783" s="30"/>
      <c r="C783" s="70"/>
      <c r="G783" s="30"/>
      <c r="H783" s="77"/>
      <c r="I783" s="77"/>
      <c r="J783" s="58"/>
      <c r="K783" s="58"/>
    </row>
    <row r="784" spans="1:11" s="71" customFormat="1">
      <c r="A784" s="87"/>
      <c r="B784" s="30"/>
      <c r="C784" s="70"/>
      <c r="G784" s="30"/>
      <c r="H784" s="77"/>
      <c r="I784" s="77"/>
      <c r="J784" s="58"/>
      <c r="K784" s="58"/>
    </row>
    <row r="785" spans="1:11" s="71" customFormat="1">
      <c r="A785" s="87"/>
      <c r="B785" s="30"/>
      <c r="C785" s="70"/>
      <c r="G785" s="30"/>
      <c r="H785" s="77"/>
      <c r="I785" s="77"/>
      <c r="J785" s="58"/>
      <c r="K785" s="58"/>
    </row>
    <row r="786" spans="1:11" s="71" customFormat="1">
      <c r="A786" s="87"/>
      <c r="B786" s="30"/>
      <c r="C786" s="70"/>
      <c r="G786" s="30"/>
      <c r="H786" s="77"/>
      <c r="I786" s="77"/>
      <c r="J786" s="58"/>
      <c r="K786" s="58"/>
    </row>
    <row r="787" spans="1:11" s="71" customFormat="1">
      <c r="A787" s="87"/>
      <c r="B787" s="30"/>
      <c r="C787" s="70"/>
      <c r="G787" s="30"/>
      <c r="H787" s="77"/>
      <c r="I787" s="77"/>
      <c r="J787" s="58"/>
      <c r="K787" s="58"/>
    </row>
    <row r="788" spans="1:11" s="71" customFormat="1">
      <c r="A788" s="87"/>
      <c r="B788" s="30"/>
      <c r="C788" s="70"/>
      <c r="G788" s="30"/>
      <c r="H788" s="77"/>
      <c r="I788" s="77"/>
      <c r="J788" s="58"/>
      <c r="K788" s="58"/>
    </row>
    <row r="789" spans="1:11" s="71" customFormat="1">
      <c r="A789" s="87"/>
      <c r="B789" s="30"/>
      <c r="C789" s="70"/>
      <c r="G789" s="30"/>
      <c r="H789" s="77"/>
      <c r="I789" s="77"/>
      <c r="J789" s="58"/>
      <c r="K789" s="58"/>
    </row>
    <row r="790" spans="1:11" s="71" customFormat="1">
      <c r="A790" s="87"/>
      <c r="B790" s="30"/>
      <c r="C790" s="70"/>
      <c r="G790" s="30"/>
      <c r="H790" s="77"/>
      <c r="I790" s="77"/>
      <c r="J790" s="58"/>
      <c r="K790" s="58"/>
    </row>
    <row r="791" spans="1:11" s="71" customFormat="1">
      <c r="A791" s="87"/>
      <c r="B791" s="30"/>
      <c r="C791" s="70"/>
      <c r="G791" s="30"/>
      <c r="H791" s="77"/>
      <c r="I791" s="77"/>
      <c r="J791" s="58"/>
      <c r="K791" s="58"/>
    </row>
    <row r="792" spans="1:11" s="71" customFormat="1">
      <c r="A792" s="87"/>
      <c r="B792" s="30"/>
      <c r="C792" s="70"/>
      <c r="G792" s="30"/>
      <c r="H792" s="77"/>
      <c r="I792" s="77"/>
      <c r="J792" s="58"/>
      <c r="K792" s="58"/>
    </row>
    <row r="793" spans="1:11" s="71" customFormat="1">
      <c r="A793" s="87"/>
      <c r="B793" s="30"/>
      <c r="C793" s="70"/>
      <c r="G793" s="30"/>
      <c r="H793" s="77"/>
      <c r="I793" s="77"/>
      <c r="J793" s="58"/>
      <c r="K793" s="58"/>
    </row>
    <row r="794" spans="1:11" s="71" customFormat="1">
      <c r="A794" s="87"/>
      <c r="B794" s="30"/>
      <c r="C794" s="70"/>
      <c r="G794" s="30"/>
      <c r="H794" s="77"/>
      <c r="I794" s="77"/>
      <c r="J794" s="58"/>
      <c r="K794" s="58"/>
    </row>
    <row r="795" spans="1:11" s="71" customFormat="1">
      <c r="A795" s="87"/>
      <c r="B795" s="30"/>
      <c r="C795" s="70"/>
      <c r="G795" s="30"/>
      <c r="H795" s="77"/>
      <c r="I795" s="77"/>
      <c r="J795" s="58"/>
      <c r="K795" s="58"/>
    </row>
    <row r="796" spans="1:11" s="71" customFormat="1">
      <c r="A796" s="87"/>
      <c r="B796" s="30"/>
      <c r="C796" s="70"/>
      <c r="G796" s="30"/>
      <c r="H796" s="77"/>
      <c r="I796" s="77"/>
      <c r="J796" s="58"/>
      <c r="K796" s="58"/>
    </row>
    <row r="797" spans="1:11" s="71" customFormat="1">
      <c r="A797" s="87"/>
      <c r="B797" s="30"/>
      <c r="C797" s="70"/>
      <c r="G797" s="30"/>
      <c r="H797" s="77"/>
      <c r="I797" s="77"/>
      <c r="J797" s="58"/>
      <c r="K797" s="58"/>
    </row>
    <row r="798" spans="1:11" s="71" customFormat="1">
      <c r="A798" s="87"/>
      <c r="B798" s="30"/>
      <c r="C798" s="70"/>
      <c r="G798" s="30"/>
      <c r="H798" s="77"/>
      <c r="I798" s="77"/>
      <c r="J798" s="58"/>
      <c r="K798" s="58"/>
    </row>
    <row r="799" spans="1:11" s="71" customFormat="1">
      <c r="A799" s="87"/>
      <c r="B799" s="30"/>
      <c r="C799" s="70"/>
      <c r="G799" s="30"/>
      <c r="H799" s="77"/>
      <c r="I799" s="77"/>
      <c r="J799" s="58"/>
      <c r="K799" s="58"/>
    </row>
    <row r="800" spans="1:11" s="71" customFormat="1">
      <c r="A800" s="87"/>
      <c r="B800" s="30"/>
      <c r="C800" s="70"/>
      <c r="G800" s="30"/>
      <c r="H800" s="77"/>
      <c r="I800" s="77"/>
      <c r="J800" s="58"/>
      <c r="K800" s="58"/>
    </row>
    <row r="801" spans="1:11" s="71" customFormat="1">
      <c r="A801" s="87"/>
      <c r="B801" s="30"/>
      <c r="C801" s="70"/>
      <c r="G801" s="30"/>
      <c r="H801" s="77"/>
      <c r="I801" s="77"/>
      <c r="J801" s="58"/>
      <c r="K801" s="58"/>
    </row>
    <row r="802" spans="1:11" s="71" customFormat="1">
      <c r="A802" s="87"/>
      <c r="B802" s="30"/>
      <c r="C802" s="70"/>
      <c r="G802" s="30"/>
      <c r="H802" s="77"/>
      <c r="I802" s="77"/>
      <c r="J802" s="58"/>
      <c r="K802" s="58"/>
    </row>
    <row r="803" spans="1:11" s="71" customFormat="1">
      <c r="A803" s="87"/>
      <c r="B803" s="30"/>
      <c r="C803" s="70"/>
      <c r="G803" s="30"/>
      <c r="H803" s="77"/>
      <c r="I803" s="77"/>
      <c r="J803" s="58"/>
      <c r="K803" s="58"/>
    </row>
    <row r="804" spans="1:11" s="71" customFormat="1">
      <c r="A804" s="87"/>
      <c r="B804" s="30"/>
      <c r="C804" s="70"/>
      <c r="G804" s="30"/>
      <c r="H804" s="77"/>
      <c r="I804" s="77"/>
      <c r="J804" s="58"/>
      <c r="K804" s="58"/>
    </row>
    <row r="805" spans="1:11" s="71" customFormat="1">
      <c r="A805" s="87"/>
      <c r="B805" s="30"/>
      <c r="C805" s="70"/>
      <c r="G805" s="30"/>
      <c r="H805" s="77"/>
      <c r="I805" s="77"/>
      <c r="J805" s="58"/>
      <c r="K805" s="58"/>
    </row>
    <row r="806" spans="1:11" s="71" customFormat="1">
      <c r="A806" s="87"/>
      <c r="B806" s="30"/>
      <c r="C806" s="70"/>
      <c r="G806" s="30"/>
      <c r="H806" s="77"/>
      <c r="I806" s="77"/>
      <c r="J806" s="58"/>
      <c r="K806" s="58"/>
    </row>
    <row r="807" spans="1:11" s="71" customFormat="1">
      <c r="A807" s="87"/>
      <c r="B807" s="30"/>
      <c r="C807" s="70"/>
      <c r="G807" s="30"/>
      <c r="H807" s="77"/>
      <c r="I807" s="77"/>
      <c r="J807" s="58"/>
      <c r="K807" s="58"/>
    </row>
    <row r="808" spans="1:11" s="71" customFormat="1">
      <c r="A808" s="87"/>
      <c r="B808" s="30"/>
      <c r="C808" s="70"/>
      <c r="G808" s="30"/>
      <c r="H808" s="77"/>
      <c r="I808" s="77"/>
      <c r="J808" s="58"/>
      <c r="K808" s="58"/>
    </row>
    <row r="809" spans="1:11" s="71" customFormat="1">
      <c r="A809" s="87"/>
      <c r="B809" s="30"/>
      <c r="C809" s="70"/>
      <c r="G809" s="30"/>
      <c r="H809" s="77"/>
      <c r="I809" s="77"/>
      <c r="J809" s="58"/>
      <c r="K809" s="58"/>
    </row>
    <row r="810" spans="1:11" s="71" customFormat="1">
      <c r="A810" s="87"/>
      <c r="B810" s="30"/>
      <c r="C810" s="70"/>
      <c r="G810" s="30"/>
      <c r="H810" s="77"/>
      <c r="I810" s="77"/>
      <c r="J810" s="58"/>
      <c r="K810" s="58"/>
    </row>
    <row r="811" spans="1:11" s="71" customFormat="1">
      <c r="A811" s="87"/>
      <c r="B811" s="30"/>
      <c r="C811" s="70"/>
      <c r="G811" s="30"/>
      <c r="H811" s="77"/>
      <c r="I811" s="77"/>
      <c r="J811" s="58"/>
      <c r="K811" s="58"/>
    </row>
    <row r="812" spans="1:11" s="71" customFormat="1">
      <c r="A812" s="87"/>
      <c r="B812" s="30"/>
      <c r="C812" s="70"/>
      <c r="G812" s="30"/>
      <c r="H812" s="77"/>
      <c r="I812" s="77"/>
      <c r="J812" s="58"/>
      <c r="K812" s="58"/>
    </row>
    <row r="813" spans="1:11" s="71" customFormat="1">
      <c r="A813" s="87"/>
      <c r="B813" s="30"/>
      <c r="C813" s="70"/>
      <c r="G813" s="30"/>
      <c r="H813" s="77"/>
      <c r="I813" s="77"/>
      <c r="J813" s="58"/>
      <c r="K813" s="58"/>
    </row>
    <row r="814" spans="1:11" s="71" customFormat="1">
      <c r="A814" s="87"/>
      <c r="B814" s="30"/>
      <c r="C814" s="70"/>
      <c r="G814" s="30"/>
      <c r="H814" s="77"/>
      <c r="I814" s="77"/>
      <c r="J814" s="58"/>
      <c r="K814" s="58"/>
    </row>
    <row r="815" spans="1:11" s="71" customFormat="1">
      <c r="A815" s="87"/>
      <c r="B815" s="30"/>
      <c r="C815" s="70"/>
      <c r="G815" s="30"/>
      <c r="H815" s="77"/>
      <c r="I815" s="77"/>
      <c r="J815" s="58"/>
      <c r="K815" s="58"/>
    </row>
    <row r="816" spans="1:11" s="71" customFormat="1">
      <c r="A816" s="87"/>
      <c r="B816" s="30"/>
      <c r="C816" s="70"/>
      <c r="G816" s="30"/>
      <c r="H816" s="77"/>
      <c r="I816" s="77"/>
      <c r="J816" s="58"/>
      <c r="K816" s="58"/>
    </row>
    <row r="817" spans="1:11" s="71" customFormat="1">
      <c r="A817" s="87"/>
      <c r="B817" s="30"/>
      <c r="C817" s="70"/>
      <c r="G817" s="30"/>
      <c r="H817" s="77"/>
      <c r="I817" s="77"/>
      <c r="J817" s="58"/>
      <c r="K817" s="58"/>
    </row>
    <row r="818" spans="1:11" s="71" customFormat="1">
      <c r="A818" s="87"/>
      <c r="B818" s="30"/>
      <c r="C818" s="70"/>
      <c r="G818" s="30"/>
      <c r="H818" s="77"/>
      <c r="I818" s="77"/>
      <c r="J818" s="58"/>
      <c r="K818" s="58"/>
    </row>
    <row r="819" spans="1:11" s="71" customFormat="1">
      <c r="A819" s="87"/>
      <c r="B819" s="30"/>
      <c r="C819" s="70"/>
      <c r="G819" s="30"/>
      <c r="H819" s="77"/>
      <c r="I819" s="77"/>
      <c r="J819" s="58"/>
      <c r="K819" s="58"/>
    </row>
    <row r="820" spans="1:11" s="71" customFormat="1">
      <c r="A820" s="87"/>
      <c r="B820" s="30"/>
      <c r="C820" s="70"/>
      <c r="G820" s="30"/>
      <c r="H820" s="77"/>
      <c r="I820" s="77"/>
      <c r="J820" s="58"/>
      <c r="K820" s="58"/>
    </row>
    <row r="821" spans="1:11" s="71" customFormat="1">
      <c r="A821" s="87"/>
      <c r="B821" s="30"/>
      <c r="C821" s="70"/>
      <c r="G821" s="30"/>
      <c r="H821" s="77"/>
      <c r="I821" s="77"/>
      <c r="J821" s="58"/>
      <c r="K821" s="58"/>
    </row>
    <row r="822" spans="1:11" s="71" customFormat="1">
      <c r="A822" s="87"/>
      <c r="B822" s="30"/>
      <c r="C822" s="70"/>
      <c r="G822" s="30"/>
      <c r="H822" s="77"/>
      <c r="I822" s="77"/>
      <c r="J822" s="58"/>
      <c r="K822" s="58"/>
    </row>
    <row r="823" spans="1:11" s="71" customFormat="1">
      <c r="A823" s="87"/>
      <c r="B823" s="30"/>
      <c r="C823" s="70"/>
      <c r="G823" s="30"/>
      <c r="H823" s="77"/>
      <c r="I823" s="77"/>
      <c r="J823" s="58"/>
      <c r="K823" s="58"/>
    </row>
    <row r="824" spans="1:11" s="71" customFormat="1">
      <c r="A824" s="87"/>
      <c r="B824" s="30"/>
      <c r="C824" s="70"/>
      <c r="G824" s="30"/>
      <c r="H824" s="77"/>
      <c r="I824" s="77"/>
      <c r="J824" s="58"/>
      <c r="K824" s="58"/>
    </row>
    <row r="825" spans="1:11" s="71" customFormat="1">
      <c r="A825" s="87"/>
      <c r="B825" s="30"/>
      <c r="C825" s="70"/>
      <c r="G825" s="30"/>
      <c r="H825" s="77"/>
      <c r="I825" s="77"/>
      <c r="J825" s="58"/>
      <c r="K825" s="58"/>
    </row>
    <row r="826" spans="1:11" s="71" customFormat="1">
      <c r="A826" s="87"/>
      <c r="B826" s="30"/>
      <c r="C826" s="70"/>
      <c r="G826" s="30"/>
      <c r="H826" s="77"/>
      <c r="I826" s="77"/>
      <c r="J826" s="58"/>
      <c r="K826" s="58"/>
    </row>
    <row r="827" spans="1:11" s="71" customFormat="1">
      <c r="A827" s="87"/>
      <c r="B827" s="30"/>
      <c r="C827" s="70"/>
      <c r="G827" s="30"/>
      <c r="H827" s="77"/>
      <c r="I827" s="77"/>
      <c r="J827" s="58"/>
      <c r="K827" s="58"/>
    </row>
    <row r="828" spans="1:11" s="71" customFormat="1">
      <c r="A828" s="87"/>
      <c r="B828" s="30"/>
      <c r="C828" s="70"/>
      <c r="G828" s="30"/>
      <c r="H828" s="77"/>
      <c r="I828" s="77"/>
      <c r="J828" s="58"/>
      <c r="K828" s="58"/>
    </row>
    <row r="829" spans="1:11" s="71" customFormat="1">
      <c r="A829" s="87"/>
      <c r="B829" s="30"/>
      <c r="C829" s="70"/>
      <c r="G829" s="30"/>
      <c r="H829" s="77"/>
      <c r="I829" s="77"/>
      <c r="J829" s="58"/>
      <c r="K829" s="58"/>
    </row>
    <row r="830" spans="1:11" s="71" customFormat="1">
      <c r="A830" s="87"/>
      <c r="B830" s="30"/>
      <c r="C830" s="70"/>
      <c r="G830" s="30"/>
      <c r="H830" s="77"/>
      <c r="I830" s="77"/>
      <c r="J830" s="58"/>
      <c r="K830" s="58"/>
    </row>
    <row r="831" spans="1:11" s="71" customFormat="1">
      <c r="A831" s="87"/>
      <c r="B831" s="30"/>
      <c r="C831" s="70"/>
      <c r="G831" s="30"/>
      <c r="H831" s="77"/>
      <c r="I831" s="77"/>
      <c r="J831" s="58"/>
      <c r="K831" s="58"/>
    </row>
    <row r="832" spans="1:11" s="71" customFormat="1">
      <c r="A832" s="87"/>
      <c r="B832" s="30"/>
      <c r="C832" s="70"/>
      <c r="G832" s="30"/>
      <c r="H832" s="77"/>
      <c r="I832" s="77"/>
      <c r="J832" s="58"/>
      <c r="K832" s="58"/>
    </row>
    <row r="833" spans="1:11" s="71" customFormat="1">
      <c r="A833" s="87"/>
      <c r="B833" s="30"/>
      <c r="C833" s="70"/>
      <c r="G833" s="30"/>
      <c r="H833" s="77"/>
      <c r="I833" s="77"/>
      <c r="J833" s="58"/>
      <c r="K833" s="58"/>
    </row>
    <row r="834" spans="1:11" s="71" customFormat="1">
      <c r="A834" s="87"/>
      <c r="B834" s="30"/>
      <c r="C834" s="70"/>
      <c r="G834" s="30"/>
      <c r="H834" s="77"/>
      <c r="I834" s="77"/>
      <c r="J834" s="58"/>
      <c r="K834" s="58"/>
    </row>
    <row r="835" spans="1:11" s="71" customFormat="1">
      <c r="A835" s="87"/>
      <c r="B835" s="30"/>
      <c r="C835" s="70"/>
      <c r="G835" s="30"/>
      <c r="H835" s="77"/>
      <c r="I835" s="77"/>
      <c r="J835" s="58"/>
      <c r="K835" s="58"/>
    </row>
    <row r="836" spans="1:11" s="71" customFormat="1">
      <c r="A836" s="87"/>
      <c r="B836" s="30"/>
      <c r="C836" s="70"/>
      <c r="G836" s="30"/>
      <c r="H836" s="77"/>
      <c r="I836" s="77"/>
      <c r="J836" s="58"/>
      <c r="K836" s="58"/>
    </row>
    <row r="837" spans="1:11" s="71" customFormat="1">
      <c r="A837" s="87"/>
      <c r="B837" s="30"/>
      <c r="C837" s="70"/>
      <c r="G837" s="30"/>
      <c r="H837" s="77"/>
      <c r="I837" s="77"/>
      <c r="J837" s="58"/>
      <c r="K837" s="58"/>
    </row>
    <row r="838" spans="1:11" s="71" customFormat="1">
      <c r="A838" s="87"/>
      <c r="B838" s="30"/>
      <c r="C838" s="70"/>
      <c r="G838" s="30"/>
      <c r="H838" s="77"/>
      <c r="I838" s="77"/>
      <c r="J838" s="58"/>
      <c r="K838" s="58"/>
    </row>
    <row r="839" spans="1:11" s="71" customFormat="1">
      <c r="A839" s="87"/>
      <c r="B839" s="30"/>
      <c r="C839" s="70"/>
      <c r="G839" s="30"/>
      <c r="H839" s="77"/>
      <c r="I839" s="77"/>
      <c r="J839" s="58"/>
      <c r="K839" s="58"/>
    </row>
    <row r="840" spans="1:11" s="71" customFormat="1">
      <c r="A840" s="87"/>
      <c r="B840" s="30"/>
      <c r="C840" s="70"/>
      <c r="G840" s="30"/>
      <c r="H840" s="77"/>
      <c r="I840" s="77"/>
      <c r="J840" s="58"/>
      <c r="K840" s="58"/>
    </row>
    <row r="841" spans="1:11" s="71" customFormat="1">
      <c r="A841" s="87"/>
      <c r="B841" s="30"/>
      <c r="C841" s="70"/>
      <c r="G841" s="30"/>
      <c r="H841" s="77"/>
      <c r="I841" s="77"/>
      <c r="J841" s="58"/>
      <c r="K841" s="58"/>
    </row>
    <row r="842" spans="1:11" s="71" customFormat="1">
      <c r="A842" s="87"/>
      <c r="B842" s="30"/>
      <c r="C842" s="70"/>
      <c r="G842" s="30"/>
      <c r="H842" s="77"/>
      <c r="I842" s="77"/>
      <c r="J842" s="58"/>
      <c r="K842" s="58"/>
    </row>
    <row r="843" spans="1:11" s="71" customFormat="1">
      <c r="A843" s="87"/>
      <c r="B843" s="30"/>
      <c r="C843" s="70"/>
      <c r="G843" s="30"/>
      <c r="H843" s="77"/>
      <c r="I843" s="77"/>
      <c r="J843" s="58"/>
      <c r="K843" s="58"/>
    </row>
    <row r="844" spans="1:11" s="71" customFormat="1">
      <c r="A844" s="87"/>
      <c r="B844" s="30"/>
      <c r="C844" s="70"/>
      <c r="G844" s="30"/>
      <c r="H844" s="77"/>
      <c r="I844" s="77"/>
      <c r="J844" s="58"/>
      <c r="K844" s="58"/>
    </row>
    <row r="845" spans="1:11" s="71" customFormat="1">
      <c r="A845" s="87"/>
      <c r="B845" s="30"/>
      <c r="C845" s="70"/>
      <c r="G845" s="30"/>
      <c r="H845" s="77"/>
      <c r="I845" s="77"/>
      <c r="J845" s="58"/>
      <c r="K845" s="58"/>
    </row>
    <row r="846" spans="1:11" s="71" customFormat="1">
      <c r="A846" s="87"/>
      <c r="B846" s="30"/>
      <c r="C846" s="70"/>
      <c r="G846" s="30"/>
      <c r="H846" s="77"/>
      <c r="I846" s="77"/>
      <c r="J846" s="58"/>
      <c r="K846" s="58"/>
    </row>
    <row r="847" spans="1:11" s="71" customFormat="1">
      <c r="A847" s="87"/>
      <c r="B847" s="30"/>
      <c r="C847" s="70"/>
      <c r="G847" s="30"/>
      <c r="H847" s="77"/>
      <c r="I847" s="77"/>
      <c r="J847" s="58"/>
      <c r="K847" s="58"/>
    </row>
    <row r="848" spans="1:11" s="71" customFormat="1">
      <c r="A848" s="87"/>
      <c r="B848" s="30"/>
      <c r="C848" s="70"/>
      <c r="G848" s="30"/>
      <c r="H848" s="77"/>
      <c r="I848" s="77"/>
      <c r="J848" s="58"/>
      <c r="K848" s="58"/>
    </row>
    <row r="849" spans="1:11" s="71" customFormat="1">
      <c r="A849" s="87"/>
      <c r="B849" s="30"/>
      <c r="C849" s="70"/>
      <c r="G849" s="30"/>
      <c r="H849" s="77"/>
      <c r="I849" s="77"/>
      <c r="J849" s="58"/>
      <c r="K849" s="58"/>
    </row>
    <row r="850" spans="1:11" s="71" customFormat="1">
      <c r="A850" s="87"/>
      <c r="B850" s="30"/>
      <c r="C850" s="70"/>
      <c r="G850" s="30"/>
      <c r="H850" s="77"/>
      <c r="I850" s="77"/>
      <c r="J850" s="58"/>
      <c r="K850" s="58"/>
    </row>
    <row r="851" spans="1:11" s="71" customFormat="1">
      <c r="A851" s="87"/>
      <c r="B851" s="30"/>
      <c r="C851" s="70"/>
      <c r="G851" s="30"/>
      <c r="H851" s="77"/>
      <c r="I851" s="77"/>
      <c r="J851" s="58"/>
      <c r="K851" s="58"/>
    </row>
    <row r="852" spans="1:11" s="71" customFormat="1">
      <c r="A852" s="87"/>
      <c r="B852" s="30"/>
      <c r="C852" s="70"/>
      <c r="G852" s="30"/>
      <c r="H852" s="77"/>
      <c r="I852" s="77"/>
      <c r="J852" s="58"/>
      <c r="K852" s="58"/>
    </row>
    <row r="853" spans="1:11" s="71" customFormat="1">
      <c r="A853" s="87"/>
      <c r="B853" s="30"/>
      <c r="C853" s="70"/>
      <c r="G853" s="30"/>
      <c r="H853" s="77"/>
      <c r="I853" s="77"/>
      <c r="J853" s="58"/>
      <c r="K853" s="58"/>
    </row>
    <row r="854" spans="1:11" s="71" customFormat="1">
      <c r="A854" s="87"/>
      <c r="B854" s="30"/>
      <c r="C854" s="70"/>
      <c r="G854" s="30"/>
      <c r="H854" s="77"/>
      <c r="I854" s="77"/>
      <c r="J854" s="58"/>
      <c r="K854" s="58"/>
    </row>
    <row r="855" spans="1:11" s="71" customFormat="1">
      <c r="A855" s="87"/>
      <c r="B855" s="30"/>
      <c r="C855" s="70"/>
      <c r="G855" s="30"/>
      <c r="H855" s="77"/>
      <c r="I855" s="77"/>
      <c r="J855" s="58"/>
      <c r="K855" s="58"/>
    </row>
    <row r="856" spans="1:11" s="71" customFormat="1">
      <c r="A856" s="87"/>
      <c r="B856" s="30"/>
      <c r="C856" s="70"/>
      <c r="G856" s="30"/>
      <c r="H856" s="77"/>
      <c r="I856" s="77"/>
      <c r="J856" s="58"/>
      <c r="K856" s="58"/>
    </row>
    <row r="857" spans="1:11" s="71" customFormat="1">
      <c r="A857" s="87"/>
      <c r="B857" s="30"/>
      <c r="C857" s="70"/>
      <c r="G857" s="30"/>
      <c r="H857" s="77"/>
      <c r="I857" s="77"/>
      <c r="J857" s="58"/>
      <c r="K857" s="58"/>
    </row>
    <row r="858" spans="1:11" s="71" customFormat="1">
      <c r="A858" s="87"/>
      <c r="B858" s="30"/>
      <c r="C858" s="70"/>
      <c r="G858" s="30"/>
      <c r="H858" s="77"/>
      <c r="I858" s="77"/>
      <c r="J858" s="58"/>
      <c r="K858" s="58"/>
    </row>
    <row r="859" spans="1:11" s="71" customFormat="1">
      <c r="A859" s="87"/>
      <c r="B859" s="30"/>
      <c r="C859" s="70"/>
      <c r="G859" s="30"/>
      <c r="H859" s="77"/>
      <c r="I859" s="77"/>
      <c r="J859" s="58"/>
      <c r="K859" s="58"/>
    </row>
    <row r="860" spans="1:11" s="71" customFormat="1">
      <c r="A860" s="87"/>
      <c r="B860" s="30"/>
      <c r="C860" s="70"/>
      <c r="G860" s="30"/>
      <c r="H860" s="77"/>
      <c r="I860" s="77"/>
      <c r="J860" s="58"/>
      <c r="K860" s="58"/>
    </row>
    <row r="861" spans="1:11" s="71" customFormat="1">
      <c r="A861" s="87"/>
      <c r="B861" s="30"/>
      <c r="C861" s="70"/>
      <c r="G861" s="30"/>
      <c r="H861" s="77"/>
      <c r="I861" s="77"/>
      <c r="J861" s="58"/>
      <c r="K861" s="58"/>
    </row>
    <row r="862" spans="1:11" s="71" customFormat="1">
      <c r="A862" s="87"/>
      <c r="B862" s="30"/>
      <c r="C862" s="70"/>
      <c r="G862" s="30"/>
      <c r="H862" s="77"/>
      <c r="I862" s="77"/>
      <c r="J862" s="58"/>
      <c r="K862" s="58"/>
    </row>
    <row r="863" spans="1:11" s="71" customFormat="1">
      <c r="A863" s="87"/>
      <c r="B863" s="30"/>
      <c r="C863" s="70"/>
      <c r="G863" s="30"/>
      <c r="H863" s="77"/>
      <c r="I863" s="77"/>
      <c r="J863" s="58"/>
      <c r="K863" s="58"/>
    </row>
    <row r="864" spans="1:11" s="71" customFormat="1">
      <c r="A864" s="87"/>
      <c r="B864" s="30"/>
      <c r="C864" s="70"/>
      <c r="G864" s="30"/>
      <c r="H864" s="77"/>
      <c r="I864" s="77"/>
      <c r="J864" s="58"/>
      <c r="K864" s="58"/>
    </row>
    <row r="865" spans="1:11" s="71" customFormat="1">
      <c r="A865" s="87"/>
      <c r="B865" s="30"/>
      <c r="C865" s="70"/>
      <c r="G865" s="30"/>
      <c r="H865" s="77"/>
      <c r="I865" s="77"/>
      <c r="J865" s="58"/>
      <c r="K865" s="58"/>
    </row>
    <row r="866" spans="1:11" s="71" customFormat="1">
      <c r="A866" s="87"/>
      <c r="B866" s="30"/>
      <c r="C866" s="70"/>
      <c r="G866" s="30"/>
      <c r="H866" s="77"/>
      <c r="I866" s="77"/>
      <c r="J866" s="58"/>
      <c r="K866" s="58"/>
    </row>
    <row r="867" spans="1:11" s="71" customFormat="1">
      <c r="A867" s="87"/>
      <c r="B867" s="30"/>
      <c r="C867" s="70"/>
      <c r="G867" s="30"/>
      <c r="H867" s="77"/>
      <c r="I867" s="77"/>
      <c r="J867" s="58"/>
      <c r="K867" s="58"/>
    </row>
    <row r="868" spans="1:11" s="71" customFormat="1">
      <c r="A868" s="87"/>
      <c r="B868" s="30"/>
      <c r="C868" s="70"/>
      <c r="G868" s="30"/>
      <c r="H868" s="77"/>
      <c r="I868" s="77"/>
      <c r="J868" s="58"/>
      <c r="K868" s="58"/>
    </row>
    <row r="869" spans="1:11" s="71" customFormat="1">
      <c r="A869" s="87"/>
      <c r="B869" s="30"/>
      <c r="C869" s="70"/>
      <c r="G869" s="30"/>
      <c r="H869" s="77"/>
      <c r="I869" s="77"/>
      <c r="J869" s="58"/>
      <c r="K869" s="58"/>
    </row>
    <row r="870" spans="1:11" s="71" customFormat="1">
      <c r="A870" s="87"/>
      <c r="B870" s="30"/>
      <c r="C870" s="70"/>
      <c r="G870" s="30"/>
      <c r="H870" s="77"/>
      <c r="I870" s="77"/>
      <c r="J870" s="58"/>
      <c r="K870" s="58"/>
    </row>
    <row r="871" spans="1:11" s="71" customFormat="1">
      <c r="A871" s="87"/>
      <c r="B871" s="30"/>
      <c r="C871" s="70"/>
      <c r="G871" s="30"/>
      <c r="H871" s="77"/>
      <c r="I871" s="77"/>
      <c r="J871" s="58"/>
      <c r="K871" s="58"/>
    </row>
    <row r="872" spans="1:11" s="71" customFormat="1">
      <c r="A872" s="87"/>
      <c r="B872" s="30"/>
      <c r="C872" s="70"/>
      <c r="G872" s="30"/>
      <c r="H872" s="77"/>
      <c r="I872" s="77"/>
      <c r="J872" s="58"/>
      <c r="K872" s="58"/>
    </row>
    <row r="873" spans="1:11" s="71" customFormat="1">
      <c r="A873" s="87"/>
      <c r="B873" s="30"/>
      <c r="C873" s="70"/>
      <c r="G873" s="30"/>
      <c r="H873" s="77"/>
      <c r="I873" s="77"/>
      <c r="J873" s="58"/>
      <c r="K873" s="58"/>
    </row>
    <row r="874" spans="1:11" s="71" customFormat="1">
      <c r="A874" s="87"/>
      <c r="B874" s="30"/>
      <c r="C874" s="70"/>
      <c r="G874" s="30"/>
      <c r="H874" s="77"/>
      <c r="I874" s="77"/>
      <c r="J874" s="58"/>
      <c r="K874" s="58"/>
    </row>
    <row r="875" spans="1:11" s="71" customFormat="1">
      <c r="A875" s="87"/>
      <c r="B875" s="30"/>
      <c r="C875" s="70"/>
      <c r="G875" s="30"/>
      <c r="H875" s="77"/>
      <c r="I875" s="77"/>
      <c r="J875" s="58"/>
      <c r="K875" s="58"/>
    </row>
    <row r="876" spans="1:11" s="71" customFormat="1">
      <c r="A876" s="87"/>
      <c r="B876" s="30"/>
      <c r="C876" s="70"/>
      <c r="G876" s="30"/>
      <c r="H876" s="77"/>
      <c r="I876" s="77"/>
      <c r="J876" s="58"/>
      <c r="K876" s="58"/>
    </row>
    <row r="877" spans="1:11" s="71" customFormat="1">
      <c r="A877" s="87"/>
      <c r="B877" s="30"/>
      <c r="C877" s="70"/>
      <c r="G877" s="30"/>
      <c r="H877" s="77"/>
      <c r="I877" s="77"/>
      <c r="J877" s="58"/>
      <c r="K877" s="58"/>
    </row>
    <row r="878" spans="1:11" s="71" customFormat="1">
      <c r="A878" s="87"/>
      <c r="B878" s="30"/>
      <c r="C878" s="70"/>
      <c r="G878" s="30"/>
      <c r="H878" s="77"/>
      <c r="I878" s="77"/>
      <c r="J878" s="58"/>
      <c r="K878" s="58"/>
    </row>
    <row r="879" spans="1:11" s="71" customFormat="1">
      <c r="A879" s="87"/>
      <c r="B879" s="30"/>
      <c r="C879" s="70"/>
      <c r="G879" s="30"/>
      <c r="H879" s="77"/>
      <c r="I879" s="77"/>
      <c r="J879" s="58"/>
      <c r="K879" s="58"/>
    </row>
    <row r="880" spans="1:11" s="71" customFormat="1">
      <c r="A880" s="87"/>
      <c r="B880" s="30"/>
      <c r="C880" s="70"/>
      <c r="G880" s="30"/>
      <c r="H880" s="77"/>
      <c r="I880" s="77"/>
      <c r="J880" s="58"/>
      <c r="K880" s="58"/>
    </row>
    <row r="881" spans="1:11" s="71" customFormat="1">
      <c r="A881" s="87"/>
      <c r="B881" s="30"/>
      <c r="C881" s="70"/>
      <c r="G881" s="30"/>
      <c r="H881" s="77"/>
      <c r="I881" s="77"/>
      <c r="J881" s="58"/>
      <c r="K881" s="58"/>
    </row>
    <row r="882" spans="1:11" s="71" customFormat="1">
      <c r="A882" s="87"/>
      <c r="B882" s="30"/>
      <c r="C882" s="70"/>
      <c r="G882" s="30"/>
      <c r="H882" s="77"/>
      <c r="I882" s="77"/>
      <c r="J882" s="58"/>
      <c r="K882" s="58"/>
    </row>
    <row r="883" spans="1:11" s="71" customFormat="1">
      <c r="A883" s="87"/>
      <c r="B883" s="30"/>
      <c r="C883" s="70"/>
      <c r="G883" s="30"/>
      <c r="H883" s="77"/>
      <c r="I883" s="77"/>
      <c r="J883" s="58"/>
      <c r="K883" s="58"/>
    </row>
    <row r="884" spans="1:11" s="71" customFormat="1">
      <c r="A884" s="87"/>
      <c r="B884" s="30"/>
      <c r="C884" s="70"/>
      <c r="G884" s="30"/>
      <c r="H884" s="77"/>
      <c r="I884" s="77"/>
      <c r="J884" s="58"/>
      <c r="K884" s="58"/>
    </row>
    <row r="885" spans="1:11" s="71" customFormat="1">
      <c r="A885" s="87"/>
      <c r="B885" s="30"/>
      <c r="C885" s="70"/>
      <c r="G885" s="30"/>
      <c r="H885" s="77"/>
      <c r="I885" s="77"/>
      <c r="J885" s="58"/>
      <c r="K885" s="58"/>
    </row>
    <row r="886" spans="1:11" s="71" customFormat="1">
      <c r="A886" s="87"/>
      <c r="B886" s="30"/>
      <c r="C886" s="70"/>
      <c r="G886" s="30"/>
      <c r="H886" s="77"/>
      <c r="I886" s="77"/>
      <c r="J886" s="58"/>
      <c r="K886" s="58"/>
    </row>
    <row r="887" spans="1:11" s="71" customFormat="1">
      <c r="A887" s="87"/>
      <c r="B887" s="30"/>
      <c r="C887" s="70"/>
      <c r="G887" s="30"/>
      <c r="H887" s="77"/>
      <c r="I887" s="77"/>
      <c r="J887" s="58"/>
      <c r="K887" s="58"/>
    </row>
    <row r="888" spans="1:11" s="71" customFormat="1">
      <c r="A888" s="87"/>
      <c r="B888" s="30"/>
      <c r="C888" s="70"/>
      <c r="G888" s="30"/>
      <c r="H888" s="77"/>
      <c r="I888" s="77"/>
      <c r="J888" s="58"/>
      <c r="K888" s="58"/>
    </row>
    <row r="889" spans="1:11" s="71" customFormat="1">
      <c r="A889" s="87"/>
      <c r="B889" s="30"/>
      <c r="C889" s="70"/>
      <c r="G889" s="30"/>
      <c r="H889" s="77"/>
      <c r="I889" s="77"/>
      <c r="J889" s="58"/>
      <c r="K889" s="58"/>
    </row>
    <row r="890" spans="1:11" s="71" customFormat="1">
      <c r="A890" s="87"/>
      <c r="B890" s="30"/>
      <c r="C890" s="70"/>
      <c r="G890" s="30"/>
      <c r="H890" s="77"/>
      <c r="I890" s="77"/>
      <c r="J890" s="58"/>
      <c r="K890" s="58"/>
    </row>
    <row r="891" spans="1:11" s="71" customFormat="1">
      <c r="A891" s="87"/>
      <c r="B891" s="30"/>
      <c r="C891" s="70"/>
      <c r="G891" s="30"/>
      <c r="H891" s="77"/>
      <c r="I891" s="77"/>
      <c r="J891" s="58"/>
      <c r="K891" s="58"/>
    </row>
    <row r="892" spans="1:11" s="71" customFormat="1">
      <c r="A892" s="87"/>
      <c r="B892" s="30"/>
      <c r="C892" s="70"/>
      <c r="G892" s="30"/>
      <c r="H892" s="77"/>
      <c r="I892" s="77"/>
      <c r="J892" s="58"/>
      <c r="K892" s="58"/>
    </row>
    <row r="893" spans="1:11" s="71" customFormat="1">
      <c r="A893" s="87"/>
      <c r="B893" s="30"/>
      <c r="C893" s="70"/>
      <c r="G893" s="30"/>
      <c r="H893" s="77"/>
      <c r="I893" s="77"/>
      <c r="J893" s="58"/>
      <c r="K893" s="58"/>
    </row>
    <row r="894" spans="1:11" s="71" customFormat="1">
      <c r="A894" s="87"/>
      <c r="B894" s="30"/>
      <c r="C894" s="70"/>
      <c r="G894" s="30"/>
      <c r="H894" s="77"/>
      <c r="I894" s="77"/>
      <c r="J894" s="58"/>
      <c r="K894" s="58"/>
    </row>
    <row r="895" spans="1:11" s="71" customFormat="1">
      <c r="A895" s="87"/>
      <c r="B895" s="30"/>
      <c r="C895" s="70"/>
      <c r="G895" s="30"/>
      <c r="H895" s="77"/>
      <c r="I895" s="77"/>
      <c r="J895" s="58"/>
      <c r="K895" s="58"/>
    </row>
    <row r="896" spans="1:11" s="71" customFormat="1">
      <c r="A896" s="87"/>
      <c r="B896" s="30"/>
      <c r="C896" s="70"/>
      <c r="G896" s="30"/>
      <c r="H896" s="77"/>
      <c r="I896" s="77"/>
      <c r="J896" s="58"/>
      <c r="K896" s="58"/>
    </row>
    <row r="897" spans="1:11" s="71" customFormat="1">
      <c r="A897" s="87"/>
      <c r="B897" s="30"/>
      <c r="C897" s="70"/>
      <c r="G897" s="30"/>
      <c r="H897" s="77"/>
      <c r="I897" s="77"/>
      <c r="J897" s="58"/>
      <c r="K897" s="58"/>
    </row>
    <row r="898" spans="1:11" s="71" customFormat="1">
      <c r="A898" s="87"/>
      <c r="B898" s="30"/>
      <c r="C898" s="70"/>
      <c r="G898" s="30"/>
      <c r="H898" s="77"/>
      <c r="I898" s="77"/>
      <c r="J898" s="58"/>
      <c r="K898" s="58"/>
    </row>
    <row r="899" spans="1:11" s="71" customFormat="1">
      <c r="A899" s="87"/>
      <c r="B899" s="30"/>
      <c r="C899" s="70"/>
      <c r="G899" s="30"/>
      <c r="H899" s="77"/>
      <c r="I899" s="77"/>
      <c r="J899" s="58"/>
      <c r="K899" s="58"/>
    </row>
    <row r="900" spans="1:11" s="71" customFormat="1">
      <c r="A900" s="87"/>
      <c r="B900" s="30"/>
      <c r="C900" s="70"/>
      <c r="G900" s="30"/>
      <c r="H900" s="77"/>
      <c r="I900" s="77"/>
      <c r="J900" s="58"/>
      <c r="K900" s="58"/>
    </row>
    <row r="901" spans="1:11" s="71" customFormat="1">
      <c r="A901" s="87"/>
      <c r="B901" s="30"/>
      <c r="C901" s="70"/>
      <c r="G901" s="30"/>
      <c r="H901" s="77"/>
      <c r="I901" s="77"/>
      <c r="J901" s="58"/>
      <c r="K901" s="58"/>
    </row>
    <row r="902" spans="1:11" s="71" customFormat="1">
      <c r="A902" s="87"/>
      <c r="B902" s="30"/>
      <c r="C902" s="70"/>
      <c r="G902" s="30"/>
      <c r="H902" s="77"/>
      <c r="I902" s="77"/>
      <c r="J902" s="58"/>
      <c r="K902" s="58"/>
    </row>
    <row r="903" spans="1:11" s="71" customFormat="1">
      <c r="A903" s="87"/>
      <c r="B903" s="30"/>
      <c r="C903" s="70"/>
      <c r="G903" s="30"/>
      <c r="H903" s="77"/>
      <c r="I903" s="77"/>
      <c r="J903" s="58"/>
      <c r="K903" s="58"/>
    </row>
    <row r="904" spans="1:11" s="71" customFormat="1">
      <c r="A904" s="87"/>
      <c r="B904" s="30"/>
      <c r="C904" s="70"/>
      <c r="G904" s="30"/>
      <c r="H904" s="77"/>
      <c r="I904" s="77"/>
      <c r="J904" s="58"/>
      <c r="K904" s="58"/>
    </row>
    <row r="905" spans="1:11" s="71" customFormat="1">
      <c r="A905" s="87"/>
      <c r="B905" s="30"/>
      <c r="C905" s="70"/>
      <c r="G905" s="30"/>
      <c r="H905" s="77"/>
      <c r="I905" s="77"/>
      <c r="J905" s="58"/>
      <c r="K905" s="58"/>
    </row>
    <row r="906" spans="1:11" s="71" customFormat="1">
      <c r="A906" s="87"/>
      <c r="B906" s="30"/>
      <c r="C906" s="70"/>
      <c r="G906" s="30"/>
      <c r="H906" s="77"/>
      <c r="I906" s="77"/>
      <c r="J906" s="58"/>
      <c r="K906" s="58"/>
    </row>
    <row r="907" spans="1:11" s="71" customFormat="1">
      <c r="A907" s="87"/>
      <c r="B907" s="30"/>
      <c r="C907" s="70"/>
      <c r="G907" s="30"/>
      <c r="H907" s="77"/>
      <c r="I907" s="77"/>
      <c r="J907" s="58"/>
      <c r="K907" s="58"/>
    </row>
    <row r="908" spans="1:11" s="71" customFormat="1">
      <c r="A908" s="87"/>
      <c r="B908" s="30"/>
      <c r="C908" s="70"/>
      <c r="G908" s="30"/>
      <c r="H908" s="77"/>
      <c r="I908" s="77"/>
      <c r="J908" s="58"/>
      <c r="K908" s="58"/>
    </row>
    <row r="909" spans="1:11" s="71" customFormat="1">
      <c r="A909" s="87"/>
      <c r="B909" s="30"/>
      <c r="C909" s="70"/>
      <c r="G909" s="30"/>
      <c r="H909" s="77"/>
      <c r="I909" s="77"/>
      <c r="J909" s="58"/>
      <c r="K909" s="58"/>
    </row>
    <row r="910" spans="1:11" s="71" customFormat="1">
      <c r="A910" s="87"/>
      <c r="B910" s="30"/>
      <c r="C910" s="70"/>
      <c r="G910" s="30"/>
      <c r="H910" s="77"/>
      <c r="I910" s="77"/>
      <c r="J910" s="58"/>
      <c r="K910" s="58"/>
    </row>
    <row r="911" spans="1:11" s="71" customFormat="1">
      <c r="A911" s="87"/>
      <c r="B911" s="30"/>
      <c r="C911" s="70"/>
      <c r="G911" s="30"/>
      <c r="H911" s="77"/>
      <c r="I911" s="77"/>
      <c r="J911" s="58"/>
      <c r="K911" s="58"/>
    </row>
    <row r="912" spans="1:11" s="71" customFormat="1">
      <c r="A912" s="87"/>
      <c r="B912" s="30"/>
      <c r="C912" s="70"/>
      <c r="G912" s="30"/>
      <c r="H912" s="77"/>
      <c r="I912" s="77"/>
      <c r="J912" s="58"/>
      <c r="K912" s="58"/>
    </row>
    <row r="913" spans="1:11" s="71" customFormat="1">
      <c r="A913" s="87"/>
      <c r="B913" s="30"/>
      <c r="C913" s="70"/>
      <c r="G913" s="30"/>
      <c r="H913" s="77"/>
      <c r="I913" s="77"/>
      <c r="J913" s="58"/>
      <c r="K913" s="58"/>
    </row>
    <row r="914" spans="1:11" s="71" customFormat="1">
      <c r="A914" s="87"/>
      <c r="B914" s="30"/>
      <c r="C914" s="70"/>
      <c r="G914" s="30"/>
      <c r="H914" s="77"/>
      <c r="I914" s="77"/>
      <c r="J914" s="58"/>
      <c r="K914" s="58"/>
    </row>
    <row r="915" spans="1:11" s="71" customFormat="1">
      <c r="A915" s="87"/>
      <c r="B915" s="30"/>
      <c r="C915" s="70"/>
      <c r="G915" s="30"/>
      <c r="H915" s="77"/>
      <c r="I915" s="77"/>
      <c r="J915" s="58"/>
      <c r="K915" s="58"/>
    </row>
    <row r="916" spans="1:11" s="71" customFormat="1">
      <c r="A916" s="87"/>
      <c r="B916" s="30"/>
      <c r="C916" s="70"/>
      <c r="G916" s="30"/>
      <c r="H916" s="77"/>
      <c r="I916" s="77"/>
      <c r="J916" s="58"/>
      <c r="K916" s="58"/>
    </row>
    <row r="917" spans="1:11" s="71" customFormat="1">
      <c r="A917" s="87"/>
      <c r="B917" s="30"/>
      <c r="C917" s="70"/>
      <c r="G917" s="30"/>
      <c r="H917" s="77"/>
      <c r="I917" s="77"/>
      <c r="J917" s="58"/>
      <c r="K917" s="58"/>
    </row>
    <row r="918" spans="1:11" s="71" customFormat="1">
      <c r="A918" s="87"/>
      <c r="B918" s="30"/>
      <c r="C918" s="70"/>
      <c r="G918" s="30"/>
      <c r="H918" s="77"/>
      <c r="I918" s="77"/>
      <c r="J918" s="58"/>
      <c r="K918" s="58"/>
    </row>
    <row r="919" spans="1:11" s="71" customFormat="1">
      <c r="A919" s="87"/>
      <c r="B919" s="30"/>
      <c r="C919" s="70"/>
      <c r="G919" s="30"/>
      <c r="H919" s="77"/>
      <c r="I919" s="77"/>
      <c r="J919" s="58"/>
      <c r="K919" s="58"/>
    </row>
    <row r="920" spans="1:11" s="71" customFormat="1">
      <c r="A920" s="87"/>
      <c r="B920" s="30"/>
      <c r="C920" s="70"/>
      <c r="G920" s="30"/>
      <c r="H920" s="77"/>
      <c r="I920" s="77"/>
      <c r="J920" s="58"/>
      <c r="K920" s="58"/>
    </row>
    <row r="921" spans="1:11" s="71" customFormat="1">
      <c r="A921" s="87"/>
      <c r="B921" s="30"/>
      <c r="C921" s="70"/>
      <c r="G921" s="30"/>
      <c r="H921" s="77"/>
      <c r="I921" s="77"/>
      <c r="J921" s="58"/>
      <c r="K921" s="58"/>
    </row>
    <row r="922" spans="1:11" s="71" customFormat="1">
      <c r="A922" s="87"/>
      <c r="B922" s="30"/>
      <c r="C922" s="70"/>
      <c r="G922" s="30"/>
      <c r="H922" s="77"/>
      <c r="I922" s="77"/>
      <c r="J922" s="58"/>
      <c r="K922" s="58"/>
    </row>
    <row r="923" spans="1:11" s="71" customFormat="1">
      <c r="A923" s="87"/>
      <c r="B923" s="30"/>
      <c r="C923" s="70"/>
      <c r="G923" s="30"/>
      <c r="H923" s="77"/>
      <c r="I923" s="77"/>
      <c r="J923" s="58"/>
      <c r="K923" s="58"/>
    </row>
    <row r="924" spans="1:11" s="71" customFormat="1">
      <c r="A924" s="87"/>
      <c r="B924" s="30"/>
      <c r="C924" s="70"/>
      <c r="G924" s="30"/>
      <c r="H924" s="77"/>
      <c r="I924" s="77"/>
      <c r="J924" s="58"/>
      <c r="K924" s="58"/>
    </row>
    <row r="925" spans="1:11" s="71" customFormat="1">
      <c r="A925" s="87"/>
      <c r="B925" s="30"/>
      <c r="C925" s="70"/>
      <c r="G925" s="30"/>
      <c r="H925" s="77"/>
      <c r="I925" s="77"/>
      <c r="J925" s="58"/>
      <c r="K925" s="58"/>
    </row>
    <row r="926" spans="1:11" s="71" customFormat="1">
      <c r="A926" s="87"/>
      <c r="B926" s="30"/>
      <c r="C926" s="70"/>
      <c r="G926" s="30"/>
      <c r="H926" s="77"/>
      <c r="I926" s="77"/>
      <c r="J926" s="58"/>
      <c r="K926" s="58"/>
    </row>
    <row r="927" spans="1:11" s="71" customFormat="1">
      <c r="A927" s="87"/>
      <c r="B927" s="30"/>
      <c r="C927" s="70"/>
      <c r="G927" s="30"/>
      <c r="H927" s="77"/>
      <c r="I927" s="77"/>
      <c r="J927" s="58"/>
      <c r="K927" s="58"/>
    </row>
    <row r="928" spans="1:11" s="71" customFormat="1">
      <c r="A928" s="87"/>
      <c r="B928" s="30"/>
      <c r="C928" s="70"/>
      <c r="G928" s="30"/>
      <c r="H928" s="77"/>
      <c r="I928" s="77"/>
      <c r="J928" s="58"/>
      <c r="K928" s="58"/>
    </row>
    <row r="929" spans="1:11" s="71" customFormat="1">
      <c r="A929" s="87"/>
      <c r="B929" s="30"/>
      <c r="C929" s="70"/>
      <c r="G929" s="30"/>
      <c r="H929" s="77"/>
      <c r="I929" s="77"/>
      <c r="J929" s="58"/>
      <c r="K929" s="58"/>
    </row>
    <row r="930" spans="1:11" s="71" customFormat="1">
      <c r="A930" s="87"/>
      <c r="B930" s="30"/>
      <c r="C930" s="70"/>
      <c r="G930" s="30"/>
      <c r="H930" s="77"/>
      <c r="I930" s="77"/>
      <c r="J930" s="58"/>
      <c r="K930" s="58"/>
    </row>
    <row r="931" spans="1:11" s="71" customFormat="1">
      <c r="A931" s="87"/>
      <c r="B931" s="30"/>
      <c r="C931" s="70"/>
      <c r="G931" s="30"/>
      <c r="H931" s="77"/>
      <c r="I931" s="77"/>
      <c r="J931" s="58"/>
      <c r="K931" s="58"/>
    </row>
    <row r="932" spans="1:11" s="71" customFormat="1">
      <c r="A932" s="87"/>
      <c r="B932" s="30"/>
      <c r="C932" s="70"/>
      <c r="G932" s="30"/>
      <c r="H932" s="77"/>
      <c r="I932" s="77"/>
      <c r="J932" s="58"/>
      <c r="K932" s="58"/>
    </row>
    <row r="933" spans="1:11" s="71" customFormat="1">
      <c r="A933" s="87"/>
      <c r="B933" s="30"/>
      <c r="C933" s="70"/>
      <c r="G933" s="30"/>
      <c r="H933" s="77"/>
      <c r="I933" s="77"/>
      <c r="J933" s="58"/>
      <c r="K933" s="58"/>
    </row>
    <row r="934" spans="1:11" s="71" customFormat="1">
      <c r="A934" s="87"/>
      <c r="B934" s="30"/>
      <c r="C934" s="70"/>
      <c r="G934" s="30"/>
      <c r="H934" s="77"/>
      <c r="I934" s="77"/>
      <c r="J934" s="58"/>
      <c r="K934" s="58"/>
    </row>
    <row r="935" spans="1:11" s="71" customFormat="1">
      <c r="A935" s="87"/>
      <c r="B935" s="30"/>
      <c r="C935" s="70"/>
      <c r="G935" s="30"/>
      <c r="H935" s="77"/>
      <c r="I935" s="77"/>
      <c r="J935" s="58"/>
      <c r="K935" s="58"/>
    </row>
    <row r="936" spans="1:11" s="71" customFormat="1">
      <c r="A936" s="87"/>
      <c r="B936" s="30"/>
      <c r="C936" s="70"/>
      <c r="G936" s="30"/>
      <c r="H936" s="77"/>
      <c r="I936" s="77"/>
      <c r="J936" s="58"/>
      <c r="K936" s="58"/>
    </row>
    <row r="937" spans="1:11" s="71" customFormat="1">
      <c r="A937" s="87"/>
      <c r="B937" s="30"/>
      <c r="C937" s="70"/>
      <c r="G937" s="30"/>
      <c r="H937" s="77"/>
      <c r="I937" s="77"/>
      <c r="J937" s="58"/>
      <c r="K937" s="58"/>
    </row>
    <row r="938" spans="1:11" s="71" customFormat="1">
      <c r="A938" s="87"/>
      <c r="B938" s="30"/>
      <c r="C938" s="70"/>
      <c r="G938" s="30"/>
      <c r="H938" s="77"/>
      <c r="I938" s="77"/>
      <c r="J938" s="58"/>
      <c r="K938" s="58"/>
    </row>
    <row r="939" spans="1:11" s="71" customFormat="1">
      <c r="A939" s="87"/>
      <c r="B939" s="30"/>
      <c r="C939" s="70"/>
      <c r="G939" s="30"/>
      <c r="H939" s="77"/>
      <c r="I939" s="77"/>
      <c r="J939" s="58"/>
      <c r="K939" s="58"/>
    </row>
    <row r="940" spans="1:11" s="71" customFormat="1">
      <c r="A940" s="87"/>
      <c r="B940" s="30"/>
      <c r="C940" s="70"/>
      <c r="G940" s="30"/>
      <c r="H940" s="77"/>
      <c r="I940" s="77"/>
      <c r="J940" s="58"/>
      <c r="K940" s="58"/>
    </row>
    <row r="941" spans="1:11" s="71" customFormat="1">
      <c r="A941" s="87"/>
      <c r="B941" s="30"/>
      <c r="C941" s="70"/>
      <c r="G941" s="30"/>
      <c r="H941" s="77"/>
      <c r="I941" s="77"/>
      <c r="J941" s="58"/>
      <c r="K941" s="58"/>
    </row>
    <row r="942" spans="1:11" s="71" customFormat="1">
      <c r="A942" s="87"/>
      <c r="B942" s="30"/>
      <c r="C942" s="70"/>
      <c r="G942" s="30"/>
      <c r="H942" s="77"/>
      <c r="I942" s="77"/>
      <c r="J942" s="58"/>
      <c r="K942" s="58"/>
    </row>
    <row r="943" spans="1:11" s="71" customFormat="1">
      <c r="A943" s="87"/>
      <c r="B943" s="30"/>
      <c r="C943" s="70"/>
      <c r="G943" s="30"/>
      <c r="H943" s="77"/>
      <c r="I943" s="77"/>
      <c r="J943" s="58"/>
      <c r="K943" s="58"/>
    </row>
    <row r="944" spans="1:11" s="71" customFormat="1">
      <c r="A944" s="87"/>
      <c r="B944" s="30"/>
      <c r="C944" s="70"/>
      <c r="G944" s="30"/>
      <c r="H944" s="77"/>
      <c r="I944" s="77"/>
      <c r="J944" s="58"/>
      <c r="K944" s="58"/>
    </row>
    <row r="945" spans="1:11" s="71" customFormat="1">
      <c r="A945" s="87"/>
      <c r="B945" s="30"/>
      <c r="C945" s="70"/>
      <c r="G945" s="30"/>
      <c r="H945" s="77"/>
      <c r="I945" s="77"/>
      <c r="J945" s="58"/>
      <c r="K945" s="58"/>
    </row>
    <row r="946" spans="1:11" s="71" customFormat="1">
      <c r="A946" s="87"/>
      <c r="B946" s="30"/>
      <c r="C946" s="70"/>
      <c r="G946" s="30"/>
      <c r="H946" s="77"/>
      <c r="I946" s="77"/>
      <c r="J946" s="58"/>
      <c r="K946" s="58"/>
    </row>
    <row r="947" spans="1:11" s="71" customFormat="1">
      <c r="A947" s="87"/>
      <c r="B947" s="30"/>
      <c r="C947" s="70"/>
      <c r="G947" s="30"/>
      <c r="H947" s="77"/>
      <c r="I947" s="77"/>
      <c r="J947" s="58"/>
      <c r="K947" s="58"/>
    </row>
    <row r="948" spans="1:11" s="71" customFormat="1">
      <c r="A948" s="87"/>
      <c r="B948" s="30"/>
      <c r="C948" s="70"/>
      <c r="G948" s="30"/>
      <c r="H948" s="77"/>
      <c r="I948" s="77"/>
      <c r="J948" s="58"/>
      <c r="K948" s="58"/>
    </row>
    <row r="949" spans="1:11" s="71" customFormat="1">
      <c r="A949" s="87"/>
      <c r="B949" s="30"/>
      <c r="C949" s="70"/>
      <c r="G949" s="30"/>
      <c r="H949" s="77"/>
      <c r="I949" s="77"/>
      <c r="J949" s="58"/>
      <c r="K949" s="58"/>
    </row>
    <row r="950" spans="1:11" s="71" customFormat="1">
      <c r="A950" s="87"/>
      <c r="B950" s="30"/>
      <c r="C950" s="70"/>
      <c r="G950" s="30"/>
      <c r="H950" s="77"/>
      <c r="I950" s="77"/>
      <c r="J950" s="58"/>
      <c r="K950" s="58"/>
    </row>
    <row r="951" spans="1:11" s="71" customFormat="1">
      <c r="A951" s="87"/>
      <c r="B951" s="30"/>
      <c r="C951" s="70"/>
      <c r="G951" s="30"/>
      <c r="H951" s="77"/>
      <c r="I951" s="77"/>
      <c r="J951" s="58"/>
      <c r="K951" s="58"/>
    </row>
    <row r="952" spans="1:11" s="71" customFormat="1">
      <c r="A952" s="87"/>
      <c r="B952" s="30"/>
      <c r="C952" s="70"/>
      <c r="G952" s="30"/>
      <c r="H952" s="77"/>
      <c r="I952" s="77"/>
      <c r="J952" s="58"/>
      <c r="K952" s="58"/>
    </row>
    <row r="953" spans="1:11" s="71" customFormat="1">
      <c r="A953" s="87"/>
      <c r="B953" s="30"/>
      <c r="C953" s="70"/>
      <c r="G953" s="30"/>
      <c r="H953" s="77"/>
      <c r="I953" s="77"/>
      <c r="J953" s="58"/>
      <c r="K953" s="58"/>
    </row>
    <row r="954" spans="1:11" s="71" customFormat="1">
      <c r="A954" s="87"/>
      <c r="B954" s="30"/>
      <c r="C954" s="70"/>
      <c r="G954" s="30"/>
      <c r="H954" s="77"/>
      <c r="I954" s="77"/>
      <c r="J954" s="58"/>
      <c r="K954" s="58"/>
    </row>
    <row r="955" spans="1:11" s="71" customFormat="1">
      <c r="A955" s="87"/>
      <c r="B955" s="30"/>
      <c r="C955" s="70"/>
      <c r="G955" s="30"/>
      <c r="H955" s="77"/>
      <c r="I955" s="77"/>
      <c r="J955" s="58"/>
      <c r="K955" s="58"/>
    </row>
    <row r="956" spans="1:11" s="71" customFormat="1">
      <c r="A956" s="87"/>
      <c r="B956" s="30"/>
      <c r="C956" s="70"/>
      <c r="G956" s="30"/>
      <c r="H956" s="77"/>
      <c r="I956" s="77"/>
      <c r="J956" s="58"/>
      <c r="K956" s="58"/>
    </row>
    <row r="957" spans="1:11" s="71" customFormat="1">
      <c r="A957" s="87"/>
      <c r="B957" s="30"/>
      <c r="C957" s="70"/>
      <c r="G957" s="30"/>
      <c r="H957" s="77"/>
      <c r="I957" s="77"/>
      <c r="J957" s="58"/>
      <c r="K957" s="58"/>
    </row>
    <row r="958" spans="1:11" s="71" customFormat="1">
      <c r="A958" s="87"/>
      <c r="B958" s="30"/>
      <c r="C958" s="70"/>
      <c r="G958" s="30"/>
      <c r="H958" s="77"/>
      <c r="I958" s="77"/>
      <c r="J958" s="58"/>
      <c r="K958" s="58"/>
    </row>
    <row r="959" spans="1:11" s="71" customFormat="1">
      <c r="A959" s="87"/>
      <c r="B959" s="30"/>
      <c r="C959" s="70"/>
      <c r="G959" s="30"/>
      <c r="H959" s="77"/>
      <c r="I959" s="77"/>
      <c r="J959" s="58"/>
      <c r="K959" s="58"/>
    </row>
    <row r="960" spans="1:11" s="71" customFormat="1">
      <c r="A960" s="87"/>
      <c r="B960" s="30"/>
      <c r="C960" s="70"/>
      <c r="G960" s="30"/>
      <c r="H960" s="77"/>
      <c r="I960" s="77"/>
      <c r="J960" s="58"/>
      <c r="K960" s="58"/>
    </row>
    <row r="961" spans="1:11" s="71" customFormat="1">
      <c r="A961" s="87"/>
      <c r="B961" s="30"/>
      <c r="C961" s="70"/>
      <c r="G961" s="30"/>
      <c r="H961" s="77"/>
      <c r="I961" s="77"/>
      <c r="J961" s="58"/>
      <c r="K961" s="58"/>
    </row>
    <row r="962" spans="1:11" s="71" customFormat="1">
      <c r="A962" s="87"/>
      <c r="B962" s="30"/>
      <c r="C962" s="70"/>
      <c r="G962" s="30"/>
      <c r="H962" s="77"/>
      <c r="I962" s="77"/>
      <c r="J962" s="58"/>
      <c r="K962" s="58"/>
    </row>
    <row r="963" spans="1:11" s="71" customFormat="1">
      <c r="A963" s="87"/>
      <c r="B963" s="30"/>
      <c r="C963" s="70"/>
      <c r="G963" s="30"/>
      <c r="H963" s="77"/>
      <c r="I963" s="77"/>
      <c r="J963" s="58"/>
      <c r="K963" s="58"/>
    </row>
    <row r="964" spans="1:11" s="71" customFormat="1">
      <c r="A964" s="87"/>
      <c r="B964" s="30"/>
      <c r="C964" s="70"/>
      <c r="G964" s="30"/>
      <c r="H964" s="77"/>
      <c r="I964" s="77"/>
      <c r="J964" s="58"/>
      <c r="K964" s="58"/>
    </row>
    <row r="965" spans="1:11" s="71" customFormat="1">
      <c r="A965" s="87"/>
      <c r="B965" s="30"/>
      <c r="C965" s="70"/>
      <c r="G965" s="30"/>
      <c r="H965" s="77"/>
      <c r="I965" s="77"/>
      <c r="J965" s="58"/>
      <c r="K965" s="58"/>
    </row>
    <row r="966" spans="1:11" s="71" customFormat="1">
      <c r="A966" s="87"/>
      <c r="B966" s="30"/>
      <c r="C966" s="70"/>
      <c r="G966" s="30"/>
      <c r="H966" s="77"/>
      <c r="I966" s="77"/>
      <c r="J966" s="58"/>
      <c r="K966" s="58"/>
    </row>
    <row r="967" spans="1:11" s="71" customFormat="1">
      <c r="A967" s="87"/>
      <c r="B967" s="30"/>
      <c r="C967" s="70"/>
      <c r="G967" s="30"/>
      <c r="H967" s="77"/>
      <c r="I967" s="77"/>
      <c r="J967" s="58"/>
      <c r="K967" s="58"/>
    </row>
    <row r="968" spans="1:11" s="71" customFormat="1">
      <c r="A968" s="87"/>
      <c r="B968" s="30"/>
      <c r="C968" s="70"/>
      <c r="G968" s="30"/>
      <c r="H968" s="77"/>
      <c r="I968" s="77"/>
      <c r="J968" s="58"/>
      <c r="K968" s="58"/>
    </row>
    <row r="969" spans="1:11" s="71" customFormat="1">
      <c r="A969" s="87"/>
      <c r="B969" s="30"/>
      <c r="C969" s="70"/>
      <c r="G969" s="30"/>
      <c r="H969" s="77"/>
      <c r="I969" s="77"/>
      <c r="J969" s="58"/>
      <c r="K969" s="58"/>
    </row>
    <row r="970" spans="1:11" s="71" customFormat="1">
      <c r="A970" s="87"/>
      <c r="B970" s="30"/>
      <c r="C970" s="70"/>
      <c r="G970" s="30"/>
      <c r="H970" s="77"/>
      <c r="I970" s="77"/>
      <c r="J970" s="58"/>
      <c r="K970" s="58"/>
    </row>
    <row r="971" spans="1:11" s="71" customFormat="1">
      <c r="A971" s="87"/>
      <c r="B971" s="30"/>
      <c r="C971" s="70"/>
      <c r="G971" s="30"/>
      <c r="H971" s="77"/>
      <c r="I971" s="77"/>
      <c r="J971" s="58"/>
      <c r="K971" s="58"/>
    </row>
    <row r="972" spans="1:11" s="71" customFormat="1">
      <c r="A972" s="87"/>
      <c r="B972" s="30"/>
      <c r="C972" s="70"/>
      <c r="G972" s="30"/>
      <c r="H972" s="77"/>
      <c r="I972" s="77"/>
      <c r="J972" s="58"/>
      <c r="K972" s="58"/>
    </row>
    <row r="973" spans="1:11" s="71" customFormat="1">
      <c r="A973" s="87"/>
      <c r="B973" s="30"/>
      <c r="C973" s="70"/>
      <c r="G973" s="30"/>
      <c r="H973" s="77"/>
      <c r="I973" s="77"/>
      <c r="J973" s="58"/>
      <c r="K973" s="58"/>
    </row>
    <row r="974" spans="1:11" s="71" customFormat="1">
      <c r="A974" s="87"/>
      <c r="B974" s="30"/>
      <c r="C974" s="70"/>
      <c r="G974" s="30"/>
      <c r="H974" s="77"/>
      <c r="I974" s="77"/>
      <c r="J974" s="58"/>
      <c r="K974" s="58"/>
    </row>
    <row r="975" spans="1:11" s="71" customFormat="1">
      <c r="A975" s="87"/>
      <c r="B975" s="30"/>
      <c r="C975" s="70"/>
      <c r="G975" s="30"/>
      <c r="H975" s="77"/>
      <c r="I975" s="77"/>
      <c r="J975" s="58"/>
      <c r="K975" s="58"/>
    </row>
    <row r="976" spans="1:11" s="71" customFormat="1">
      <c r="A976" s="87"/>
      <c r="B976" s="30"/>
      <c r="C976" s="70"/>
      <c r="G976" s="30"/>
      <c r="H976" s="77"/>
      <c r="I976" s="77"/>
      <c r="J976" s="58"/>
      <c r="K976" s="58"/>
    </row>
    <row r="977" spans="1:11" s="71" customFormat="1">
      <c r="A977" s="87"/>
      <c r="B977" s="30"/>
      <c r="C977" s="70"/>
      <c r="G977" s="30"/>
      <c r="H977" s="77"/>
      <c r="I977" s="77"/>
      <c r="J977" s="58"/>
      <c r="K977" s="58"/>
    </row>
    <row r="978" spans="1:11" s="71" customFormat="1">
      <c r="A978" s="87"/>
      <c r="B978" s="30"/>
      <c r="C978" s="70"/>
      <c r="G978" s="30"/>
      <c r="H978" s="77"/>
      <c r="I978" s="77"/>
      <c r="J978" s="58"/>
      <c r="K978" s="58"/>
    </row>
    <row r="979" spans="1:11" s="71" customFormat="1">
      <c r="A979" s="87"/>
      <c r="B979" s="30"/>
      <c r="C979" s="70"/>
      <c r="G979" s="30"/>
      <c r="H979" s="77"/>
      <c r="I979" s="77"/>
      <c r="J979" s="58"/>
      <c r="K979" s="58"/>
    </row>
    <row r="980" spans="1:11" s="71" customFormat="1">
      <c r="A980" s="87"/>
      <c r="B980" s="30"/>
      <c r="C980" s="70"/>
      <c r="G980" s="30"/>
      <c r="H980" s="77"/>
      <c r="I980" s="77"/>
      <c r="J980" s="58"/>
      <c r="K980" s="58"/>
    </row>
    <row r="981" spans="1:11" s="71" customFormat="1">
      <c r="A981" s="87"/>
      <c r="B981" s="30"/>
      <c r="C981" s="70"/>
      <c r="G981" s="30"/>
      <c r="H981" s="77"/>
      <c r="I981" s="77"/>
      <c r="J981" s="58"/>
      <c r="K981" s="58"/>
    </row>
    <row r="982" spans="1:11" s="71" customFormat="1">
      <c r="A982" s="87"/>
      <c r="B982" s="30"/>
      <c r="C982" s="70"/>
      <c r="G982" s="30"/>
      <c r="H982" s="77"/>
      <c r="I982" s="77"/>
      <c r="J982" s="58"/>
      <c r="K982" s="58"/>
    </row>
    <row r="983" spans="1:11" s="71" customFormat="1">
      <c r="A983" s="87"/>
      <c r="B983" s="30"/>
      <c r="C983" s="70"/>
      <c r="G983" s="30"/>
      <c r="H983" s="77"/>
      <c r="I983" s="77"/>
      <c r="J983" s="58"/>
      <c r="K983" s="58"/>
    </row>
    <row r="984" spans="1:11" s="71" customFormat="1">
      <c r="A984" s="87"/>
      <c r="B984" s="30"/>
      <c r="C984" s="70"/>
      <c r="G984" s="30"/>
      <c r="H984" s="77"/>
      <c r="I984" s="77"/>
      <c r="J984" s="58"/>
      <c r="K984" s="58"/>
    </row>
    <row r="985" spans="1:11" s="71" customFormat="1">
      <c r="A985" s="87"/>
      <c r="B985" s="30"/>
      <c r="C985" s="70"/>
      <c r="G985" s="30"/>
      <c r="H985" s="77"/>
      <c r="I985" s="77"/>
      <c r="J985" s="58"/>
      <c r="K985" s="58"/>
    </row>
    <row r="986" spans="1:11" s="71" customFormat="1">
      <c r="A986" s="87"/>
      <c r="B986" s="30"/>
      <c r="C986" s="70"/>
      <c r="G986" s="30"/>
      <c r="H986" s="77"/>
      <c r="I986" s="77"/>
      <c r="J986" s="58"/>
      <c r="K986" s="58"/>
    </row>
    <row r="987" spans="1:11" s="71" customFormat="1">
      <c r="A987" s="87"/>
      <c r="B987" s="30"/>
      <c r="C987" s="70"/>
      <c r="G987" s="30"/>
      <c r="H987" s="77"/>
      <c r="I987" s="77"/>
      <c r="J987" s="58"/>
      <c r="K987" s="58"/>
    </row>
    <row r="988" spans="1:11" s="71" customFormat="1">
      <c r="A988" s="87"/>
      <c r="B988" s="30"/>
      <c r="C988" s="70"/>
      <c r="G988" s="30"/>
      <c r="H988" s="77"/>
      <c r="I988" s="77"/>
      <c r="J988" s="58"/>
      <c r="K988" s="58"/>
    </row>
    <row r="989" spans="1:11" s="71" customFormat="1">
      <c r="A989" s="87"/>
      <c r="B989" s="30"/>
      <c r="C989" s="70"/>
      <c r="G989" s="30"/>
      <c r="H989" s="77"/>
      <c r="I989" s="77"/>
      <c r="J989" s="58"/>
      <c r="K989" s="58"/>
    </row>
    <row r="990" spans="1:11" s="71" customFormat="1">
      <c r="A990" s="87"/>
      <c r="B990" s="30"/>
      <c r="C990" s="70"/>
      <c r="G990" s="30"/>
      <c r="H990" s="77"/>
      <c r="I990" s="77"/>
      <c r="J990" s="58"/>
      <c r="K990" s="58"/>
    </row>
    <row r="991" spans="1:11" s="71" customFormat="1">
      <c r="A991" s="87"/>
      <c r="B991" s="30"/>
      <c r="C991" s="70"/>
      <c r="G991" s="30"/>
      <c r="H991" s="77"/>
      <c r="I991" s="77"/>
      <c r="J991" s="58"/>
      <c r="K991" s="58"/>
    </row>
    <row r="992" spans="1:11" s="71" customFormat="1">
      <c r="A992" s="87"/>
      <c r="B992" s="30"/>
      <c r="C992" s="70"/>
      <c r="G992" s="30"/>
      <c r="H992" s="77"/>
      <c r="I992" s="77"/>
      <c r="J992" s="58"/>
      <c r="K992" s="58"/>
    </row>
    <row r="993" spans="1:11" s="71" customFormat="1">
      <c r="A993" s="87"/>
      <c r="B993" s="30"/>
      <c r="C993" s="70"/>
      <c r="G993" s="30"/>
      <c r="H993" s="77"/>
      <c r="I993" s="77"/>
      <c r="J993" s="58"/>
      <c r="K993" s="58"/>
    </row>
    <row r="994" spans="1:11" s="71" customFormat="1">
      <c r="A994" s="87"/>
      <c r="B994" s="30"/>
      <c r="C994" s="70"/>
      <c r="G994" s="30"/>
      <c r="H994" s="77"/>
      <c r="I994" s="77"/>
      <c r="J994" s="58"/>
      <c r="K994" s="58"/>
    </row>
    <row r="995" spans="1:11" s="71" customFormat="1">
      <c r="A995" s="87"/>
      <c r="B995" s="30"/>
      <c r="C995" s="70"/>
      <c r="G995" s="30"/>
      <c r="H995" s="77"/>
      <c r="I995" s="77"/>
      <c r="J995" s="58"/>
      <c r="K995" s="58"/>
    </row>
    <row r="996" spans="1:11" s="71" customFormat="1">
      <c r="A996" s="87"/>
      <c r="B996" s="30"/>
      <c r="C996" s="70"/>
      <c r="G996" s="30"/>
      <c r="H996" s="77"/>
      <c r="I996" s="77"/>
      <c r="J996" s="58"/>
      <c r="K996" s="58"/>
    </row>
    <row r="997" spans="1:11" s="71" customFormat="1">
      <c r="A997" s="87"/>
      <c r="B997" s="30"/>
      <c r="C997" s="70"/>
      <c r="G997" s="30"/>
      <c r="H997" s="77"/>
      <c r="I997" s="77"/>
      <c r="J997" s="58"/>
      <c r="K997" s="58"/>
    </row>
    <row r="998" spans="1:11" s="71" customFormat="1">
      <c r="A998" s="87"/>
      <c r="B998" s="30"/>
      <c r="C998" s="70"/>
      <c r="G998" s="30"/>
      <c r="H998" s="77"/>
      <c r="I998" s="77"/>
      <c r="J998" s="58"/>
      <c r="K998" s="58"/>
    </row>
    <row r="999" spans="1:11" s="71" customFormat="1">
      <c r="A999" s="87"/>
      <c r="B999" s="30"/>
      <c r="C999" s="70"/>
      <c r="G999" s="30"/>
      <c r="H999" s="77"/>
      <c r="I999" s="77"/>
      <c r="J999" s="58"/>
      <c r="K999" s="58"/>
    </row>
    <row r="1000" spans="1:11" s="71" customFormat="1">
      <c r="A1000" s="87"/>
      <c r="B1000" s="30"/>
      <c r="C1000" s="70"/>
      <c r="G1000" s="30"/>
      <c r="H1000" s="77"/>
      <c r="I1000" s="77"/>
      <c r="J1000" s="58"/>
      <c r="K1000" s="58"/>
    </row>
    <row r="1001" spans="1:11" s="71" customFormat="1">
      <c r="A1001" s="87"/>
      <c r="B1001" s="30"/>
      <c r="C1001" s="70"/>
      <c r="G1001" s="30"/>
      <c r="H1001" s="77"/>
      <c r="I1001" s="77"/>
      <c r="J1001" s="58"/>
      <c r="K1001" s="58"/>
    </row>
    <row r="1002" spans="1:11" s="71" customFormat="1">
      <c r="A1002" s="87"/>
      <c r="B1002" s="30"/>
      <c r="C1002" s="70"/>
      <c r="G1002" s="30"/>
      <c r="H1002" s="77"/>
      <c r="I1002" s="77"/>
      <c r="J1002" s="58"/>
      <c r="K1002" s="58"/>
    </row>
    <row r="1003" spans="1:11" s="71" customFormat="1">
      <c r="A1003" s="87"/>
      <c r="B1003" s="30"/>
      <c r="C1003" s="70"/>
      <c r="G1003" s="30"/>
      <c r="H1003" s="77"/>
      <c r="I1003" s="77"/>
      <c r="J1003" s="58"/>
      <c r="K1003" s="58"/>
    </row>
    <row r="1004" spans="1:11" s="71" customFormat="1">
      <c r="A1004" s="87"/>
      <c r="B1004" s="30"/>
      <c r="C1004" s="70"/>
      <c r="G1004" s="30"/>
      <c r="H1004" s="77"/>
      <c r="I1004" s="77"/>
      <c r="J1004" s="58"/>
      <c r="K1004" s="58"/>
    </row>
    <row r="1005" spans="1:11" s="71" customFormat="1">
      <c r="A1005" s="87"/>
      <c r="B1005" s="30"/>
      <c r="C1005" s="70"/>
      <c r="G1005" s="30"/>
      <c r="H1005" s="77"/>
      <c r="I1005" s="77"/>
      <c r="J1005" s="58"/>
      <c r="K1005" s="58"/>
    </row>
    <row r="1006" spans="1:11" s="71" customFormat="1">
      <c r="A1006" s="87"/>
      <c r="B1006" s="30"/>
      <c r="C1006" s="70"/>
      <c r="G1006" s="30"/>
      <c r="H1006" s="77"/>
      <c r="I1006" s="77"/>
      <c r="J1006" s="58"/>
      <c r="K1006" s="58"/>
    </row>
    <row r="1007" spans="1:11" s="71" customFormat="1">
      <c r="A1007" s="87"/>
      <c r="B1007" s="30"/>
      <c r="C1007" s="70"/>
      <c r="G1007" s="30"/>
      <c r="H1007" s="77"/>
      <c r="I1007" s="77"/>
      <c r="J1007" s="58"/>
      <c r="K1007" s="58"/>
    </row>
    <row r="1008" spans="1:11" s="71" customFormat="1">
      <c r="A1008" s="87"/>
      <c r="B1008" s="30"/>
      <c r="C1008" s="70"/>
      <c r="G1008" s="30"/>
      <c r="H1008" s="77"/>
      <c r="I1008" s="77"/>
      <c r="J1008" s="58"/>
      <c r="K1008" s="58"/>
    </row>
    <row r="1009" spans="1:11" s="71" customFormat="1">
      <c r="A1009" s="87"/>
      <c r="B1009" s="30"/>
      <c r="C1009" s="70"/>
      <c r="G1009" s="30"/>
      <c r="H1009" s="77"/>
      <c r="I1009" s="77"/>
      <c r="J1009" s="58"/>
      <c r="K1009" s="58"/>
    </row>
    <row r="1010" spans="1:11" s="71" customFormat="1">
      <c r="A1010" s="87"/>
      <c r="B1010" s="30"/>
      <c r="C1010" s="70"/>
      <c r="G1010" s="30"/>
      <c r="H1010" s="77"/>
      <c r="I1010" s="77"/>
      <c r="J1010" s="58"/>
      <c r="K1010" s="58"/>
    </row>
    <row r="1011" spans="1:11" s="71" customFormat="1">
      <c r="A1011" s="87"/>
      <c r="B1011" s="30"/>
      <c r="C1011" s="70"/>
      <c r="G1011" s="30"/>
      <c r="H1011" s="77"/>
      <c r="I1011" s="77"/>
      <c r="J1011" s="58"/>
      <c r="K1011" s="58"/>
    </row>
    <row r="1012" spans="1:11" s="71" customFormat="1">
      <c r="A1012" s="87"/>
      <c r="B1012" s="30"/>
      <c r="C1012" s="70"/>
      <c r="G1012" s="30"/>
      <c r="H1012" s="77"/>
      <c r="I1012" s="77"/>
      <c r="J1012" s="58"/>
      <c r="K1012" s="58"/>
    </row>
    <row r="1013" spans="1:11" s="71" customFormat="1">
      <c r="A1013" s="87"/>
      <c r="B1013" s="30"/>
      <c r="C1013" s="70"/>
      <c r="G1013" s="30"/>
      <c r="H1013" s="77"/>
      <c r="I1013" s="77"/>
      <c r="J1013" s="58"/>
      <c r="K1013" s="58"/>
    </row>
    <row r="1014" spans="1:11" s="71" customFormat="1">
      <c r="A1014" s="87"/>
      <c r="B1014" s="30"/>
      <c r="C1014" s="70"/>
      <c r="G1014" s="30"/>
      <c r="H1014" s="77"/>
      <c r="I1014" s="77"/>
      <c r="J1014" s="58"/>
      <c r="K1014" s="58"/>
    </row>
    <row r="1015" spans="1:11" s="71" customFormat="1">
      <c r="A1015" s="87"/>
      <c r="B1015" s="30"/>
      <c r="C1015" s="70"/>
      <c r="G1015" s="30"/>
      <c r="H1015" s="77"/>
      <c r="I1015" s="77"/>
      <c r="J1015" s="58"/>
      <c r="K1015" s="58"/>
    </row>
    <row r="1016" spans="1:11" s="71" customFormat="1">
      <c r="A1016" s="87"/>
      <c r="B1016" s="30"/>
      <c r="C1016" s="70"/>
      <c r="G1016" s="30"/>
      <c r="H1016" s="77"/>
      <c r="I1016" s="77"/>
      <c r="J1016" s="58"/>
      <c r="K1016" s="58"/>
    </row>
    <row r="1017" spans="1:11" s="71" customFormat="1">
      <c r="A1017" s="87"/>
      <c r="B1017" s="30"/>
      <c r="C1017" s="70"/>
      <c r="G1017" s="30"/>
      <c r="H1017" s="77"/>
      <c r="I1017" s="77"/>
      <c r="J1017" s="58"/>
      <c r="K1017" s="58"/>
    </row>
    <row r="1018" spans="1:11" s="71" customFormat="1">
      <c r="A1018" s="87"/>
      <c r="B1018" s="30"/>
      <c r="C1018" s="70"/>
      <c r="G1018" s="30"/>
      <c r="H1018" s="77"/>
      <c r="I1018" s="77"/>
      <c r="J1018" s="58"/>
      <c r="K1018" s="58"/>
    </row>
    <row r="1019" spans="1:11" s="71" customFormat="1">
      <c r="A1019" s="87"/>
      <c r="B1019" s="30"/>
      <c r="C1019" s="70"/>
      <c r="G1019" s="30"/>
      <c r="H1019" s="77"/>
      <c r="I1019" s="77"/>
      <c r="J1019" s="58"/>
      <c r="K1019" s="58"/>
    </row>
    <row r="1020" spans="1:11" s="71" customFormat="1">
      <c r="A1020" s="87"/>
      <c r="B1020" s="30"/>
      <c r="C1020" s="70"/>
      <c r="G1020" s="30"/>
      <c r="H1020" s="77"/>
      <c r="I1020" s="77"/>
      <c r="J1020" s="58"/>
      <c r="K1020" s="58"/>
    </row>
    <row r="1021" spans="1:11" s="71" customFormat="1">
      <c r="A1021" s="87"/>
      <c r="B1021" s="30"/>
      <c r="C1021" s="70"/>
      <c r="G1021" s="30"/>
      <c r="H1021" s="77"/>
      <c r="I1021" s="77"/>
      <c r="J1021" s="58"/>
      <c r="K1021" s="58"/>
    </row>
    <row r="1022" spans="1:11" s="71" customFormat="1">
      <c r="A1022" s="87"/>
      <c r="B1022" s="30"/>
      <c r="C1022" s="70"/>
      <c r="G1022" s="30"/>
      <c r="H1022" s="77"/>
      <c r="I1022" s="77"/>
      <c r="J1022" s="58"/>
      <c r="K1022" s="58"/>
    </row>
    <row r="1023" spans="1:11" s="71" customFormat="1">
      <c r="A1023" s="87"/>
      <c r="B1023" s="30"/>
      <c r="C1023" s="70"/>
      <c r="G1023" s="30"/>
      <c r="H1023" s="77"/>
      <c r="I1023" s="77"/>
      <c r="J1023" s="58"/>
      <c r="K1023" s="58"/>
    </row>
    <row r="1024" spans="1:11" s="71" customFormat="1">
      <c r="A1024" s="87"/>
      <c r="B1024" s="30"/>
      <c r="C1024" s="70"/>
      <c r="G1024" s="30"/>
      <c r="H1024" s="77"/>
      <c r="I1024" s="77"/>
      <c r="J1024" s="58"/>
      <c r="K1024" s="58"/>
    </row>
    <row r="1025" spans="1:11" s="71" customFormat="1">
      <c r="A1025" s="87"/>
      <c r="B1025" s="30"/>
      <c r="C1025" s="70"/>
      <c r="G1025" s="30"/>
      <c r="H1025" s="77"/>
      <c r="I1025" s="77"/>
      <c r="J1025" s="58"/>
      <c r="K1025" s="58"/>
    </row>
    <row r="1026" spans="1:11" s="71" customFormat="1">
      <c r="A1026" s="87"/>
      <c r="B1026" s="30"/>
      <c r="C1026" s="70"/>
      <c r="G1026" s="30"/>
      <c r="H1026" s="77"/>
      <c r="I1026" s="77"/>
      <c r="J1026" s="58"/>
      <c r="K1026" s="58"/>
    </row>
    <row r="1027" spans="1:11" s="71" customFormat="1">
      <c r="A1027" s="87"/>
      <c r="B1027" s="30"/>
      <c r="C1027" s="70"/>
      <c r="G1027" s="30"/>
      <c r="H1027" s="77"/>
      <c r="I1027" s="77"/>
      <c r="J1027" s="58"/>
      <c r="K1027" s="58"/>
    </row>
    <row r="1028" spans="1:11" s="71" customFormat="1">
      <c r="A1028" s="87"/>
      <c r="B1028" s="30"/>
      <c r="C1028" s="70"/>
      <c r="G1028" s="30"/>
      <c r="H1028" s="77"/>
      <c r="I1028" s="77"/>
      <c r="J1028" s="58"/>
      <c r="K1028" s="58"/>
    </row>
    <row r="1029" spans="1:11" s="71" customFormat="1">
      <c r="A1029" s="87"/>
      <c r="B1029" s="30"/>
      <c r="C1029" s="70"/>
      <c r="G1029" s="30"/>
      <c r="H1029" s="77"/>
      <c r="I1029" s="77"/>
      <c r="J1029" s="58"/>
      <c r="K1029" s="58"/>
    </row>
    <row r="1030" spans="1:11" s="71" customFormat="1">
      <c r="A1030" s="87"/>
      <c r="B1030" s="30"/>
      <c r="C1030" s="70"/>
      <c r="G1030" s="30"/>
      <c r="H1030" s="77"/>
      <c r="I1030" s="77"/>
      <c r="J1030" s="58"/>
      <c r="K1030" s="58"/>
    </row>
    <row r="1031" spans="1:11" s="71" customFormat="1">
      <c r="A1031" s="87"/>
      <c r="B1031" s="30"/>
      <c r="C1031" s="70"/>
      <c r="G1031" s="30"/>
      <c r="H1031" s="77"/>
      <c r="I1031" s="77"/>
      <c r="J1031" s="58"/>
      <c r="K1031" s="58"/>
    </row>
    <row r="1032" spans="1:11" s="71" customFormat="1">
      <c r="A1032" s="87"/>
      <c r="B1032" s="30"/>
      <c r="C1032" s="70"/>
      <c r="G1032" s="30"/>
      <c r="H1032" s="77"/>
      <c r="I1032" s="77"/>
      <c r="J1032" s="58"/>
      <c r="K1032" s="58"/>
    </row>
    <row r="1033" spans="1:11" s="71" customFormat="1">
      <c r="A1033" s="87"/>
      <c r="B1033" s="30"/>
      <c r="C1033" s="70"/>
      <c r="G1033" s="30"/>
      <c r="H1033" s="77"/>
      <c r="I1033" s="77"/>
      <c r="J1033" s="58"/>
      <c r="K1033" s="58"/>
    </row>
    <row r="1034" spans="1:11" s="71" customFormat="1">
      <c r="A1034" s="87"/>
      <c r="B1034" s="30"/>
      <c r="C1034" s="70"/>
      <c r="G1034" s="30"/>
      <c r="H1034" s="77"/>
      <c r="I1034" s="77"/>
      <c r="J1034" s="58"/>
      <c r="K1034" s="58"/>
    </row>
    <row r="1035" spans="1:11" s="71" customFormat="1">
      <c r="A1035" s="87"/>
      <c r="B1035" s="30"/>
      <c r="C1035" s="70"/>
      <c r="G1035" s="30"/>
      <c r="H1035" s="77"/>
      <c r="I1035" s="77"/>
      <c r="J1035" s="58"/>
      <c r="K1035" s="58"/>
    </row>
    <row r="1036" spans="1:11" s="71" customFormat="1">
      <c r="A1036" s="87"/>
      <c r="B1036" s="30"/>
      <c r="C1036" s="70"/>
      <c r="G1036" s="30"/>
      <c r="H1036" s="77"/>
      <c r="I1036" s="77"/>
      <c r="J1036" s="58"/>
      <c r="K1036" s="58"/>
    </row>
    <row r="1037" spans="1:11" s="71" customFormat="1">
      <c r="A1037" s="87"/>
      <c r="B1037" s="30"/>
      <c r="C1037" s="70"/>
      <c r="G1037" s="30"/>
      <c r="H1037" s="77"/>
      <c r="I1037" s="77"/>
      <c r="J1037" s="58"/>
      <c r="K1037" s="58"/>
    </row>
    <row r="1038" spans="1:11" s="71" customFormat="1">
      <c r="A1038" s="87"/>
      <c r="B1038" s="30"/>
      <c r="C1038" s="70"/>
      <c r="G1038" s="30"/>
      <c r="H1038" s="77"/>
      <c r="I1038" s="77"/>
      <c r="J1038" s="58"/>
      <c r="K1038" s="58"/>
    </row>
    <row r="1039" spans="1:11" s="71" customFormat="1">
      <c r="A1039" s="87"/>
      <c r="B1039" s="30"/>
      <c r="C1039" s="70"/>
      <c r="G1039" s="30"/>
      <c r="H1039" s="77"/>
      <c r="I1039" s="77"/>
      <c r="J1039" s="58"/>
      <c r="K1039" s="58"/>
    </row>
    <row r="1040" spans="1:11" s="71" customFormat="1">
      <c r="A1040" s="87"/>
      <c r="B1040" s="30"/>
      <c r="C1040" s="70"/>
      <c r="G1040" s="30"/>
      <c r="H1040" s="77"/>
      <c r="I1040" s="77"/>
      <c r="J1040" s="58"/>
      <c r="K1040" s="58"/>
    </row>
    <row r="1041" spans="1:11" s="71" customFormat="1">
      <c r="A1041" s="87"/>
      <c r="B1041" s="30"/>
      <c r="C1041" s="70"/>
      <c r="G1041" s="30"/>
      <c r="H1041" s="77"/>
      <c r="I1041" s="77"/>
      <c r="J1041" s="58"/>
      <c r="K1041" s="58"/>
    </row>
    <row r="1042" spans="1:11" s="71" customFormat="1">
      <c r="A1042" s="87"/>
      <c r="B1042" s="30"/>
      <c r="C1042" s="70"/>
      <c r="G1042" s="30"/>
      <c r="H1042" s="77"/>
      <c r="I1042" s="77"/>
      <c r="J1042" s="58"/>
      <c r="K1042" s="58"/>
    </row>
    <row r="1043" spans="1:11" s="71" customFormat="1">
      <c r="A1043" s="87"/>
      <c r="B1043" s="30"/>
      <c r="C1043" s="70"/>
      <c r="G1043" s="30"/>
      <c r="H1043" s="77"/>
      <c r="I1043" s="77"/>
      <c r="J1043" s="58"/>
      <c r="K1043" s="58"/>
    </row>
    <row r="1044" spans="1:11" s="71" customFormat="1">
      <c r="A1044" s="87"/>
      <c r="B1044" s="30"/>
      <c r="C1044" s="70"/>
      <c r="G1044" s="30"/>
      <c r="H1044" s="77"/>
      <c r="I1044" s="77"/>
      <c r="J1044" s="58"/>
      <c r="K1044" s="58"/>
    </row>
    <row r="1045" spans="1:11" s="71" customFormat="1">
      <c r="A1045" s="87"/>
      <c r="B1045" s="30"/>
      <c r="C1045" s="70"/>
      <c r="G1045" s="30"/>
      <c r="H1045" s="77"/>
      <c r="I1045" s="77"/>
      <c r="J1045" s="58"/>
      <c r="K1045" s="58"/>
    </row>
    <row r="1046" spans="1:11" s="71" customFormat="1">
      <c r="A1046" s="87"/>
      <c r="B1046" s="30"/>
      <c r="C1046" s="70"/>
      <c r="G1046" s="30"/>
      <c r="H1046" s="77"/>
      <c r="I1046" s="77"/>
      <c r="J1046" s="58"/>
      <c r="K1046" s="58"/>
    </row>
    <row r="1047" spans="1:11" s="71" customFormat="1">
      <c r="A1047" s="87"/>
      <c r="B1047" s="30"/>
      <c r="C1047" s="70"/>
      <c r="G1047" s="30"/>
      <c r="H1047" s="77"/>
      <c r="I1047" s="77"/>
      <c r="J1047" s="58"/>
      <c r="K1047" s="58"/>
    </row>
    <row r="1048" spans="1:11" s="71" customFormat="1">
      <c r="A1048" s="87"/>
      <c r="B1048" s="30"/>
      <c r="C1048" s="70"/>
      <c r="G1048" s="30"/>
      <c r="H1048" s="77"/>
      <c r="I1048" s="77"/>
      <c r="J1048" s="58"/>
      <c r="K1048" s="58"/>
    </row>
    <row r="1049" spans="1:11" s="71" customFormat="1">
      <c r="A1049" s="87"/>
      <c r="B1049" s="30"/>
      <c r="C1049" s="70"/>
      <c r="G1049" s="30"/>
      <c r="H1049" s="77"/>
      <c r="I1049" s="77"/>
      <c r="J1049" s="58"/>
      <c r="K1049" s="58"/>
    </row>
    <row r="1050" spans="1:11" s="71" customFormat="1">
      <c r="A1050" s="87"/>
      <c r="B1050" s="30"/>
      <c r="C1050" s="70"/>
      <c r="G1050" s="30"/>
      <c r="H1050" s="77"/>
      <c r="I1050" s="77"/>
      <c r="J1050" s="58"/>
      <c r="K1050" s="58"/>
    </row>
    <row r="1051" spans="1:11" s="71" customFormat="1">
      <c r="A1051" s="87"/>
      <c r="B1051" s="30"/>
      <c r="C1051" s="70"/>
      <c r="G1051" s="30"/>
      <c r="H1051" s="77"/>
      <c r="I1051" s="77"/>
      <c r="J1051" s="58"/>
      <c r="K1051" s="58"/>
    </row>
    <row r="1052" spans="1:11" s="71" customFormat="1">
      <c r="A1052" s="87"/>
      <c r="B1052" s="30"/>
      <c r="C1052" s="70"/>
      <c r="G1052" s="30"/>
      <c r="H1052" s="77"/>
      <c r="I1052" s="77"/>
      <c r="J1052" s="58"/>
      <c r="K1052" s="58"/>
    </row>
    <row r="1053" spans="1:11" s="71" customFormat="1">
      <c r="A1053" s="87"/>
      <c r="B1053" s="30"/>
      <c r="C1053" s="70"/>
      <c r="G1053" s="30"/>
      <c r="H1053" s="77"/>
      <c r="I1053" s="77"/>
      <c r="J1053" s="58"/>
      <c r="K1053" s="58"/>
    </row>
    <row r="1054" spans="1:11" s="71" customFormat="1">
      <c r="A1054" s="87"/>
      <c r="B1054" s="30"/>
      <c r="C1054" s="70"/>
      <c r="G1054" s="30"/>
      <c r="H1054" s="77"/>
      <c r="I1054" s="77"/>
      <c r="J1054" s="58"/>
      <c r="K1054" s="58"/>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K1054"/>
  <sheetViews>
    <sheetView showZeros="0" zoomScale="80" zoomScaleNormal="80" workbookViewId="0">
      <selection activeCell="M166" sqref="M166"/>
    </sheetView>
  </sheetViews>
  <sheetFormatPr defaultColWidth="8.85546875" defaultRowHeight="14.25"/>
  <cols>
    <col min="1" max="1" width="8.85546875" style="36"/>
    <col min="2" max="2" width="7.7109375" style="30" customWidth="1"/>
    <col min="3" max="3" width="53.7109375" style="30" customWidth="1"/>
    <col min="4" max="6" width="10.7109375" style="71" customWidth="1"/>
    <col min="7" max="7" width="6.7109375" style="30" customWidth="1"/>
    <col min="8" max="8" width="12.7109375" style="77" customWidth="1"/>
    <col min="9" max="9" width="16.85546875" style="77" customWidth="1"/>
    <col min="10" max="11" width="9.140625" style="58" customWidth="1"/>
    <col min="12" max="16384" width="8.85546875" style="3"/>
  </cols>
  <sheetData>
    <row r="1" spans="2:11" ht="15.75">
      <c r="B1" s="1" t="str">
        <f>'Drawings &amp; Data'!A1</f>
        <v>ESTATE NAME</v>
      </c>
      <c r="C1" s="1"/>
      <c r="D1" s="1"/>
      <c r="E1" s="1"/>
      <c r="F1" s="1"/>
      <c r="G1" s="1"/>
      <c r="H1" s="1"/>
      <c r="I1" s="1"/>
      <c r="J1" s="3"/>
      <c r="K1" s="3"/>
    </row>
    <row r="2" spans="2:11" ht="15.75">
      <c r="B2" s="4" t="str">
        <f>'Drawings &amp; Data'!A2</f>
        <v>STAGE X</v>
      </c>
      <c r="C2" s="1"/>
      <c r="D2" s="1"/>
      <c r="E2" s="1"/>
      <c r="F2" s="1"/>
      <c r="G2" s="1"/>
      <c r="H2" s="1"/>
      <c r="I2" s="1"/>
      <c r="J2" s="3"/>
      <c r="K2" s="3"/>
    </row>
    <row r="3" spans="2:11" ht="15.75">
      <c r="B3" s="1"/>
      <c r="C3" s="1"/>
      <c r="D3" s="1"/>
      <c r="E3" s="1"/>
      <c r="F3" s="1"/>
      <c r="G3" s="1"/>
      <c r="H3" s="1"/>
      <c r="I3" s="1"/>
      <c r="J3" s="3"/>
      <c r="K3" s="3"/>
    </row>
    <row r="4" spans="2:11" ht="15.75">
      <c r="B4" s="5" t="s">
        <v>9</v>
      </c>
      <c r="C4" s="1"/>
      <c r="D4" s="1"/>
      <c r="E4" s="1"/>
      <c r="F4" s="1"/>
      <c r="G4" s="1"/>
      <c r="H4" s="1"/>
      <c r="I4" s="1"/>
      <c r="J4" s="3"/>
      <c r="K4" s="3"/>
    </row>
    <row r="5" spans="2:11" ht="15.75">
      <c r="B5" s="6" t="str">
        <f>'Drawings &amp; Data'!A5</f>
        <v>Name and/or entity</v>
      </c>
      <c r="C5" s="1"/>
      <c r="D5" s="1"/>
      <c r="E5" s="1"/>
      <c r="F5" s="1"/>
      <c r="G5" s="1"/>
      <c r="H5" s="1"/>
      <c r="I5" s="1"/>
      <c r="J5" s="3"/>
      <c r="K5" s="3"/>
    </row>
    <row r="6" spans="2:11" ht="15.75">
      <c r="B6" s="6" t="str">
        <f>'Drawings &amp; Data'!A6</f>
        <v>Address 1</v>
      </c>
      <c r="C6" s="1"/>
      <c r="D6" s="1"/>
      <c r="E6" s="1"/>
      <c r="F6" s="1"/>
      <c r="G6" s="1"/>
      <c r="H6" s="1"/>
      <c r="I6" s="1"/>
      <c r="J6" s="3"/>
      <c r="K6" s="3"/>
    </row>
    <row r="7" spans="2:11" ht="15.75">
      <c r="B7" s="6" t="str">
        <f>'Drawings &amp; Data'!A7</f>
        <v>Address 2</v>
      </c>
      <c r="C7" s="1"/>
      <c r="D7" s="1"/>
      <c r="E7" s="1"/>
      <c r="F7" s="1"/>
      <c r="G7" s="1"/>
      <c r="H7" s="1"/>
      <c r="I7" s="1"/>
      <c r="J7" s="3"/>
      <c r="K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266</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1" ht="59.45"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58.9"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45" customHeight="1">
      <c r="B21" s="110" t="s">
        <v>183</v>
      </c>
      <c r="C21" s="110"/>
      <c r="D21" s="38"/>
      <c r="E21" s="38"/>
      <c r="F21" s="38"/>
      <c r="G21" s="39"/>
      <c r="H21" s="40"/>
      <c r="I21" s="40"/>
    </row>
    <row r="22" spans="1:11" s="41" customFormat="1" ht="15">
      <c r="A22" s="43" t="s">
        <v>513</v>
      </c>
      <c r="B22" s="75"/>
      <c r="C22" s="75"/>
      <c r="D22" s="76"/>
      <c r="E22" s="76"/>
      <c r="F22" s="76"/>
      <c r="G22" s="75"/>
      <c r="H22" s="77"/>
      <c r="I22" s="77"/>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53">
        <f t="shared" ref="I24:I87" si="0">F24*H24</f>
        <v>0</v>
      </c>
    </row>
    <row r="25" spans="1:11" s="41" customFormat="1" ht="15">
      <c r="A25" s="50">
        <v>1</v>
      </c>
      <c r="B25" s="51">
        <f ca="1">IF($A25="","",NumList())</f>
        <v>1</v>
      </c>
      <c r="C25" s="52" t="s">
        <v>75</v>
      </c>
      <c r="D25" s="48"/>
      <c r="E25" s="46"/>
      <c r="F25" s="46"/>
      <c r="G25" s="46"/>
      <c r="H25" s="49"/>
      <c r="I25" s="53">
        <f t="shared" si="0"/>
        <v>0</v>
      </c>
    </row>
    <row r="26" spans="1:11" s="41" customFormat="1" ht="15">
      <c r="A26" s="50">
        <v>2</v>
      </c>
      <c r="B26" s="51" t="str">
        <f ca="1">IF($A26="","",NumList())</f>
        <v>1.1</v>
      </c>
      <c r="C26" s="54" t="s">
        <v>76</v>
      </c>
      <c r="D26" s="55"/>
      <c r="E26" s="51"/>
      <c r="F26" s="51"/>
      <c r="G26" s="46"/>
      <c r="H26" s="49"/>
      <c r="I26" s="53">
        <f t="shared" si="0"/>
        <v>0</v>
      </c>
    </row>
    <row r="27" spans="1:11" s="41" customFormat="1" ht="85.5">
      <c r="A27" s="50">
        <v>3</v>
      </c>
      <c r="B27" s="51" t="str">
        <f ca="1">IF($A27="","",NumList())</f>
        <v>1.1.1</v>
      </c>
      <c r="C27" s="88" t="s">
        <v>349</v>
      </c>
      <c r="D27" s="55">
        <f ca="1">IF(ISTEXT(G27),RANDBETWEEN(1,1),0)</f>
        <v>1</v>
      </c>
      <c r="E27" s="51"/>
      <c r="F27" s="51">
        <f ca="1">IF(ISTEXT(G27),RANDBETWEEN(1,100),0)</f>
        <v>36</v>
      </c>
      <c r="G27" s="51" t="s">
        <v>0</v>
      </c>
      <c r="H27" s="49">
        <f ca="1">IF(ISTEXT(G27),RANDBETWEEN(1,100),0)</f>
        <v>98</v>
      </c>
      <c r="I27" s="53">
        <f t="shared" ca="1" si="0"/>
        <v>3528</v>
      </c>
    </row>
    <row r="28" spans="1:11" s="41" customFormat="1" ht="71.25">
      <c r="A28" s="50">
        <v>3</v>
      </c>
      <c r="B28" s="51" t="str">
        <f ca="1">IF($A28="","",NumList())</f>
        <v>1.1.2</v>
      </c>
      <c r="C28" s="88" t="s">
        <v>350</v>
      </c>
      <c r="D28" s="55">
        <f t="shared" ref="D28:D91" ca="1" si="1">IF(ISTEXT(G28),RANDBETWEEN(1,1),0)</f>
        <v>1</v>
      </c>
      <c r="E28" s="51"/>
      <c r="F28" s="51">
        <f t="shared" ref="F28:F91" ca="1" si="2">IF(ISTEXT(G28),RANDBETWEEN(1,100),0)</f>
        <v>35</v>
      </c>
      <c r="G28" s="51" t="s">
        <v>0</v>
      </c>
      <c r="H28" s="49">
        <f t="shared" ref="H28:H91" ca="1" si="3">IF(ISTEXT(G28),RANDBETWEEN(1,100),0)</f>
        <v>58</v>
      </c>
      <c r="I28" s="53">
        <f t="shared" ca="1" si="0"/>
        <v>2030</v>
      </c>
    </row>
    <row r="29" spans="1:11" s="41" customFormat="1" ht="15">
      <c r="A29" s="50">
        <v>3</v>
      </c>
      <c r="B29" s="51" t="str">
        <f ca="1">IF($A29="","",NumList())</f>
        <v>1.1.3</v>
      </c>
      <c r="C29" s="90" t="s">
        <v>351</v>
      </c>
      <c r="D29" s="55">
        <f t="shared" ca="1" si="1"/>
        <v>1</v>
      </c>
      <c r="E29" s="51"/>
      <c r="F29" s="51">
        <f t="shared" ca="1" si="2"/>
        <v>88</v>
      </c>
      <c r="G29" s="51" t="s">
        <v>0</v>
      </c>
      <c r="H29" s="49">
        <f t="shared" ca="1" si="3"/>
        <v>95</v>
      </c>
      <c r="I29" s="53">
        <f t="shared" ca="1" si="0"/>
        <v>8360</v>
      </c>
    </row>
    <row r="30" spans="1:11" s="41" customFormat="1" ht="15">
      <c r="A30" s="50">
        <v>3</v>
      </c>
      <c r="B30" s="51" t="str">
        <f ca="1">IF($A30="","",NumList())</f>
        <v>1.1.4</v>
      </c>
      <c r="C30" s="90" t="s">
        <v>352</v>
      </c>
      <c r="D30" s="55">
        <f t="shared" ca="1" si="1"/>
        <v>1</v>
      </c>
      <c r="E30" s="51"/>
      <c r="F30" s="51">
        <f t="shared" ca="1" si="2"/>
        <v>89</v>
      </c>
      <c r="G30" s="51" t="s">
        <v>0</v>
      </c>
      <c r="H30" s="49">
        <f t="shared" ca="1" si="3"/>
        <v>65</v>
      </c>
      <c r="I30" s="53">
        <f t="shared" ca="1" si="0"/>
        <v>5785</v>
      </c>
    </row>
    <row r="31" spans="1:11" s="41" customFormat="1" ht="15">
      <c r="A31" s="50">
        <v>3</v>
      </c>
      <c r="B31" s="51" t="str">
        <f ca="1">IF($A31="","",NumList())</f>
        <v>1.1.5</v>
      </c>
      <c r="C31" s="90" t="s">
        <v>353</v>
      </c>
      <c r="D31" s="55">
        <f t="shared" ca="1" si="1"/>
        <v>1</v>
      </c>
      <c r="E31" s="51"/>
      <c r="F31" s="51">
        <f t="shared" ca="1" si="2"/>
        <v>75</v>
      </c>
      <c r="G31" s="51" t="s">
        <v>0</v>
      </c>
      <c r="H31" s="49">
        <f t="shared" ca="1" si="3"/>
        <v>25</v>
      </c>
      <c r="I31" s="53">
        <f t="shared" ca="1" si="0"/>
        <v>1875</v>
      </c>
    </row>
    <row r="32" spans="1:11" s="41" customFormat="1" ht="15">
      <c r="A32" s="50">
        <v>3</v>
      </c>
      <c r="B32" s="51" t="str">
        <f ca="1">IF($A32="","",NumList())</f>
        <v>1.1.6</v>
      </c>
      <c r="C32" s="90" t="s">
        <v>354</v>
      </c>
      <c r="D32" s="55">
        <f t="shared" ca="1" si="1"/>
        <v>1</v>
      </c>
      <c r="E32" s="51"/>
      <c r="F32" s="51">
        <f t="shared" ca="1" si="2"/>
        <v>29</v>
      </c>
      <c r="G32" s="51" t="s">
        <v>0</v>
      </c>
      <c r="H32" s="49">
        <f t="shared" ca="1" si="3"/>
        <v>10</v>
      </c>
      <c r="I32" s="53">
        <f t="shared" ca="1" si="0"/>
        <v>290</v>
      </c>
    </row>
    <row r="33" spans="1:11" s="41" customFormat="1" ht="15">
      <c r="A33" s="50" t="s">
        <v>516</v>
      </c>
      <c r="B33" s="51" t="str">
        <f>IF($A33="","",NumList())</f>
        <v/>
      </c>
      <c r="C33" s="54"/>
      <c r="D33" s="55">
        <f t="shared" ca="1" si="1"/>
        <v>0</v>
      </c>
      <c r="E33" s="51"/>
      <c r="F33" s="51">
        <f t="shared" ca="1" si="2"/>
        <v>0</v>
      </c>
      <c r="G33" s="51"/>
      <c r="H33" s="49">
        <f t="shared" ca="1" si="3"/>
        <v>0</v>
      </c>
      <c r="I33" s="53">
        <f t="shared" ca="1" si="0"/>
        <v>0</v>
      </c>
    </row>
    <row r="34" spans="1:11" s="41" customFormat="1" ht="15">
      <c r="A34" s="50">
        <v>1</v>
      </c>
      <c r="B34" s="51">
        <f ca="1">IF($A34="","",NumList())</f>
        <v>2</v>
      </c>
      <c r="C34" s="63" t="s">
        <v>40</v>
      </c>
      <c r="D34" s="55">
        <f t="shared" ca="1" si="1"/>
        <v>0</v>
      </c>
      <c r="E34" s="48"/>
      <c r="F34" s="51">
        <f t="shared" ca="1" si="2"/>
        <v>0</v>
      </c>
      <c r="G34" s="46"/>
      <c r="H34" s="49">
        <f t="shared" ca="1" si="3"/>
        <v>0</v>
      </c>
      <c r="I34" s="53">
        <f t="shared" ca="1" si="0"/>
        <v>0</v>
      </c>
    </row>
    <row r="35" spans="1:11" s="41" customFormat="1" ht="35.25" customHeight="1">
      <c r="A35" s="50" t="s">
        <v>516</v>
      </c>
      <c r="B35" s="51" t="str">
        <f>IF($A35="","",NumList())</f>
        <v/>
      </c>
      <c r="C35" s="63" t="s">
        <v>288</v>
      </c>
      <c r="D35" s="55">
        <f t="shared" ca="1" si="1"/>
        <v>0</v>
      </c>
      <c r="E35" s="48"/>
      <c r="F35" s="51">
        <f t="shared" ca="1" si="2"/>
        <v>0</v>
      </c>
      <c r="G35" s="46"/>
      <c r="H35" s="49">
        <f t="shared" ca="1" si="3"/>
        <v>0</v>
      </c>
      <c r="I35" s="53">
        <f t="shared" ca="1" si="0"/>
        <v>0</v>
      </c>
    </row>
    <row r="36" spans="1:11" s="58" customFormat="1" ht="59.25">
      <c r="A36" s="50">
        <v>2</v>
      </c>
      <c r="B36" s="51" t="str">
        <f ca="1">IF($A36="","",NumList())</f>
        <v>2.1</v>
      </c>
      <c r="C36" s="62" t="s">
        <v>580</v>
      </c>
      <c r="D36" s="55">
        <f t="shared" ca="1" si="1"/>
        <v>0</v>
      </c>
      <c r="E36" s="55"/>
      <c r="F36" s="51">
        <f t="shared" ca="1" si="2"/>
        <v>0</v>
      </c>
      <c r="G36" s="51"/>
      <c r="H36" s="49">
        <f t="shared" ca="1" si="3"/>
        <v>0</v>
      </c>
      <c r="I36" s="53">
        <f t="shared" ca="1" si="0"/>
        <v>0</v>
      </c>
    </row>
    <row r="37" spans="1:11" s="41" customFormat="1" ht="15">
      <c r="A37" s="50">
        <v>3</v>
      </c>
      <c r="B37" s="51" t="str">
        <f ca="1">IF($A37="","",NumList())</f>
        <v>2.1.1</v>
      </c>
      <c r="C37" s="61" t="s">
        <v>35</v>
      </c>
      <c r="D37" s="55">
        <f t="shared" ca="1" si="1"/>
        <v>0</v>
      </c>
      <c r="E37" s="55"/>
      <c r="F37" s="51">
        <f t="shared" ca="1" si="2"/>
        <v>0</v>
      </c>
      <c r="G37" s="51"/>
      <c r="H37" s="49">
        <f t="shared" ca="1" si="3"/>
        <v>0</v>
      </c>
      <c r="I37" s="53">
        <f t="shared" ca="1" si="0"/>
        <v>0</v>
      </c>
      <c r="J37" s="58"/>
      <c r="K37" s="58"/>
    </row>
    <row r="38" spans="1:11" s="41" customFormat="1" ht="15">
      <c r="A38" s="50">
        <v>4</v>
      </c>
      <c r="B38" s="51" t="str">
        <f ca="1">IF($A38="","",NumList())</f>
        <v>2.1.1.1</v>
      </c>
      <c r="C38" s="61" t="s">
        <v>56</v>
      </c>
      <c r="D38" s="55">
        <f t="shared" ca="1" si="1"/>
        <v>1</v>
      </c>
      <c r="E38" s="55"/>
      <c r="F38" s="51">
        <f t="shared" ca="1" si="2"/>
        <v>38</v>
      </c>
      <c r="G38" s="51" t="s">
        <v>6</v>
      </c>
      <c r="H38" s="49">
        <f t="shared" ca="1" si="3"/>
        <v>72</v>
      </c>
      <c r="I38" s="53">
        <f t="shared" ca="1" si="0"/>
        <v>2736</v>
      </c>
      <c r="J38" s="58"/>
      <c r="K38" s="58"/>
    </row>
    <row r="39" spans="1:11" s="41" customFormat="1" ht="15">
      <c r="A39" s="50">
        <v>4</v>
      </c>
      <c r="B39" s="51" t="str">
        <f ca="1">IF($A39="","",NumList())</f>
        <v>2.1.1.2</v>
      </c>
      <c r="C39" s="61" t="s">
        <v>57</v>
      </c>
      <c r="D39" s="55">
        <f t="shared" ca="1" si="1"/>
        <v>1</v>
      </c>
      <c r="E39" s="55"/>
      <c r="F39" s="51">
        <f t="shared" ca="1" si="2"/>
        <v>66</v>
      </c>
      <c r="G39" s="51" t="s">
        <v>6</v>
      </c>
      <c r="H39" s="49">
        <f t="shared" ca="1" si="3"/>
        <v>67</v>
      </c>
      <c r="I39" s="53">
        <f t="shared" ca="1" si="0"/>
        <v>4422</v>
      </c>
      <c r="J39" s="58"/>
      <c r="K39" s="58"/>
    </row>
    <row r="40" spans="1:11" s="41" customFormat="1" ht="15">
      <c r="A40" s="50">
        <v>4</v>
      </c>
      <c r="B40" s="51" t="str">
        <f ca="1">IF($A40="","",NumList())</f>
        <v>2.1.1.3</v>
      </c>
      <c r="C40" s="61" t="s">
        <v>58</v>
      </c>
      <c r="D40" s="55">
        <f t="shared" ca="1" si="1"/>
        <v>1</v>
      </c>
      <c r="E40" s="55"/>
      <c r="F40" s="51">
        <f t="shared" ca="1" si="2"/>
        <v>29</v>
      </c>
      <c r="G40" s="51" t="s">
        <v>6</v>
      </c>
      <c r="H40" s="49">
        <f t="shared" ca="1" si="3"/>
        <v>99</v>
      </c>
      <c r="I40" s="53">
        <f t="shared" ca="1" si="0"/>
        <v>2871</v>
      </c>
      <c r="J40" s="58"/>
      <c r="K40" s="58"/>
    </row>
    <row r="41" spans="1:11" s="41" customFormat="1" ht="15">
      <c r="A41" s="50">
        <v>3</v>
      </c>
      <c r="B41" s="51" t="str">
        <f ca="1">IF($A41="","",NumList())</f>
        <v>2.1.2</v>
      </c>
      <c r="C41" s="61" t="s">
        <v>269</v>
      </c>
      <c r="D41" s="55">
        <f t="shared" ca="1" si="1"/>
        <v>0</v>
      </c>
      <c r="E41" s="55"/>
      <c r="F41" s="51">
        <f t="shared" ca="1" si="2"/>
        <v>0</v>
      </c>
      <c r="G41" s="51"/>
      <c r="H41" s="49">
        <f t="shared" ca="1" si="3"/>
        <v>0</v>
      </c>
      <c r="I41" s="53">
        <f t="shared" ca="1" si="0"/>
        <v>0</v>
      </c>
      <c r="J41" s="58"/>
      <c r="K41" s="58"/>
    </row>
    <row r="42" spans="1:11" s="41" customFormat="1" ht="15">
      <c r="A42" s="50">
        <v>4</v>
      </c>
      <c r="B42" s="51" t="str">
        <f ca="1">IF($A42="","",NumList())</f>
        <v>2.1.2.1</v>
      </c>
      <c r="C42" s="61" t="s">
        <v>56</v>
      </c>
      <c r="D42" s="55">
        <f t="shared" ca="1" si="1"/>
        <v>1</v>
      </c>
      <c r="E42" s="55"/>
      <c r="F42" s="51">
        <f t="shared" ca="1" si="2"/>
        <v>74</v>
      </c>
      <c r="G42" s="51" t="s">
        <v>6</v>
      </c>
      <c r="H42" s="49">
        <f t="shared" ca="1" si="3"/>
        <v>20</v>
      </c>
      <c r="I42" s="53">
        <f t="shared" ca="1" si="0"/>
        <v>1480</v>
      </c>
      <c r="J42" s="58"/>
      <c r="K42" s="58"/>
    </row>
    <row r="43" spans="1:11" s="41" customFormat="1" ht="15">
      <c r="A43" s="50">
        <v>4</v>
      </c>
      <c r="B43" s="51" t="str">
        <f ca="1">IF($A43="","",NumList())</f>
        <v>2.1.2.2</v>
      </c>
      <c r="C43" s="61" t="s">
        <v>57</v>
      </c>
      <c r="D43" s="55">
        <f t="shared" ca="1" si="1"/>
        <v>1</v>
      </c>
      <c r="E43" s="55"/>
      <c r="F43" s="51">
        <f t="shared" ca="1" si="2"/>
        <v>38</v>
      </c>
      <c r="G43" s="51" t="s">
        <v>6</v>
      </c>
      <c r="H43" s="49">
        <f t="shared" ca="1" si="3"/>
        <v>53</v>
      </c>
      <c r="I43" s="53">
        <f t="shared" ca="1" si="0"/>
        <v>2014</v>
      </c>
      <c r="J43" s="58"/>
      <c r="K43" s="58"/>
    </row>
    <row r="44" spans="1:11" s="41" customFormat="1" ht="15">
      <c r="A44" s="50">
        <v>4</v>
      </c>
      <c r="B44" s="51" t="str">
        <f ca="1">IF($A44="","",NumList())</f>
        <v>2.1.2.3</v>
      </c>
      <c r="C44" s="61" t="s">
        <v>58</v>
      </c>
      <c r="D44" s="55">
        <f t="shared" ca="1" si="1"/>
        <v>1</v>
      </c>
      <c r="E44" s="55"/>
      <c r="F44" s="51">
        <f t="shared" ca="1" si="2"/>
        <v>98</v>
      </c>
      <c r="G44" s="51" t="s">
        <v>6</v>
      </c>
      <c r="H44" s="49">
        <f t="shared" ca="1" si="3"/>
        <v>99</v>
      </c>
      <c r="I44" s="53">
        <f t="shared" ca="1" si="0"/>
        <v>9702</v>
      </c>
      <c r="J44" s="58"/>
      <c r="K44" s="58"/>
    </row>
    <row r="45" spans="1:11" s="41" customFormat="1" ht="15">
      <c r="A45" s="50">
        <v>3</v>
      </c>
      <c r="B45" s="51" t="str">
        <f ca="1">IF($A45="","",NumList())</f>
        <v>2.1.3</v>
      </c>
      <c r="C45" s="61" t="s">
        <v>270</v>
      </c>
      <c r="D45" s="55">
        <f t="shared" ca="1" si="1"/>
        <v>0</v>
      </c>
      <c r="E45" s="55"/>
      <c r="F45" s="51">
        <f t="shared" ca="1" si="2"/>
        <v>0</v>
      </c>
      <c r="G45" s="51"/>
      <c r="H45" s="49">
        <f t="shared" ca="1" si="3"/>
        <v>0</v>
      </c>
      <c r="I45" s="53">
        <f t="shared" ca="1" si="0"/>
        <v>0</v>
      </c>
      <c r="J45" s="58"/>
      <c r="K45" s="58"/>
    </row>
    <row r="46" spans="1:11" s="41" customFormat="1" ht="15">
      <c r="A46" s="50">
        <v>4</v>
      </c>
      <c r="B46" s="51" t="str">
        <f ca="1">IF($A46="","",NumList())</f>
        <v>2.1.3.1</v>
      </c>
      <c r="C46" s="61" t="s">
        <v>56</v>
      </c>
      <c r="D46" s="55">
        <f t="shared" ca="1" si="1"/>
        <v>1</v>
      </c>
      <c r="E46" s="55"/>
      <c r="F46" s="51">
        <f t="shared" ca="1" si="2"/>
        <v>5</v>
      </c>
      <c r="G46" s="51" t="s">
        <v>6</v>
      </c>
      <c r="H46" s="49">
        <f t="shared" ca="1" si="3"/>
        <v>21</v>
      </c>
      <c r="I46" s="53">
        <f t="shared" ca="1" si="0"/>
        <v>105</v>
      </c>
      <c r="J46" s="58"/>
      <c r="K46" s="58"/>
    </row>
    <row r="47" spans="1:11" s="41" customFormat="1" ht="15">
      <c r="A47" s="50">
        <v>4</v>
      </c>
      <c r="B47" s="51" t="str">
        <f ca="1">IF($A47="","",NumList())</f>
        <v>2.1.3.2</v>
      </c>
      <c r="C47" s="61" t="s">
        <v>57</v>
      </c>
      <c r="D47" s="55">
        <f t="shared" ca="1" si="1"/>
        <v>1</v>
      </c>
      <c r="E47" s="55"/>
      <c r="F47" s="51">
        <f t="shared" ca="1" si="2"/>
        <v>12</v>
      </c>
      <c r="G47" s="51" t="s">
        <v>6</v>
      </c>
      <c r="H47" s="49">
        <f t="shared" ca="1" si="3"/>
        <v>37</v>
      </c>
      <c r="I47" s="53">
        <f t="shared" ca="1" si="0"/>
        <v>444</v>
      </c>
      <c r="J47" s="58"/>
      <c r="K47" s="58"/>
    </row>
    <row r="48" spans="1:11" s="41" customFormat="1" ht="15">
      <c r="A48" s="50">
        <v>4</v>
      </c>
      <c r="B48" s="51" t="str">
        <f ca="1">IF($A48="","",NumList())</f>
        <v>2.1.3.3</v>
      </c>
      <c r="C48" s="61" t="s">
        <v>58</v>
      </c>
      <c r="D48" s="55">
        <f t="shared" ca="1" si="1"/>
        <v>1</v>
      </c>
      <c r="E48" s="55"/>
      <c r="F48" s="51">
        <f t="shared" ca="1" si="2"/>
        <v>15</v>
      </c>
      <c r="G48" s="51" t="s">
        <v>6</v>
      </c>
      <c r="H48" s="49">
        <f t="shared" ca="1" si="3"/>
        <v>89</v>
      </c>
      <c r="I48" s="53">
        <f t="shared" ca="1" si="0"/>
        <v>1335</v>
      </c>
      <c r="J48" s="58"/>
      <c r="K48" s="58"/>
    </row>
    <row r="49" spans="1:11" s="41" customFormat="1" ht="15">
      <c r="A49" s="50">
        <v>3</v>
      </c>
      <c r="B49" s="51" t="str">
        <f ca="1">IF($A49="","",NumList())</f>
        <v>2.1.4</v>
      </c>
      <c r="C49" s="61" t="s">
        <v>271</v>
      </c>
      <c r="D49" s="55">
        <f t="shared" ca="1" si="1"/>
        <v>0</v>
      </c>
      <c r="E49" s="55"/>
      <c r="F49" s="51">
        <f t="shared" ca="1" si="2"/>
        <v>0</v>
      </c>
      <c r="G49" s="51"/>
      <c r="H49" s="49">
        <f t="shared" ca="1" si="3"/>
        <v>0</v>
      </c>
      <c r="I49" s="53">
        <f t="shared" ca="1" si="0"/>
        <v>0</v>
      </c>
      <c r="J49" s="58"/>
      <c r="K49" s="58"/>
    </row>
    <row r="50" spans="1:11" s="41" customFormat="1" ht="15">
      <c r="A50" s="50">
        <v>4</v>
      </c>
      <c r="B50" s="51" t="str">
        <f ca="1">IF($A50="","",NumList())</f>
        <v>2.1.4.1</v>
      </c>
      <c r="C50" s="61" t="s">
        <v>56</v>
      </c>
      <c r="D50" s="55">
        <f t="shared" ca="1" si="1"/>
        <v>1</v>
      </c>
      <c r="E50" s="55"/>
      <c r="F50" s="51">
        <f t="shared" ca="1" si="2"/>
        <v>33</v>
      </c>
      <c r="G50" s="51" t="s">
        <v>6</v>
      </c>
      <c r="H50" s="49">
        <f t="shared" ca="1" si="3"/>
        <v>95</v>
      </c>
      <c r="I50" s="53">
        <f t="shared" ca="1" si="0"/>
        <v>3135</v>
      </c>
      <c r="J50" s="58"/>
      <c r="K50" s="58"/>
    </row>
    <row r="51" spans="1:11" s="41" customFormat="1" ht="15">
      <c r="A51" s="50">
        <v>4</v>
      </c>
      <c r="B51" s="51" t="str">
        <f ca="1">IF($A51="","",NumList())</f>
        <v>2.1.4.2</v>
      </c>
      <c r="C51" s="61" t="s">
        <v>57</v>
      </c>
      <c r="D51" s="55">
        <f t="shared" ca="1" si="1"/>
        <v>1</v>
      </c>
      <c r="E51" s="55"/>
      <c r="F51" s="51">
        <f t="shared" ca="1" si="2"/>
        <v>93</v>
      </c>
      <c r="G51" s="51" t="s">
        <v>6</v>
      </c>
      <c r="H51" s="49">
        <f t="shared" ca="1" si="3"/>
        <v>43</v>
      </c>
      <c r="I51" s="53">
        <f t="shared" ca="1" si="0"/>
        <v>3999</v>
      </c>
      <c r="J51" s="58"/>
      <c r="K51" s="58"/>
    </row>
    <row r="52" spans="1:11" s="41" customFormat="1" ht="15">
      <c r="A52" s="50">
        <v>4</v>
      </c>
      <c r="B52" s="51" t="str">
        <f ca="1">IF($A52="","",NumList())</f>
        <v>2.1.4.3</v>
      </c>
      <c r="C52" s="61" t="s">
        <v>58</v>
      </c>
      <c r="D52" s="55">
        <f t="shared" ca="1" si="1"/>
        <v>1</v>
      </c>
      <c r="E52" s="55"/>
      <c r="F52" s="51">
        <f t="shared" ca="1" si="2"/>
        <v>1</v>
      </c>
      <c r="G52" s="51" t="s">
        <v>6</v>
      </c>
      <c r="H52" s="49">
        <f t="shared" ca="1" si="3"/>
        <v>70</v>
      </c>
      <c r="I52" s="53">
        <f t="shared" ca="1" si="0"/>
        <v>70</v>
      </c>
      <c r="J52" s="58"/>
      <c r="K52" s="58"/>
    </row>
    <row r="53" spans="1:11" s="41" customFormat="1" ht="15">
      <c r="A53" s="50" t="s">
        <v>516</v>
      </c>
      <c r="B53" s="51" t="str">
        <f>IF($A53="","",NumList())</f>
        <v/>
      </c>
      <c r="C53" s="54"/>
      <c r="D53" s="55">
        <f t="shared" ca="1" si="1"/>
        <v>0</v>
      </c>
      <c r="E53" s="55"/>
      <c r="F53" s="51">
        <f t="shared" ca="1" si="2"/>
        <v>0</v>
      </c>
      <c r="G53" s="51"/>
      <c r="H53" s="49">
        <f t="shared" ca="1" si="3"/>
        <v>0</v>
      </c>
      <c r="I53" s="53">
        <f t="shared" ca="1" si="0"/>
        <v>0</v>
      </c>
      <c r="J53" s="58"/>
      <c r="K53" s="58"/>
    </row>
    <row r="54" spans="1:11" s="41" customFormat="1" ht="15">
      <c r="A54" s="50">
        <v>2</v>
      </c>
      <c r="B54" s="51" t="str">
        <f ca="1">IF($A54="","",NumList())</f>
        <v>2.2</v>
      </c>
      <c r="C54" s="61" t="s">
        <v>390</v>
      </c>
      <c r="D54" s="55">
        <f t="shared" ca="1" si="1"/>
        <v>0</v>
      </c>
      <c r="E54" s="55"/>
      <c r="F54" s="51">
        <f t="shared" ca="1" si="2"/>
        <v>0</v>
      </c>
      <c r="G54" s="51"/>
      <c r="H54" s="49">
        <f t="shared" ca="1" si="3"/>
        <v>0</v>
      </c>
      <c r="I54" s="53">
        <f t="shared" ca="1" si="0"/>
        <v>0</v>
      </c>
      <c r="J54" s="58"/>
      <c r="K54" s="58"/>
    </row>
    <row r="55" spans="1:11" s="41" customFormat="1" ht="15">
      <c r="A55" s="50">
        <v>3</v>
      </c>
      <c r="B55" s="51" t="str">
        <f ca="1">IF($A55="","",NumList())</f>
        <v>2.2.1</v>
      </c>
      <c r="C55" s="61" t="s">
        <v>35</v>
      </c>
      <c r="D55" s="55">
        <f t="shared" ca="1" si="1"/>
        <v>0</v>
      </c>
      <c r="E55" s="55"/>
      <c r="F55" s="51">
        <f t="shared" ca="1" si="2"/>
        <v>0</v>
      </c>
      <c r="G55" s="51"/>
      <c r="H55" s="49">
        <f t="shared" ca="1" si="3"/>
        <v>0</v>
      </c>
      <c r="I55" s="53">
        <f t="shared" ca="1" si="0"/>
        <v>0</v>
      </c>
      <c r="J55" s="58"/>
      <c r="K55" s="58"/>
    </row>
    <row r="56" spans="1:11" s="41" customFormat="1" ht="15">
      <c r="A56" s="50">
        <v>4</v>
      </c>
      <c r="B56" s="51" t="str">
        <f ca="1">IF($A56="","",NumList())</f>
        <v>2.2.1.1</v>
      </c>
      <c r="C56" s="61" t="s">
        <v>56</v>
      </c>
      <c r="D56" s="55">
        <f t="shared" ca="1" si="1"/>
        <v>1</v>
      </c>
      <c r="E56" s="55"/>
      <c r="F56" s="51">
        <f t="shared" ca="1" si="2"/>
        <v>98</v>
      </c>
      <c r="G56" s="51" t="s">
        <v>6</v>
      </c>
      <c r="H56" s="49">
        <f t="shared" ca="1" si="3"/>
        <v>72</v>
      </c>
      <c r="I56" s="53">
        <f t="shared" ca="1" si="0"/>
        <v>7056</v>
      </c>
      <c r="J56" s="58"/>
      <c r="K56" s="58"/>
    </row>
    <row r="57" spans="1:11" s="41" customFormat="1" ht="15">
      <c r="A57" s="50">
        <v>4</v>
      </c>
      <c r="B57" s="51" t="str">
        <f ca="1">IF($A57="","",NumList())</f>
        <v>2.2.1.2</v>
      </c>
      <c r="C57" s="61" t="s">
        <v>57</v>
      </c>
      <c r="D57" s="55">
        <f t="shared" ca="1" si="1"/>
        <v>1</v>
      </c>
      <c r="E57" s="55"/>
      <c r="F57" s="51">
        <f t="shared" ca="1" si="2"/>
        <v>71</v>
      </c>
      <c r="G57" s="51" t="s">
        <v>6</v>
      </c>
      <c r="H57" s="49">
        <f t="shared" ca="1" si="3"/>
        <v>98</v>
      </c>
      <c r="I57" s="53">
        <f t="shared" ca="1" si="0"/>
        <v>6958</v>
      </c>
      <c r="J57" s="58"/>
      <c r="K57" s="58"/>
    </row>
    <row r="58" spans="1:11" s="41" customFormat="1" ht="15">
      <c r="A58" s="50">
        <v>4</v>
      </c>
      <c r="B58" s="51" t="str">
        <f ca="1">IF($A58="","",NumList())</f>
        <v>2.2.1.3</v>
      </c>
      <c r="C58" s="61" t="s">
        <v>58</v>
      </c>
      <c r="D58" s="55">
        <f t="shared" ca="1" si="1"/>
        <v>1</v>
      </c>
      <c r="E58" s="55"/>
      <c r="F58" s="51">
        <f t="shared" ca="1" si="2"/>
        <v>11</v>
      </c>
      <c r="G58" s="51" t="s">
        <v>6</v>
      </c>
      <c r="H58" s="49">
        <f t="shared" ca="1" si="3"/>
        <v>7</v>
      </c>
      <c r="I58" s="53">
        <f t="shared" ca="1" si="0"/>
        <v>77</v>
      </c>
      <c r="J58" s="58"/>
      <c r="K58" s="58"/>
    </row>
    <row r="59" spans="1:11" s="41" customFormat="1" ht="15">
      <c r="A59" s="50">
        <v>3</v>
      </c>
      <c r="B59" s="51" t="str">
        <f ca="1">IF($A59="","",NumList())</f>
        <v>2.2.2</v>
      </c>
      <c r="C59" s="61" t="s">
        <v>269</v>
      </c>
      <c r="D59" s="55">
        <f t="shared" ca="1" si="1"/>
        <v>0</v>
      </c>
      <c r="E59" s="55"/>
      <c r="F59" s="51">
        <f t="shared" ca="1" si="2"/>
        <v>0</v>
      </c>
      <c r="G59" s="51"/>
      <c r="H59" s="49">
        <f t="shared" ca="1" si="3"/>
        <v>0</v>
      </c>
      <c r="I59" s="53">
        <f t="shared" ca="1" si="0"/>
        <v>0</v>
      </c>
      <c r="J59" s="58"/>
      <c r="K59" s="58"/>
    </row>
    <row r="60" spans="1:11" s="41" customFormat="1" ht="15">
      <c r="A60" s="50">
        <v>4</v>
      </c>
      <c r="B60" s="51" t="str">
        <f ca="1">IF($A60="","",NumList())</f>
        <v>2.2.2.1</v>
      </c>
      <c r="C60" s="61" t="s">
        <v>56</v>
      </c>
      <c r="D60" s="55">
        <f t="shared" ca="1" si="1"/>
        <v>1</v>
      </c>
      <c r="E60" s="55"/>
      <c r="F60" s="51">
        <f t="shared" ca="1" si="2"/>
        <v>56</v>
      </c>
      <c r="G60" s="51" t="s">
        <v>6</v>
      </c>
      <c r="H60" s="49">
        <f t="shared" ca="1" si="3"/>
        <v>32</v>
      </c>
      <c r="I60" s="53">
        <f t="shared" ca="1" si="0"/>
        <v>1792</v>
      </c>
      <c r="J60" s="58"/>
      <c r="K60" s="58"/>
    </row>
    <row r="61" spans="1:11" s="41" customFormat="1" ht="15">
      <c r="A61" s="50">
        <v>4</v>
      </c>
      <c r="B61" s="51" t="str">
        <f ca="1">IF($A61="","",NumList())</f>
        <v>2.2.2.2</v>
      </c>
      <c r="C61" s="61" t="s">
        <v>57</v>
      </c>
      <c r="D61" s="55">
        <f t="shared" ca="1" si="1"/>
        <v>1</v>
      </c>
      <c r="E61" s="55"/>
      <c r="F61" s="51">
        <f t="shared" ca="1" si="2"/>
        <v>17</v>
      </c>
      <c r="G61" s="51" t="s">
        <v>6</v>
      </c>
      <c r="H61" s="49">
        <f t="shared" ca="1" si="3"/>
        <v>79</v>
      </c>
      <c r="I61" s="53">
        <f t="shared" ca="1" si="0"/>
        <v>1343</v>
      </c>
      <c r="J61" s="58"/>
      <c r="K61" s="58"/>
    </row>
    <row r="62" spans="1:11" s="41" customFormat="1" ht="15">
      <c r="A62" s="50">
        <v>4</v>
      </c>
      <c r="B62" s="51" t="str">
        <f ca="1">IF($A62="","",NumList())</f>
        <v>2.2.2.3</v>
      </c>
      <c r="C62" s="61" t="s">
        <v>58</v>
      </c>
      <c r="D62" s="55">
        <f t="shared" ca="1" si="1"/>
        <v>1</v>
      </c>
      <c r="E62" s="55"/>
      <c r="F62" s="51">
        <f t="shared" ca="1" si="2"/>
        <v>53</v>
      </c>
      <c r="G62" s="51" t="s">
        <v>6</v>
      </c>
      <c r="H62" s="49">
        <f t="shared" ca="1" si="3"/>
        <v>38</v>
      </c>
      <c r="I62" s="53">
        <f t="shared" ca="1" si="0"/>
        <v>2014</v>
      </c>
      <c r="J62" s="58"/>
      <c r="K62" s="58"/>
    </row>
    <row r="63" spans="1:11" s="41" customFormat="1" ht="15">
      <c r="A63" s="50">
        <v>3</v>
      </c>
      <c r="B63" s="51" t="str">
        <f ca="1">IF($A63="","",NumList())</f>
        <v>2.2.3</v>
      </c>
      <c r="C63" s="61" t="s">
        <v>270</v>
      </c>
      <c r="D63" s="55">
        <f t="shared" ca="1" si="1"/>
        <v>0</v>
      </c>
      <c r="E63" s="55"/>
      <c r="F63" s="51">
        <f t="shared" ca="1" si="2"/>
        <v>0</v>
      </c>
      <c r="G63" s="51"/>
      <c r="H63" s="49">
        <f t="shared" ca="1" si="3"/>
        <v>0</v>
      </c>
      <c r="I63" s="53">
        <f t="shared" ca="1" si="0"/>
        <v>0</v>
      </c>
      <c r="J63" s="58"/>
      <c r="K63" s="58"/>
    </row>
    <row r="64" spans="1:11" s="41" customFormat="1" ht="15">
      <c r="A64" s="50">
        <v>4</v>
      </c>
      <c r="B64" s="51" t="str">
        <f ca="1">IF($A64="","",NumList())</f>
        <v>2.2.3.1</v>
      </c>
      <c r="C64" s="61" t="s">
        <v>56</v>
      </c>
      <c r="D64" s="55">
        <f t="shared" ca="1" si="1"/>
        <v>1</v>
      </c>
      <c r="E64" s="55"/>
      <c r="F64" s="51">
        <f t="shared" ca="1" si="2"/>
        <v>77</v>
      </c>
      <c r="G64" s="51" t="s">
        <v>6</v>
      </c>
      <c r="H64" s="49">
        <f t="shared" ca="1" si="3"/>
        <v>54</v>
      </c>
      <c r="I64" s="53">
        <f t="shared" ca="1" si="0"/>
        <v>4158</v>
      </c>
      <c r="J64" s="58"/>
      <c r="K64" s="58"/>
    </row>
    <row r="65" spans="1:11" s="41" customFormat="1" ht="15">
      <c r="A65" s="50">
        <v>4</v>
      </c>
      <c r="B65" s="51" t="str">
        <f ca="1">IF($A65="","",NumList())</f>
        <v>2.2.3.2</v>
      </c>
      <c r="C65" s="61" t="s">
        <v>57</v>
      </c>
      <c r="D65" s="55">
        <f t="shared" ca="1" si="1"/>
        <v>1</v>
      </c>
      <c r="E65" s="55"/>
      <c r="F65" s="51">
        <f t="shared" ca="1" si="2"/>
        <v>7</v>
      </c>
      <c r="G65" s="51" t="s">
        <v>6</v>
      </c>
      <c r="H65" s="49">
        <f t="shared" ca="1" si="3"/>
        <v>82</v>
      </c>
      <c r="I65" s="53">
        <f t="shared" ca="1" si="0"/>
        <v>574</v>
      </c>
      <c r="J65" s="58"/>
      <c r="K65" s="58"/>
    </row>
    <row r="66" spans="1:11" s="41" customFormat="1" ht="15">
      <c r="A66" s="50">
        <v>4</v>
      </c>
      <c r="B66" s="51" t="str">
        <f ca="1">IF($A66="","",NumList())</f>
        <v>2.2.3.3</v>
      </c>
      <c r="C66" s="61" t="s">
        <v>58</v>
      </c>
      <c r="D66" s="55">
        <f t="shared" ca="1" si="1"/>
        <v>1</v>
      </c>
      <c r="E66" s="55"/>
      <c r="F66" s="51">
        <f t="shared" ca="1" si="2"/>
        <v>51</v>
      </c>
      <c r="G66" s="51" t="s">
        <v>6</v>
      </c>
      <c r="H66" s="49">
        <f t="shared" ca="1" si="3"/>
        <v>37</v>
      </c>
      <c r="I66" s="53">
        <f t="shared" ca="1" si="0"/>
        <v>1887</v>
      </c>
      <c r="J66" s="58"/>
      <c r="K66" s="58"/>
    </row>
    <row r="67" spans="1:11" s="41" customFormat="1" ht="15">
      <c r="A67" s="50">
        <v>3</v>
      </c>
      <c r="B67" s="51" t="str">
        <f ca="1">IF($A67="","",NumList())</f>
        <v>2.2.4</v>
      </c>
      <c r="C67" s="61" t="s">
        <v>271</v>
      </c>
      <c r="D67" s="55">
        <f t="shared" ca="1" si="1"/>
        <v>0</v>
      </c>
      <c r="E67" s="55"/>
      <c r="F67" s="51">
        <f t="shared" ca="1" si="2"/>
        <v>0</v>
      </c>
      <c r="G67" s="51"/>
      <c r="H67" s="49">
        <f t="shared" ca="1" si="3"/>
        <v>0</v>
      </c>
      <c r="I67" s="53">
        <f t="shared" ca="1" si="0"/>
        <v>0</v>
      </c>
      <c r="J67" s="58"/>
      <c r="K67" s="58"/>
    </row>
    <row r="68" spans="1:11" s="41" customFormat="1" ht="15">
      <c r="A68" s="50">
        <v>4</v>
      </c>
      <c r="B68" s="51" t="str">
        <f ca="1">IF($A68="","",NumList())</f>
        <v>2.2.4.1</v>
      </c>
      <c r="C68" s="61" t="s">
        <v>56</v>
      </c>
      <c r="D68" s="55">
        <f t="shared" ca="1" si="1"/>
        <v>1</v>
      </c>
      <c r="E68" s="55"/>
      <c r="F68" s="51">
        <f t="shared" ca="1" si="2"/>
        <v>51</v>
      </c>
      <c r="G68" s="51" t="s">
        <v>6</v>
      </c>
      <c r="H68" s="49">
        <f t="shared" ca="1" si="3"/>
        <v>65</v>
      </c>
      <c r="I68" s="53">
        <f t="shared" ca="1" si="0"/>
        <v>3315</v>
      </c>
      <c r="J68" s="58"/>
      <c r="K68" s="58"/>
    </row>
    <row r="69" spans="1:11" s="41" customFormat="1" ht="15">
      <c r="A69" s="50">
        <v>4</v>
      </c>
      <c r="B69" s="51" t="str">
        <f ca="1">IF($A69="","",NumList())</f>
        <v>2.2.4.2</v>
      </c>
      <c r="C69" s="61" t="s">
        <v>57</v>
      </c>
      <c r="D69" s="55">
        <f t="shared" ca="1" si="1"/>
        <v>1</v>
      </c>
      <c r="E69" s="55"/>
      <c r="F69" s="51">
        <f t="shared" ca="1" si="2"/>
        <v>12</v>
      </c>
      <c r="G69" s="51" t="s">
        <v>6</v>
      </c>
      <c r="H69" s="49">
        <f t="shared" ca="1" si="3"/>
        <v>20</v>
      </c>
      <c r="I69" s="53">
        <f t="shared" ca="1" si="0"/>
        <v>240</v>
      </c>
      <c r="J69" s="58"/>
      <c r="K69" s="58"/>
    </row>
    <row r="70" spans="1:11" s="41" customFormat="1" ht="15">
      <c r="A70" s="50">
        <v>4</v>
      </c>
      <c r="B70" s="51" t="str">
        <f ca="1">IF($A70="","",NumList())</f>
        <v>2.2.4.3</v>
      </c>
      <c r="C70" s="61" t="s">
        <v>58</v>
      </c>
      <c r="D70" s="55">
        <f t="shared" ca="1" si="1"/>
        <v>1</v>
      </c>
      <c r="E70" s="55"/>
      <c r="F70" s="51">
        <f t="shared" ca="1" si="2"/>
        <v>62</v>
      </c>
      <c r="G70" s="51" t="s">
        <v>6</v>
      </c>
      <c r="H70" s="49">
        <f t="shared" ca="1" si="3"/>
        <v>14</v>
      </c>
      <c r="I70" s="53">
        <f t="shared" ca="1" si="0"/>
        <v>868</v>
      </c>
      <c r="J70" s="58"/>
      <c r="K70" s="58"/>
    </row>
    <row r="71" spans="1:11" s="41" customFormat="1" ht="15">
      <c r="A71" s="50" t="s">
        <v>516</v>
      </c>
      <c r="B71" s="51" t="str">
        <f>IF($A71="","",NumList())</f>
        <v/>
      </c>
      <c r="C71" s="54"/>
      <c r="D71" s="55">
        <f t="shared" ca="1" si="1"/>
        <v>0</v>
      </c>
      <c r="E71" s="55"/>
      <c r="F71" s="51">
        <f t="shared" ca="1" si="2"/>
        <v>0</v>
      </c>
      <c r="G71" s="51"/>
      <c r="H71" s="49">
        <f t="shared" ca="1" si="3"/>
        <v>0</v>
      </c>
      <c r="I71" s="53">
        <f t="shared" ca="1" si="0"/>
        <v>0</v>
      </c>
      <c r="J71" s="58"/>
      <c r="K71" s="58"/>
    </row>
    <row r="72" spans="1:11" s="41" customFormat="1" ht="28.5">
      <c r="A72" s="50">
        <v>2</v>
      </c>
      <c r="B72" s="51" t="str">
        <f ca="1">IF($A72="","",NumList())</f>
        <v>2.3</v>
      </c>
      <c r="C72" s="61" t="s">
        <v>392</v>
      </c>
      <c r="D72" s="55">
        <f t="shared" ca="1" si="1"/>
        <v>0</v>
      </c>
      <c r="E72" s="55"/>
      <c r="F72" s="51">
        <f t="shared" ca="1" si="2"/>
        <v>0</v>
      </c>
      <c r="G72" s="51"/>
      <c r="H72" s="49">
        <f t="shared" ca="1" si="3"/>
        <v>0</v>
      </c>
      <c r="I72" s="53">
        <f t="shared" ca="1" si="0"/>
        <v>0</v>
      </c>
      <c r="J72" s="58"/>
      <c r="K72" s="58"/>
    </row>
    <row r="73" spans="1:11" s="41" customFormat="1" ht="15">
      <c r="A73" s="50">
        <v>3</v>
      </c>
      <c r="B73" s="51" t="str">
        <f ca="1">IF($A73="","",NumList())</f>
        <v>2.3.1</v>
      </c>
      <c r="C73" s="61" t="s">
        <v>35</v>
      </c>
      <c r="D73" s="55">
        <f t="shared" ca="1" si="1"/>
        <v>1</v>
      </c>
      <c r="E73" s="55"/>
      <c r="F73" s="51">
        <f t="shared" ca="1" si="2"/>
        <v>77</v>
      </c>
      <c r="G73" s="51" t="s">
        <v>6</v>
      </c>
      <c r="H73" s="49">
        <f t="shared" ca="1" si="3"/>
        <v>73</v>
      </c>
      <c r="I73" s="53">
        <f t="shared" ca="1" si="0"/>
        <v>5621</v>
      </c>
      <c r="J73" s="58"/>
      <c r="K73" s="58"/>
    </row>
    <row r="74" spans="1:11" s="41" customFormat="1" ht="15">
      <c r="A74" s="50">
        <v>3</v>
      </c>
      <c r="B74" s="51" t="str">
        <f ca="1">IF($A74="","",NumList())</f>
        <v>2.3.2</v>
      </c>
      <c r="C74" s="61" t="s">
        <v>269</v>
      </c>
      <c r="D74" s="55">
        <f t="shared" ca="1" si="1"/>
        <v>1</v>
      </c>
      <c r="E74" s="55"/>
      <c r="F74" s="51">
        <f t="shared" ca="1" si="2"/>
        <v>47</v>
      </c>
      <c r="G74" s="51" t="s">
        <v>6</v>
      </c>
      <c r="H74" s="49">
        <f t="shared" ca="1" si="3"/>
        <v>29</v>
      </c>
      <c r="I74" s="53">
        <f t="shared" ca="1" si="0"/>
        <v>1363</v>
      </c>
      <c r="J74" s="58"/>
      <c r="K74" s="58"/>
    </row>
    <row r="75" spans="1:11" s="41" customFormat="1" ht="15">
      <c r="A75" s="50">
        <v>3</v>
      </c>
      <c r="B75" s="51" t="str">
        <f ca="1">IF($A75="","",NumList())</f>
        <v>2.3.3</v>
      </c>
      <c r="C75" s="61" t="s">
        <v>270</v>
      </c>
      <c r="D75" s="55">
        <f t="shared" ca="1" si="1"/>
        <v>1</v>
      </c>
      <c r="E75" s="55"/>
      <c r="F75" s="51">
        <f t="shared" ca="1" si="2"/>
        <v>12</v>
      </c>
      <c r="G75" s="51" t="s">
        <v>6</v>
      </c>
      <c r="H75" s="49">
        <f t="shared" ca="1" si="3"/>
        <v>29</v>
      </c>
      <c r="I75" s="53">
        <f t="shared" ca="1" si="0"/>
        <v>348</v>
      </c>
      <c r="J75" s="58"/>
      <c r="K75" s="58"/>
    </row>
    <row r="76" spans="1:11" s="41" customFormat="1" ht="15">
      <c r="A76" s="50">
        <v>3</v>
      </c>
      <c r="B76" s="51" t="str">
        <f ca="1">IF($A76="","",NumList())</f>
        <v>2.3.4</v>
      </c>
      <c r="C76" s="61" t="s">
        <v>271</v>
      </c>
      <c r="D76" s="55">
        <f t="shared" ca="1" si="1"/>
        <v>1</v>
      </c>
      <c r="E76" s="55"/>
      <c r="F76" s="51">
        <f t="shared" ca="1" si="2"/>
        <v>2</v>
      </c>
      <c r="G76" s="51" t="s">
        <v>6</v>
      </c>
      <c r="H76" s="49">
        <f t="shared" ca="1" si="3"/>
        <v>94</v>
      </c>
      <c r="I76" s="53">
        <f t="shared" ca="1" si="0"/>
        <v>188</v>
      </c>
      <c r="J76" s="58"/>
      <c r="K76" s="58"/>
    </row>
    <row r="77" spans="1:11" s="41" customFormat="1" ht="15">
      <c r="A77" s="50" t="s">
        <v>516</v>
      </c>
      <c r="B77" s="51" t="str">
        <f>IF($A77="","",NumList())</f>
        <v/>
      </c>
      <c r="C77" s="61"/>
      <c r="D77" s="55">
        <f t="shared" ca="1" si="1"/>
        <v>0</v>
      </c>
      <c r="E77" s="55"/>
      <c r="F77" s="51">
        <f t="shared" ca="1" si="2"/>
        <v>0</v>
      </c>
      <c r="G77" s="51"/>
      <c r="H77" s="49">
        <f t="shared" ca="1" si="3"/>
        <v>0</v>
      </c>
      <c r="I77" s="53">
        <f t="shared" ca="1" si="0"/>
        <v>0</v>
      </c>
      <c r="J77" s="58"/>
      <c r="K77" s="58"/>
    </row>
    <row r="78" spans="1:11" s="41" customFormat="1" ht="28.5">
      <c r="A78" s="50">
        <v>2</v>
      </c>
      <c r="B78" s="51" t="str">
        <f ca="1">IF($A78="","",NumList())</f>
        <v>2.4</v>
      </c>
      <c r="C78" s="61" t="s">
        <v>393</v>
      </c>
      <c r="D78" s="55">
        <f t="shared" ca="1" si="1"/>
        <v>0</v>
      </c>
      <c r="E78" s="55"/>
      <c r="F78" s="51">
        <f t="shared" ca="1" si="2"/>
        <v>0</v>
      </c>
      <c r="G78" s="51"/>
      <c r="H78" s="49">
        <f t="shared" ca="1" si="3"/>
        <v>0</v>
      </c>
      <c r="I78" s="53">
        <f t="shared" ca="1" si="0"/>
        <v>0</v>
      </c>
      <c r="J78" s="58"/>
      <c r="K78" s="58"/>
    </row>
    <row r="79" spans="1:11" s="41" customFormat="1" ht="15">
      <c r="A79" s="50">
        <v>3</v>
      </c>
      <c r="B79" s="51" t="str">
        <f ca="1">IF($A79="","",NumList())</f>
        <v>2.4.1</v>
      </c>
      <c r="C79" s="61" t="s">
        <v>35</v>
      </c>
      <c r="D79" s="55">
        <f t="shared" ca="1" si="1"/>
        <v>1</v>
      </c>
      <c r="E79" s="55"/>
      <c r="F79" s="51">
        <f t="shared" ca="1" si="2"/>
        <v>64</v>
      </c>
      <c r="G79" s="51" t="s">
        <v>6</v>
      </c>
      <c r="H79" s="49">
        <f t="shared" ca="1" si="3"/>
        <v>62</v>
      </c>
      <c r="I79" s="53">
        <f t="shared" ca="1" si="0"/>
        <v>3968</v>
      </c>
      <c r="J79" s="58"/>
      <c r="K79" s="58"/>
    </row>
    <row r="80" spans="1:11" s="41" customFormat="1" ht="15">
      <c r="A80" s="50">
        <v>3</v>
      </c>
      <c r="B80" s="51" t="str">
        <f ca="1">IF($A80="","",NumList())</f>
        <v>2.4.2</v>
      </c>
      <c r="C80" s="61" t="s">
        <v>269</v>
      </c>
      <c r="D80" s="55">
        <f t="shared" ca="1" si="1"/>
        <v>1</v>
      </c>
      <c r="E80" s="55"/>
      <c r="F80" s="51">
        <f t="shared" ca="1" si="2"/>
        <v>28</v>
      </c>
      <c r="G80" s="51" t="s">
        <v>6</v>
      </c>
      <c r="H80" s="49">
        <f t="shared" ca="1" si="3"/>
        <v>54</v>
      </c>
      <c r="I80" s="53">
        <f t="shared" ca="1" si="0"/>
        <v>1512</v>
      </c>
      <c r="J80" s="58"/>
      <c r="K80" s="58"/>
    </row>
    <row r="81" spans="1:11" s="41" customFormat="1" ht="15">
      <c r="A81" s="50">
        <v>3</v>
      </c>
      <c r="B81" s="51" t="str">
        <f ca="1">IF($A81="","",NumList())</f>
        <v>2.4.3</v>
      </c>
      <c r="C81" s="61" t="s">
        <v>270</v>
      </c>
      <c r="D81" s="55">
        <f t="shared" ca="1" si="1"/>
        <v>1</v>
      </c>
      <c r="E81" s="55"/>
      <c r="F81" s="51">
        <f t="shared" ca="1" si="2"/>
        <v>65</v>
      </c>
      <c r="G81" s="51" t="s">
        <v>6</v>
      </c>
      <c r="H81" s="49">
        <f t="shared" ca="1" si="3"/>
        <v>100</v>
      </c>
      <c r="I81" s="53">
        <f t="shared" ca="1" si="0"/>
        <v>6500</v>
      </c>
      <c r="J81" s="58"/>
      <c r="K81" s="58"/>
    </row>
    <row r="82" spans="1:11" s="41" customFormat="1" ht="15">
      <c r="A82" s="50">
        <v>3</v>
      </c>
      <c r="B82" s="51" t="str">
        <f ca="1">IF($A82="","",NumList())</f>
        <v>2.4.4</v>
      </c>
      <c r="C82" s="61" t="s">
        <v>271</v>
      </c>
      <c r="D82" s="55">
        <f t="shared" ca="1" si="1"/>
        <v>1</v>
      </c>
      <c r="E82" s="55"/>
      <c r="F82" s="51">
        <f t="shared" ca="1" si="2"/>
        <v>86</v>
      </c>
      <c r="G82" s="51" t="s">
        <v>6</v>
      </c>
      <c r="H82" s="49">
        <f t="shared" ca="1" si="3"/>
        <v>56</v>
      </c>
      <c r="I82" s="53">
        <f t="shared" ca="1" si="0"/>
        <v>4816</v>
      </c>
      <c r="J82" s="58"/>
      <c r="K82" s="58"/>
    </row>
    <row r="83" spans="1:11" s="41" customFormat="1" ht="15">
      <c r="A83" s="50" t="s">
        <v>516</v>
      </c>
      <c r="B83" s="51" t="str">
        <f>IF($A83="","",NumList())</f>
        <v/>
      </c>
      <c r="C83" s="61"/>
      <c r="D83" s="55">
        <f t="shared" ca="1" si="1"/>
        <v>0</v>
      </c>
      <c r="E83" s="55"/>
      <c r="F83" s="51">
        <f t="shared" ca="1" si="2"/>
        <v>0</v>
      </c>
      <c r="G83" s="51"/>
      <c r="H83" s="49">
        <f t="shared" ca="1" si="3"/>
        <v>0</v>
      </c>
      <c r="I83" s="53">
        <f t="shared" ca="1" si="0"/>
        <v>0</v>
      </c>
      <c r="J83" s="58"/>
      <c r="K83" s="58"/>
    </row>
    <row r="84" spans="1:11" s="41" customFormat="1" ht="28.5">
      <c r="A84" s="50">
        <v>2</v>
      </c>
      <c r="B84" s="51" t="str">
        <f ca="1">IF($A84="","",NumList())</f>
        <v>2.5</v>
      </c>
      <c r="C84" s="61" t="s">
        <v>421</v>
      </c>
      <c r="D84" s="55">
        <f t="shared" ca="1" si="1"/>
        <v>0</v>
      </c>
      <c r="E84" s="55"/>
      <c r="F84" s="51">
        <f t="shared" ca="1" si="2"/>
        <v>0</v>
      </c>
      <c r="G84" s="51"/>
      <c r="H84" s="49">
        <f t="shared" ca="1" si="3"/>
        <v>0</v>
      </c>
      <c r="I84" s="53">
        <f t="shared" ca="1" si="0"/>
        <v>0</v>
      </c>
      <c r="J84" s="58" t="s">
        <v>420</v>
      </c>
      <c r="K84" s="58"/>
    </row>
    <row r="85" spans="1:11" s="41" customFormat="1" ht="15">
      <c r="A85" s="50">
        <v>3</v>
      </c>
      <c r="B85" s="51" t="str">
        <f ca="1">IF($A85="","",NumList())</f>
        <v>2.5.1</v>
      </c>
      <c r="C85" s="61" t="s">
        <v>35</v>
      </c>
      <c r="D85" s="55">
        <f t="shared" ca="1" si="1"/>
        <v>1</v>
      </c>
      <c r="E85" s="55"/>
      <c r="F85" s="51">
        <f t="shared" ca="1" si="2"/>
        <v>84</v>
      </c>
      <c r="G85" s="51" t="s">
        <v>6</v>
      </c>
      <c r="H85" s="49">
        <f t="shared" ca="1" si="3"/>
        <v>69</v>
      </c>
      <c r="I85" s="53">
        <f t="shared" ca="1" si="0"/>
        <v>5796</v>
      </c>
      <c r="J85" s="58"/>
      <c r="K85" s="58"/>
    </row>
    <row r="86" spans="1:11" s="41" customFormat="1" ht="15">
      <c r="A86" s="50">
        <v>3</v>
      </c>
      <c r="B86" s="51" t="str">
        <f ca="1">IF($A86="","",NumList())</f>
        <v>2.5.2</v>
      </c>
      <c r="C86" s="61" t="s">
        <v>269</v>
      </c>
      <c r="D86" s="55">
        <f t="shared" ca="1" si="1"/>
        <v>1</v>
      </c>
      <c r="E86" s="55"/>
      <c r="F86" s="51">
        <f t="shared" ca="1" si="2"/>
        <v>30</v>
      </c>
      <c r="G86" s="51" t="s">
        <v>6</v>
      </c>
      <c r="H86" s="49">
        <f t="shared" ca="1" si="3"/>
        <v>79</v>
      </c>
      <c r="I86" s="53">
        <f t="shared" ca="1" si="0"/>
        <v>2370</v>
      </c>
      <c r="J86" s="58"/>
      <c r="K86" s="58"/>
    </row>
    <row r="87" spans="1:11" s="41" customFormat="1" ht="15">
      <c r="A87" s="50">
        <v>3</v>
      </c>
      <c r="B87" s="51" t="str">
        <f ca="1">IF($A87="","",NumList())</f>
        <v>2.5.3</v>
      </c>
      <c r="C87" s="61" t="s">
        <v>270</v>
      </c>
      <c r="D87" s="55">
        <f t="shared" ca="1" si="1"/>
        <v>1</v>
      </c>
      <c r="E87" s="55"/>
      <c r="F87" s="51">
        <f t="shared" ca="1" si="2"/>
        <v>70</v>
      </c>
      <c r="G87" s="51" t="s">
        <v>6</v>
      </c>
      <c r="H87" s="49">
        <f t="shared" ca="1" si="3"/>
        <v>77</v>
      </c>
      <c r="I87" s="53">
        <f t="shared" ca="1" si="0"/>
        <v>5390</v>
      </c>
      <c r="J87" s="58"/>
      <c r="K87" s="58"/>
    </row>
    <row r="88" spans="1:11" s="41" customFormat="1" ht="15">
      <c r="A88" s="50">
        <v>3</v>
      </c>
      <c r="B88" s="51" t="str">
        <f ca="1">IF($A88="","",NumList())</f>
        <v>2.5.4</v>
      </c>
      <c r="C88" s="61" t="s">
        <v>271</v>
      </c>
      <c r="D88" s="55">
        <f t="shared" ca="1" si="1"/>
        <v>1</v>
      </c>
      <c r="E88" s="55"/>
      <c r="F88" s="51">
        <f t="shared" ca="1" si="2"/>
        <v>2</v>
      </c>
      <c r="G88" s="51" t="s">
        <v>6</v>
      </c>
      <c r="H88" s="49">
        <f t="shared" ca="1" si="3"/>
        <v>43</v>
      </c>
      <c r="I88" s="53">
        <f t="shared" ref="I88:I151" ca="1" si="4">F88*H88</f>
        <v>86</v>
      </c>
      <c r="J88" s="58"/>
      <c r="K88" s="58"/>
    </row>
    <row r="89" spans="1:11" s="41" customFormat="1" ht="15">
      <c r="A89" s="50" t="s">
        <v>516</v>
      </c>
      <c r="B89" s="51" t="str">
        <f>IF($A89="","",NumList())</f>
        <v/>
      </c>
      <c r="C89" s="61"/>
      <c r="D89" s="55">
        <f t="shared" ca="1" si="1"/>
        <v>0</v>
      </c>
      <c r="E89" s="55"/>
      <c r="F89" s="51">
        <f t="shared" ca="1" si="2"/>
        <v>0</v>
      </c>
      <c r="G89" s="51"/>
      <c r="H89" s="49">
        <f t="shared" ca="1" si="3"/>
        <v>0</v>
      </c>
      <c r="I89" s="53">
        <f t="shared" ca="1" si="4"/>
        <v>0</v>
      </c>
      <c r="J89" s="58"/>
      <c r="K89" s="58"/>
    </row>
    <row r="90" spans="1:11" s="41" customFormat="1" ht="28.5">
      <c r="A90" s="50">
        <v>2</v>
      </c>
      <c r="B90" s="51" t="str">
        <f ca="1">IF($A90="","",NumList())</f>
        <v>2.6</v>
      </c>
      <c r="C90" s="61" t="s">
        <v>419</v>
      </c>
      <c r="D90" s="55">
        <f t="shared" ca="1" si="1"/>
        <v>0</v>
      </c>
      <c r="E90" s="55"/>
      <c r="F90" s="51">
        <f t="shared" ca="1" si="2"/>
        <v>0</v>
      </c>
      <c r="G90" s="51"/>
      <c r="H90" s="49">
        <f t="shared" ca="1" si="3"/>
        <v>0</v>
      </c>
      <c r="I90" s="53">
        <f t="shared" ca="1" si="4"/>
        <v>0</v>
      </c>
      <c r="J90" s="58" t="s">
        <v>418</v>
      </c>
      <c r="K90" s="58"/>
    </row>
    <row r="91" spans="1:11" s="41" customFormat="1" ht="15">
      <c r="A91" s="50">
        <v>3</v>
      </c>
      <c r="B91" s="51" t="str">
        <f ca="1">IF($A91="","",NumList())</f>
        <v>2.6.1</v>
      </c>
      <c r="C91" s="61" t="s">
        <v>415</v>
      </c>
      <c r="D91" s="55">
        <f t="shared" ca="1" si="1"/>
        <v>1</v>
      </c>
      <c r="E91" s="55"/>
      <c r="F91" s="51">
        <f t="shared" ca="1" si="2"/>
        <v>83</v>
      </c>
      <c r="G91" s="51" t="s">
        <v>6</v>
      </c>
      <c r="H91" s="49">
        <f t="shared" ca="1" si="3"/>
        <v>18</v>
      </c>
      <c r="I91" s="53">
        <f t="shared" ca="1" si="4"/>
        <v>1494</v>
      </c>
      <c r="J91" s="58"/>
      <c r="K91" s="58"/>
    </row>
    <row r="92" spans="1:11" s="41" customFormat="1" ht="15">
      <c r="A92" s="50">
        <v>3</v>
      </c>
      <c r="B92" s="51" t="str">
        <f ca="1">IF($A92="","",NumList())</f>
        <v>2.6.2</v>
      </c>
      <c r="C92" s="61" t="s">
        <v>416</v>
      </c>
      <c r="D92" s="55">
        <f t="shared" ref="D92:D155" ca="1" si="5">IF(ISTEXT(G92),RANDBETWEEN(1,1),0)</f>
        <v>1</v>
      </c>
      <c r="E92" s="55"/>
      <c r="F92" s="51">
        <f t="shared" ref="F92:F155" ca="1" si="6">IF(ISTEXT(G92),RANDBETWEEN(1,100),0)</f>
        <v>1</v>
      </c>
      <c r="G92" s="51" t="s">
        <v>6</v>
      </c>
      <c r="H92" s="49">
        <f t="shared" ref="H92:H155" ca="1" si="7">IF(ISTEXT(G92),RANDBETWEEN(1,100),0)</f>
        <v>14</v>
      </c>
      <c r="I92" s="53">
        <f t="shared" ca="1" si="4"/>
        <v>14</v>
      </c>
      <c r="J92" s="58"/>
      <c r="K92" s="58"/>
    </row>
    <row r="93" spans="1:11" s="41" customFormat="1" ht="15">
      <c r="A93" s="50">
        <v>3</v>
      </c>
      <c r="B93" s="51" t="str">
        <f ca="1">IF($A93="","",NumList())</f>
        <v>2.6.3</v>
      </c>
      <c r="C93" s="61" t="s">
        <v>417</v>
      </c>
      <c r="D93" s="55">
        <f t="shared" ca="1" si="5"/>
        <v>1</v>
      </c>
      <c r="E93" s="55"/>
      <c r="F93" s="51">
        <f t="shared" ca="1" si="6"/>
        <v>45</v>
      </c>
      <c r="G93" s="51" t="s">
        <v>6</v>
      </c>
      <c r="H93" s="49">
        <f t="shared" ca="1" si="7"/>
        <v>32</v>
      </c>
      <c r="I93" s="53">
        <f t="shared" ca="1" si="4"/>
        <v>1440</v>
      </c>
      <c r="J93" s="58"/>
      <c r="K93" s="58"/>
    </row>
    <row r="94" spans="1:11" s="41" customFormat="1" ht="15">
      <c r="A94" s="50">
        <v>3</v>
      </c>
      <c r="B94" s="51" t="str">
        <f ca="1">IF($A94="","",NumList())</f>
        <v>2.6.4</v>
      </c>
      <c r="C94" s="61" t="s">
        <v>271</v>
      </c>
      <c r="D94" s="55">
        <f t="shared" ca="1" si="5"/>
        <v>1</v>
      </c>
      <c r="E94" s="55"/>
      <c r="F94" s="51">
        <f t="shared" ca="1" si="6"/>
        <v>33</v>
      </c>
      <c r="G94" s="51" t="s">
        <v>6</v>
      </c>
      <c r="H94" s="49">
        <f t="shared" ca="1" si="7"/>
        <v>36</v>
      </c>
      <c r="I94" s="53">
        <f t="shared" ca="1" si="4"/>
        <v>1188</v>
      </c>
      <c r="J94" s="58"/>
      <c r="K94" s="58"/>
    </row>
    <row r="95" spans="1:11" s="41" customFormat="1" ht="15">
      <c r="A95" s="50" t="s">
        <v>516</v>
      </c>
      <c r="B95" s="51" t="str">
        <f>IF($A95="","",NumList())</f>
        <v/>
      </c>
      <c r="C95" s="61"/>
      <c r="D95" s="55">
        <f t="shared" ca="1" si="5"/>
        <v>0</v>
      </c>
      <c r="E95" s="55"/>
      <c r="F95" s="51">
        <f t="shared" ca="1" si="6"/>
        <v>0</v>
      </c>
      <c r="G95" s="51"/>
      <c r="H95" s="49">
        <f t="shared" ca="1" si="7"/>
        <v>0</v>
      </c>
      <c r="I95" s="53">
        <f t="shared" ca="1" si="4"/>
        <v>0</v>
      </c>
      <c r="J95" s="58"/>
      <c r="K95" s="58"/>
    </row>
    <row r="96" spans="1:11" s="41" customFormat="1" ht="30">
      <c r="A96" s="50">
        <v>2</v>
      </c>
      <c r="B96" s="51" t="str">
        <f ca="1">IF($A96="","",NumList())</f>
        <v>2.7</v>
      </c>
      <c r="C96" s="61" t="s">
        <v>604</v>
      </c>
      <c r="D96" s="55">
        <f t="shared" ca="1" si="5"/>
        <v>1</v>
      </c>
      <c r="E96" s="55"/>
      <c r="F96" s="51">
        <f t="shared" ca="1" si="6"/>
        <v>87</v>
      </c>
      <c r="G96" s="51" t="s">
        <v>289</v>
      </c>
      <c r="H96" s="49">
        <f t="shared" ca="1" si="7"/>
        <v>8</v>
      </c>
      <c r="I96" s="53">
        <f t="shared" ca="1" si="4"/>
        <v>696</v>
      </c>
      <c r="J96" s="58"/>
      <c r="K96" s="58"/>
    </row>
    <row r="97" spans="1:11" s="41" customFormat="1" ht="15">
      <c r="A97" s="50" t="s">
        <v>516</v>
      </c>
      <c r="B97" s="51" t="str">
        <f>IF($A97="","",NumList())</f>
        <v/>
      </c>
      <c r="C97" s="61"/>
      <c r="D97" s="55">
        <f t="shared" ca="1" si="5"/>
        <v>0</v>
      </c>
      <c r="E97" s="55"/>
      <c r="F97" s="51">
        <f t="shared" ca="1" si="6"/>
        <v>0</v>
      </c>
      <c r="G97" s="51"/>
      <c r="H97" s="49">
        <f t="shared" ca="1" si="7"/>
        <v>0</v>
      </c>
      <c r="I97" s="53">
        <f t="shared" ca="1" si="4"/>
        <v>0</v>
      </c>
      <c r="J97" s="58"/>
      <c r="K97" s="58"/>
    </row>
    <row r="98" spans="1:11" s="41" customFormat="1" ht="51" customHeight="1">
      <c r="A98" s="50">
        <v>1</v>
      </c>
      <c r="B98" s="51">
        <f ca="1">IF($A98="","",NumList())</f>
        <v>3</v>
      </c>
      <c r="C98" s="63" t="s">
        <v>586</v>
      </c>
      <c r="D98" s="55">
        <f t="shared" ca="1" si="5"/>
        <v>0</v>
      </c>
      <c r="E98" s="48"/>
      <c r="F98" s="51">
        <f t="shared" ca="1" si="6"/>
        <v>0</v>
      </c>
      <c r="G98" s="46"/>
      <c r="H98" s="49">
        <f t="shared" ca="1" si="7"/>
        <v>0</v>
      </c>
      <c r="I98" s="53">
        <f t="shared" ca="1" si="4"/>
        <v>0</v>
      </c>
    </row>
    <row r="99" spans="1:11" s="41" customFormat="1" ht="29.25">
      <c r="A99" s="50">
        <v>2</v>
      </c>
      <c r="B99" s="51" t="str">
        <f ca="1">IF($A99="","",NumList())</f>
        <v>3.1</v>
      </c>
      <c r="C99" s="79" t="s">
        <v>399</v>
      </c>
      <c r="D99" s="55">
        <f t="shared" ca="1" si="5"/>
        <v>0</v>
      </c>
      <c r="E99" s="55"/>
      <c r="F99" s="51">
        <f t="shared" ca="1" si="6"/>
        <v>0</v>
      </c>
      <c r="G99" s="51"/>
      <c r="H99" s="49">
        <f t="shared" ca="1" si="7"/>
        <v>0</v>
      </c>
      <c r="I99" s="53">
        <f t="shared" ca="1" si="4"/>
        <v>0</v>
      </c>
      <c r="J99" s="58"/>
      <c r="K99" s="58"/>
    </row>
    <row r="100" spans="1:11" s="41" customFormat="1" ht="15">
      <c r="A100" s="50">
        <v>3</v>
      </c>
      <c r="B100" s="51" t="str">
        <f ca="1">IF($A100="","",NumList())</f>
        <v>3.1.1</v>
      </c>
      <c r="C100" s="61" t="s">
        <v>56</v>
      </c>
      <c r="D100" s="55">
        <f t="shared" ca="1" si="5"/>
        <v>1</v>
      </c>
      <c r="E100" s="55"/>
      <c r="F100" s="51">
        <f t="shared" ca="1" si="6"/>
        <v>57</v>
      </c>
      <c r="G100" s="51" t="s">
        <v>8</v>
      </c>
      <c r="H100" s="49">
        <f t="shared" ca="1" si="7"/>
        <v>63</v>
      </c>
      <c r="I100" s="53">
        <f t="shared" ca="1" si="4"/>
        <v>3591</v>
      </c>
      <c r="J100" s="58"/>
      <c r="K100" s="58"/>
    </row>
    <row r="101" spans="1:11" s="41" customFormat="1" ht="15">
      <c r="A101" s="50">
        <v>3</v>
      </c>
      <c r="B101" s="51" t="str">
        <f ca="1">IF($A101="","",NumList())</f>
        <v>3.1.2</v>
      </c>
      <c r="C101" s="61" t="s">
        <v>57</v>
      </c>
      <c r="D101" s="55">
        <f t="shared" ca="1" si="5"/>
        <v>1</v>
      </c>
      <c r="E101" s="55"/>
      <c r="F101" s="51">
        <f t="shared" ca="1" si="6"/>
        <v>47</v>
      </c>
      <c r="G101" s="51" t="s">
        <v>8</v>
      </c>
      <c r="H101" s="49">
        <f t="shared" ca="1" si="7"/>
        <v>13</v>
      </c>
      <c r="I101" s="53">
        <f t="shared" ca="1" si="4"/>
        <v>611</v>
      </c>
      <c r="J101" s="58"/>
      <c r="K101" s="58"/>
    </row>
    <row r="102" spans="1:11" s="41" customFormat="1" ht="15">
      <c r="A102" s="50">
        <v>3</v>
      </c>
      <c r="B102" s="51" t="str">
        <f ca="1">IF($A102="","",NumList())</f>
        <v>3.1.3</v>
      </c>
      <c r="C102" s="61" t="s">
        <v>58</v>
      </c>
      <c r="D102" s="55">
        <f t="shared" ca="1" si="5"/>
        <v>1</v>
      </c>
      <c r="E102" s="55"/>
      <c r="F102" s="51">
        <f t="shared" ca="1" si="6"/>
        <v>70</v>
      </c>
      <c r="G102" s="51" t="s">
        <v>8</v>
      </c>
      <c r="H102" s="49">
        <f t="shared" ca="1" si="7"/>
        <v>9</v>
      </c>
      <c r="I102" s="53">
        <f t="shared" ca="1" si="4"/>
        <v>630</v>
      </c>
      <c r="J102" s="58"/>
      <c r="K102" s="58"/>
    </row>
    <row r="103" spans="1:11" s="41" customFormat="1" ht="29.25">
      <c r="A103" s="50">
        <v>2</v>
      </c>
      <c r="B103" s="51" t="str">
        <f ca="1">IF($A103="","",NumList())</f>
        <v>3.2</v>
      </c>
      <c r="C103" s="79" t="s">
        <v>400</v>
      </c>
      <c r="D103" s="55">
        <f t="shared" ca="1" si="5"/>
        <v>0</v>
      </c>
      <c r="E103" s="55"/>
      <c r="F103" s="51">
        <f t="shared" ca="1" si="6"/>
        <v>0</v>
      </c>
      <c r="G103" s="51"/>
      <c r="H103" s="49">
        <f t="shared" ca="1" si="7"/>
        <v>0</v>
      </c>
      <c r="I103" s="53">
        <f t="shared" ca="1" si="4"/>
        <v>0</v>
      </c>
      <c r="J103" s="58"/>
      <c r="K103" s="58"/>
    </row>
    <row r="104" spans="1:11" s="41" customFormat="1" ht="15">
      <c r="A104" s="50">
        <v>3</v>
      </c>
      <c r="B104" s="51" t="str">
        <f ca="1">IF($A104="","",NumList())</f>
        <v>3.2.1</v>
      </c>
      <c r="C104" s="61" t="s">
        <v>56</v>
      </c>
      <c r="D104" s="55">
        <f t="shared" ca="1" si="5"/>
        <v>1</v>
      </c>
      <c r="E104" s="55"/>
      <c r="F104" s="51">
        <f t="shared" ca="1" si="6"/>
        <v>11</v>
      </c>
      <c r="G104" s="51" t="s">
        <v>8</v>
      </c>
      <c r="H104" s="49">
        <f t="shared" ca="1" si="7"/>
        <v>22</v>
      </c>
      <c r="I104" s="53">
        <f t="shared" ca="1" si="4"/>
        <v>242</v>
      </c>
      <c r="J104" s="58"/>
      <c r="K104" s="58"/>
    </row>
    <row r="105" spans="1:11" s="41" customFormat="1" ht="15">
      <c r="A105" s="50">
        <v>3</v>
      </c>
      <c r="B105" s="51" t="str">
        <f ca="1">IF($A105="","",NumList())</f>
        <v>3.2.2</v>
      </c>
      <c r="C105" s="61" t="s">
        <v>57</v>
      </c>
      <c r="D105" s="55">
        <f t="shared" ca="1" si="5"/>
        <v>1</v>
      </c>
      <c r="E105" s="55"/>
      <c r="F105" s="51">
        <f t="shared" ca="1" si="6"/>
        <v>5</v>
      </c>
      <c r="G105" s="51" t="s">
        <v>8</v>
      </c>
      <c r="H105" s="49">
        <f t="shared" ca="1" si="7"/>
        <v>67</v>
      </c>
      <c r="I105" s="53">
        <f t="shared" ca="1" si="4"/>
        <v>335</v>
      </c>
      <c r="J105" s="58"/>
      <c r="K105" s="58"/>
    </row>
    <row r="106" spans="1:11" s="41" customFormat="1" ht="15">
      <c r="A106" s="50">
        <v>3</v>
      </c>
      <c r="B106" s="51" t="str">
        <f ca="1">IF($A106="","",NumList())</f>
        <v>3.2.3</v>
      </c>
      <c r="C106" s="61" t="s">
        <v>58</v>
      </c>
      <c r="D106" s="55">
        <f t="shared" ca="1" si="5"/>
        <v>1</v>
      </c>
      <c r="E106" s="55"/>
      <c r="F106" s="51">
        <f t="shared" ca="1" si="6"/>
        <v>20</v>
      </c>
      <c r="G106" s="51" t="s">
        <v>8</v>
      </c>
      <c r="H106" s="49">
        <f t="shared" ca="1" si="7"/>
        <v>55</v>
      </c>
      <c r="I106" s="53">
        <f t="shared" ca="1" si="4"/>
        <v>1100</v>
      </c>
      <c r="J106" s="58"/>
      <c r="K106" s="58"/>
    </row>
    <row r="107" spans="1:11" s="41" customFormat="1" ht="29.25">
      <c r="A107" s="50">
        <v>2</v>
      </c>
      <c r="B107" s="51" t="str">
        <f ca="1">IF($A107="","",NumList())</f>
        <v>3.3</v>
      </c>
      <c r="C107" s="79" t="s">
        <v>401</v>
      </c>
      <c r="D107" s="55">
        <f t="shared" ca="1" si="5"/>
        <v>0</v>
      </c>
      <c r="E107" s="55"/>
      <c r="F107" s="51">
        <f t="shared" ca="1" si="6"/>
        <v>0</v>
      </c>
      <c r="G107" s="51"/>
      <c r="H107" s="49">
        <f t="shared" ca="1" si="7"/>
        <v>0</v>
      </c>
      <c r="I107" s="53">
        <f t="shared" ca="1" si="4"/>
        <v>0</v>
      </c>
      <c r="J107" s="58"/>
      <c r="K107" s="58"/>
    </row>
    <row r="108" spans="1:11" s="41" customFormat="1" ht="15">
      <c r="A108" s="50">
        <v>3</v>
      </c>
      <c r="B108" s="51" t="str">
        <f ca="1">IF($A108="","",NumList())</f>
        <v>3.3.1</v>
      </c>
      <c r="C108" s="61" t="s">
        <v>56</v>
      </c>
      <c r="D108" s="55">
        <f t="shared" ca="1" si="5"/>
        <v>1</v>
      </c>
      <c r="E108" s="55"/>
      <c r="F108" s="51">
        <f t="shared" ca="1" si="6"/>
        <v>63</v>
      </c>
      <c r="G108" s="51" t="s">
        <v>8</v>
      </c>
      <c r="H108" s="49">
        <f t="shared" ca="1" si="7"/>
        <v>65</v>
      </c>
      <c r="I108" s="53">
        <f t="shared" ca="1" si="4"/>
        <v>4095</v>
      </c>
      <c r="J108" s="58"/>
      <c r="K108" s="58"/>
    </row>
    <row r="109" spans="1:11" s="41" customFormat="1" ht="15">
      <c r="A109" s="50">
        <v>3</v>
      </c>
      <c r="B109" s="51" t="str">
        <f ca="1">IF($A109="","",NumList())</f>
        <v>3.3.2</v>
      </c>
      <c r="C109" s="61" t="s">
        <v>57</v>
      </c>
      <c r="D109" s="55">
        <f t="shared" ca="1" si="5"/>
        <v>1</v>
      </c>
      <c r="E109" s="55"/>
      <c r="F109" s="51">
        <f t="shared" ca="1" si="6"/>
        <v>76</v>
      </c>
      <c r="G109" s="51" t="s">
        <v>8</v>
      </c>
      <c r="H109" s="49">
        <f t="shared" ca="1" si="7"/>
        <v>27</v>
      </c>
      <c r="I109" s="53">
        <f t="shared" ca="1" si="4"/>
        <v>2052</v>
      </c>
      <c r="J109" s="58"/>
      <c r="K109" s="58"/>
    </row>
    <row r="110" spans="1:11" s="41" customFormat="1" ht="15">
      <c r="A110" s="50">
        <v>3</v>
      </c>
      <c r="B110" s="51" t="str">
        <f ca="1">IF($A110="","",NumList())</f>
        <v>3.3.3</v>
      </c>
      <c r="C110" s="61" t="s">
        <v>58</v>
      </c>
      <c r="D110" s="55">
        <f t="shared" ca="1" si="5"/>
        <v>1</v>
      </c>
      <c r="E110" s="55"/>
      <c r="F110" s="51">
        <f t="shared" ca="1" si="6"/>
        <v>99</v>
      </c>
      <c r="G110" s="51" t="s">
        <v>8</v>
      </c>
      <c r="H110" s="49">
        <f t="shared" ca="1" si="7"/>
        <v>60</v>
      </c>
      <c r="I110" s="53">
        <f t="shared" ca="1" si="4"/>
        <v>5940</v>
      </c>
      <c r="J110" s="58"/>
      <c r="K110" s="58"/>
    </row>
    <row r="111" spans="1:11" s="41" customFormat="1" ht="29.25">
      <c r="A111" s="50">
        <v>2</v>
      </c>
      <c r="B111" s="51" t="str">
        <f ca="1">IF($A111="","",NumList())</f>
        <v>3.4</v>
      </c>
      <c r="C111" s="79" t="s">
        <v>402</v>
      </c>
      <c r="D111" s="55">
        <f t="shared" ca="1" si="5"/>
        <v>0</v>
      </c>
      <c r="E111" s="55"/>
      <c r="F111" s="51">
        <f t="shared" ca="1" si="6"/>
        <v>0</v>
      </c>
      <c r="G111" s="51"/>
      <c r="H111" s="49">
        <f t="shared" ca="1" si="7"/>
        <v>0</v>
      </c>
      <c r="I111" s="53">
        <f t="shared" ca="1" si="4"/>
        <v>0</v>
      </c>
      <c r="J111" s="58"/>
      <c r="K111" s="58"/>
    </row>
    <row r="112" spans="1:11" s="41" customFormat="1" ht="15">
      <c r="A112" s="50">
        <v>3</v>
      </c>
      <c r="B112" s="51" t="str">
        <f ca="1">IF($A112="","",NumList())</f>
        <v>3.4.1</v>
      </c>
      <c r="C112" s="61" t="s">
        <v>56</v>
      </c>
      <c r="D112" s="55">
        <f t="shared" ca="1" si="5"/>
        <v>1</v>
      </c>
      <c r="E112" s="55"/>
      <c r="F112" s="51">
        <f t="shared" ca="1" si="6"/>
        <v>90</v>
      </c>
      <c r="G112" s="51" t="s">
        <v>8</v>
      </c>
      <c r="H112" s="49">
        <f t="shared" ca="1" si="7"/>
        <v>41</v>
      </c>
      <c r="I112" s="53">
        <f t="shared" ca="1" si="4"/>
        <v>3690</v>
      </c>
      <c r="J112" s="58"/>
      <c r="K112" s="58"/>
    </row>
    <row r="113" spans="1:11" s="41" customFormat="1" ht="15">
      <c r="A113" s="50">
        <v>3</v>
      </c>
      <c r="B113" s="51" t="str">
        <f ca="1">IF($A113="","",NumList())</f>
        <v>3.4.2</v>
      </c>
      <c r="C113" s="61" t="s">
        <v>57</v>
      </c>
      <c r="D113" s="55">
        <f t="shared" ca="1" si="5"/>
        <v>1</v>
      </c>
      <c r="E113" s="55"/>
      <c r="F113" s="51">
        <f t="shared" ca="1" si="6"/>
        <v>36</v>
      </c>
      <c r="G113" s="51" t="s">
        <v>8</v>
      </c>
      <c r="H113" s="49">
        <f t="shared" ca="1" si="7"/>
        <v>72</v>
      </c>
      <c r="I113" s="53">
        <f t="shared" ca="1" si="4"/>
        <v>2592</v>
      </c>
      <c r="J113" s="58"/>
      <c r="K113" s="58"/>
    </row>
    <row r="114" spans="1:11" s="41" customFormat="1" ht="15">
      <c r="A114" s="50">
        <v>3</v>
      </c>
      <c r="B114" s="51" t="str">
        <f ca="1">IF($A114="","",NumList())</f>
        <v>3.4.3</v>
      </c>
      <c r="C114" s="61" t="s">
        <v>58</v>
      </c>
      <c r="D114" s="55">
        <f t="shared" ca="1" si="5"/>
        <v>1</v>
      </c>
      <c r="E114" s="55"/>
      <c r="F114" s="51">
        <f t="shared" ca="1" si="6"/>
        <v>32</v>
      </c>
      <c r="G114" s="51" t="s">
        <v>8</v>
      </c>
      <c r="H114" s="49">
        <f t="shared" ca="1" si="7"/>
        <v>34</v>
      </c>
      <c r="I114" s="53">
        <f t="shared" ca="1" si="4"/>
        <v>1088</v>
      </c>
      <c r="J114" s="58"/>
      <c r="K114" s="58"/>
    </row>
    <row r="115" spans="1:11" s="41" customFormat="1" ht="29.25">
      <c r="A115" s="50">
        <v>2</v>
      </c>
      <c r="B115" s="51" t="str">
        <f ca="1">IF($A115="","",NumList())</f>
        <v>3.5</v>
      </c>
      <c r="C115" s="79" t="s">
        <v>422</v>
      </c>
      <c r="D115" s="55">
        <f t="shared" ca="1" si="5"/>
        <v>0</v>
      </c>
      <c r="E115" s="55"/>
      <c r="F115" s="51">
        <f t="shared" ca="1" si="6"/>
        <v>0</v>
      </c>
      <c r="G115" s="51"/>
      <c r="H115" s="49">
        <f t="shared" ca="1" si="7"/>
        <v>0</v>
      </c>
      <c r="I115" s="53">
        <f t="shared" ca="1" si="4"/>
        <v>0</v>
      </c>
      <c r="J115" s="58"/>
      <c r="K115" s="58"/>
    </row>
    <row r="116" spans="1:11" s="41" customFormat="1" ht="15">
      <c r="A116" s="50">
        <v>3</v>
      </c>
      <c r="B116" s="51" t="str">
        <f ca="1">IF($A116="","",NumList())</f>
        <v>3.5.1</v>
      </c>
      <c r="C116" s="61" t="s">
        <v>56</v>
      </c>
      <c r="D116" s="55">
        <f t="shared" ca="1" si="5"/>
        <v>1</v>
      </c>
      <c r="E116" s="55"/>
      <c r="F116" s="51">
        <f t="shared" ca="1" si="6"/>
        <v>53</v>
      </c>
      <c r="G116" s="51" t="s">
        <v>8</v>
      </c>
      <c r="H116" s="49">
        <f t="shared" ca="1" si="7"/>
        <v>35</v>
      </c>
      <c r="I116" s="53">
        <f t="shared" ca="1" si="4"/>
        <v>1855</v>
      </c>
      <c r="J116" s="58"/>
      <c r="K116" s="58"/>
    </row>
    <row r="117" spans="1:11" s="41" customFormat="1" ht="15">
      <c r="A117" s="50">
        <v>3</v>
      </c>
      <c r="B117" s="51" t="str">
        <f ca="1">IF($A117="","",NumList())</f>
        <v>3.5.2</v>
      </c>
      <c r="C117" s="61" t="s">
        <v>57</v>
      </c>
      <c r="D117" s="55">
        <f t="shared" ca="1" si="5"/>
        <v>1</v>
      </c>
      <c r="E117" s="55"/>
      <c r="F117" s="51">
        <f t="shared" ca="1" si="6"/>
        <v>47</v>
      </c>
      <c r="G117" s="51" t="s">
        <v>8</v>
      </c>
      <c r="H117" s="49">
        <f t="shared" ca="1" si="7"/>
        <v>49</v>
      </c>
      <c r="I117" s="53">
        <f t="shared" ca="1" si="4"/>
        <v>2303</v>
      </c>
      <c r="J117" s="58"/>
      <c r="K117" s="58"/>
    </row>
    <row r="118" spans="1:11" s="41" customFormat="1" ht="15">
      <c r="A118" s="50">
        <v>3</v>
      </c>
      <c r="B118" s="51" t="str">
        <f ca="1">IF($A118="","",NumList())</f>
        <v>3.5.3</v>
      </c>
      <c r="C118" s="61" t="s">
        <v>58</v>
      </c>
      <c r="D118" s="55">
        <f t="shared" ca="1" si="5"/>
        <v>1</v>
      </c>
      <c r="E118" s="55"/>
      <c r="F118" s="51">
        <f t="shared" ca="1" si="6"/>
        <v>53</v>
      </c>
      <c r="G118" s="51" t="s">
        <v>8</v>
      </c>
      <c r="H118" s="49">
        <f t="shared" ca="1" si="7"/>
        <v>85</v>
      </c>
      <c r="I118" s="53">
        <f t="shared" ca="1" si="4"/>
        <v>4505</v>
      </c>
      <c r="J118" s="58"/>
      <c r="K118" s="58"/>
    </row>
    <row r="119" spans="1:11" s="41" customFormat="1" ht="15">
      <c r="A119" s="50" t="s">
        <v>516</v>
      </c>
      <c r="B119" s="51" t="str">
        <f>IF($A119="","",NumList())</f>
        <v/>
      </c>
      <c r="C119" s="61"/>
      <c r="D119" s="55">
        <f t="shared" ca="1" si="5"/>
        <v>0</v>
      </c>
      <c r="E119" s="55"/>
      <c r="F119" s="51">
        <f t="shared" ca="1" si="6"/>
        <v>0</v>
      </c>
      <c r="G119" s="51"/>
      <c r="H119" s="49">
        <f t="shared" ca="1" si="7"/>
        <v>0</v>
      </c>
      <c r="I119" s="53">
        <f t="shared" ca="1" si="4"/>
        <v>0</v>
      </c>
      <c r="J119" s="58"/>
      <c r="K119" s="58"/>
    </row>
    <row r="120" spans="1:11" s="41" customFormat="1" ht="28.5">
      <c r="A120" s="50">
        <v>2</v>
      </c>
      <c r="B120" s="51" t="str">
        <f ca="1">IF($A120="","",NumList())</f>
        <v>3.6</v>
      </c>
      <c r="C120" s="62" t="s">
        <v>424</v>
      </c>
      <c r="D120" s="55">
        <f t="shared" ca="1" si="5"/>
        <v>1</v>
      </c>
      <c r="E120" s="55"/>
      <c r="F120" s="51">
        <f t="shared" ca="1" si="6"/>
        <v>22</v>
      </c>
      <c r="G120" s="51" t="s">
        <v>8</v>
      </c>
      <c r="H120" s="49">
        <f t="shared" ca="1" si="7"/>
        <v>20</v>
      </c>
      <c r="I120" s="53">
        <f t="shared" ca="1" si="4"/>
        <v>440</v>
      </c>
      <c r="J120" s="58"/>
      <c r="K120" s="58"/>
    </row>
    <row r="121" spans="1:11" s="41" customFormat="1" ht="15">
      <c r="A121" s="50" t="s">
        <v>516</v>
      </c>
      <c r="B121" s="51" t="str">
        <f>IF($A121="","",NumList())</f>
        <v/>
      </c>
      <c r="C121" s="62"/>
      <c r="D121" s="55">
        <f t="shared" ca="1" si="5"/>
        <v>0</v>
      </c>
      <c r="E121" s="55"/>
      <c r="F121" s="51">
        <f t="shared" ca="1" si="6"/>
        <v>0</v>
      </c>
      <c r="G121" s="51"/>
      <c r="H121" s="49">
        <f t="shared" ca="1" si="7"/>
        <v>0</v>
      </c>
      <c r="I121" s="53">
        <f t="shared" ca="1" si="4"/>
        <v>0</v>
      </c>
      <c r="J121" s="58"/>
      <c r="K121" s="58"/>
    </row>
    <row r="122" spans="1:11" s="41" customFormat="1" ht="28.5">
      <c r="A122" s="50">
        <v>2</v>
      </c>
      <c r="B122" s="51" t="str">
        <f ca="1">IF($A122="","",NumList())</f>
        <v>3.7</v>
      </c>
      <c r="C122" s="62" t="s">
        <v>423</v>
      </c>
      <c r="D122" s="55">
        <f t="shared" ca="1" si="5"/>
        <v>0</v>
      </c>
      <c r="E122" s="55"/>
      <c r="F122" s="51">
        <f t="shared" ca="1" si="6"/>
        <v>0</v>
      </c>
      <c r="G122" s="51"/>
      <c r="H122" s="49">
        <f t="shared" ca="1" si="7"/>
        <v>0</v>
      </c>
      <c r="I122" s="53">
        <f t="shared" ca="1" si="4"/>
        <v>0</v>
      </c>
      <c r="J122" s="58"/>
      <c r="K122" s="58"/>
    </row>
    <row r="123" spans="1:11" s="41" customFormat="1" ht="15">
      <c r="A123" s="50">
        <v>3</v>
      </c>
      <c r="B123" s="51" t="str">
        <f ca="1">IF($A123="","",NumList())</f>
        <v>3.7.1</v>
      </c>
      <c r="C123" s="61" t="s">
        <v>56</v>
      </c>
      <c r="D123" s="55">
        <f t="shared" ca="1" si="5"/>
        <v>1</v>
      </c>
      <c r="E123" s="55"/>
      <c r="F123" s="51">
        <f t="shared" ca="1" si="6"/>
        <v>62</v>
      </c>
      <c r="G123" s="51" t="s">
        <v>8</v>
      </c>
      <c r="H123" s="49">
        <f t="shared" ca="1" si="7"/>
        <v>15</v>
      </c>
      <c r="I123" s="53">
        <f t="shared" ca="1" si="4"/>
        <v>930</v>
      </c>
      <c r="J123" s="58"/>
      <c r="K123" s="58"/>
    </row>
    <row r="124" spans="1:11" s="41" customFormat="1" ht="15">
      <c r="A124" s="50">
        <v>3</v>
      </c>
      <c r="B124" s="51" t="str">
        <f ca="1">IF($A124="","",NumList())</f>
        <v>3.7.2</v>
      </c>
      <c r="C124" s="61" t="s">
        <v>57</v>
      </c>
      <c r="D124" s="55">
        <f t="shared" ca="1" si="5"/>
        <v>1</v>
      </c>
      <c r="E124" s="55"/>
      <c r="F124" s="51">
        <f t="shared" ca="1" si="6"/>
        <v>69</v>
      </c>
      <c r="G124" s="51" t="s">
        <v>8</v>
      </c>
      <c r="H124" s="49">
        <f t="shared" ca="1" si="7"/>
        <v>29</v>
      </c>
      <c r="I124" s="53">
        <f t="shared" ca="1" si="4"/>
        <v>2001</v>
      </c>
      <c r="J124" s="58"/>
      <c r="K124" s="58"/>
    </row>
    <row r="125" spans="1:11" s="41" customFormat="1" ht="15">
      <c r="A125" s="50">
        <v>3</v>
      </c>
      <c r="B125" s="51" t="str">
        <f ca="1">IF($A125="","",NumList())</f>
        <v>3.7.3</v>
      </c>
      <c r="C125" s="61" t="s">
        <v>58</v>
      </c>
      <c r="D125" s="55">
        <f t="shared" ca="1" si="5"/>
        <v>1</v>
      </c>
      <c r="E125" s="55"/>
      <c r="F125" s="51">
        <f t="shared" ca="1" si="6"/>
        <v>12</v>
      </c>
      <c r="G125" s="51" t="s">
        <v>8</v>
      </c>
      <c r="H125" s="49">
        <f t="shared" ca="1" si="7"/>
        <v>99</v>
      </c>
      <c r="I125" s="53">
        <f t="shared" ca="1" si="4"/>
        <v>1188</v>
      </c>
      <c r="J125" s="58"/>
      <c r="K125" s="58"/>
    </row>
    <row r="126" spans="1:11" s="41" customFormat="1" ht="15">
      <c r="A126" s="50" t="s">
        <v>516</v>
      </c>
      <c r="B126" s="51" t="str">
        <f>IF($A126="","",NumList())</f>
        <v/>
      </c>
      <c r="C126" s="62"/>
      <c r="D126" s="55">
        <f t="shared" ca="1" si="5"/>
        <v>0</v>
      </c>
      <c r="E126" s="55"/>
      <c r="F126" s="51">
        <f t="shared" ca="1" si="6"/>
        <v>0</v>
      </c>
      <c r="G126" s="51"/>
      <c r="H126" s="49">
        <f t="shared" ca="1" si="7"/>
        <v>0</v>
      </c>
      <c r="I126" s="53">
        <f t="shared" ca="1" si="4"/>
        <v>0</v>
      </c>
      <c r="J126" s="58"/>
      <c r="K126" s="58"/>
    </row>
    <row r="127" spans="1:11" s="41" customFormat="1" ht="28.5">
      <c r="A127" s="50">
        <v>2</v>
      </c>
      <c r="B127" s="51" t="str">
        <f ca="1">IF($A127="","",NumList())</f>
        <v>3.8</v>
      </c>
      <c r="C127" s="62" t="s">
        <v>425</v>
      </c>
      <c r="D127" s="55">
        <f t="shared" ca="1" si="5"/>
        <v>1</v>
      </c>
      <c r="E127" s="55"/>
      <c r="F127" s="51">
        <f t="shared" ca="1" si="6"/>
        <v>71</v>
      </c>
      <c r="G127" s="51" t="s">
        <v>8</v>
      </c>
      <c r="H127" s="49">
        <f t="shared" ca="1" si="7"/>
        <v>95</v>
      </c>
      <c r="I127" s="53">
        <f t="shared" ca="1" si="4"/>
        <v>6745</v>
      </c>
      <c r="J127" s="58"/>
      <c r="K127" s="58"/>
    </row>
    <row r="128" spans="1:11" s="41" customFormat="1" ht="15">
      <c r="A128" s="50" t="s">
        <v>516</v>
      </c>
      <c r="B128" s="51" t="str">
        <f>IF($A128="","",NumList())</f>
        <v/>
      </c>
      <c r="C128" s="80"/>
      <c r="D128" s="55">
        <f t="shared" ca="1" si="5"/>
        <v>0</v>
      </c>
      <c r="E128" s="55"/>
      <c r="F128" s="51">
        <f t="shared" ca="1" si="6"/>
        <v>0</v>
      </c>
      <c r="G128" s="51"/>
      <c r="H128" s="49">
        <f t="shared" ca="1" si="7"/>
        <v>0</v>
      </c>
      <c r="I128" s="53">
        <f t="shared" ca="1" si="4"/>
        <v>0</v>
      </c>
      <c r="J128" s="58"/>
      <c r="K128" s="58"/>
    </row>
    <row r="129" spans="1:11" s="41" customFormat="1" ht="45">
      <c r="A129" s="50">
        <v>1</v>
      </c>
      <c r="B129" s="51">
        <f ca="1">IF($A129="","",NumList())</f>
        <v>4</v>
      </c>
      <c r="C129" s="63" t="s">
        <v>603</v>
      </c>
      <c r="D129" s="55">
        <f t="shared" ca="1" si="5"/>
        <v>0</v>
      </c>
      <c r="E129" s="48"/>
      <c r="F129" s="51">
        <f t="shared" ca="1" si="6"/>
        <v>0</v>
      </c>
      <c r="G129" s="46"/>
      <c r="H129" s="49">
        <f t="shared" ca="1" si="7"/>
        <v>0</v>
      </c>
      <c r="I129" s="53">
        <f t="shared" ca="1" si="4"/>
        <v>0</v>
      </c>
      <c r="J129" s="58"/>
      <c r="K129" s="58"/>
    </row>
    <row r="130" spans="1:11" s="41" customFormat="1" ht="15">
      <c r="A130" s="50">
        <v>2</v>
      </c>
      <c r="B130" s="51" t="str">
        <f ca="1">IF($A130="","",NumList())</f>
        <v>4.1</v>
      </c>
      <c r="C130" s="81" t="s">
        <v>36</v>
      </c>
      <c r="D130" s="55">
        <f t="shared" ca="1" si="5"/>
        <v>0</v>
      </c>
      <c r="E130" s="55"/>
      <c r="F130" s="51">
        <f t="shared" ca="1" si="6"/>
        <v>0</v>
      </c>
      <c r="G130" s="51"/>
      <c r="H130" s="49">
        <f t="shared" ca="1" si="7"/>
        <v>0</v>
      </c>
      <c r="I130" s="53">
        <f t="shared" ca="1" si="4"/>
        <v>0</v>
      </c>
      <c r="J130" s="58"/>
      <c r="K130" s="58"/>
    </row>
    <row r="131" spans="1:11" s="41" customFormat="1" ht="15">
      <c r="A131" s="50">
        <v>3</v>
      </c>
      <c r="B131" s="51" t="str">
        <f ca="1">IF($A131="","",NumList())</f>
        <v>4.1.1</v>
      </c>
      <c r="C131" s="61" t="s">
        <v>56</v>
      </c>
      <c r="D131" s="55">
        <f t="shared" ca="1" si="5"/>
        <v>1</v>
      </c>
      <c r="E131" s="55"/>
      <c r="F131" s="51">
        <f t="shared" ca="1" si="6"/>
        <v>68</v>
      </c>
      <c r="G131" s="51" t="s">
        <v>8</v>
      </c>
      <c r="H131" s="49">
        <f t="shared" ca="1" si="7"/>
        <v>78</v>
      </c>
      <c r="I131" s="53">
        <f t="shared" ca="1" si="4"/>
        <v>5304</v>
      </c>
      <c r="J131" s="58"/>
      <c r="K131" s="58"/>
    </row>
    <row r="132" spans="1:11" s="41" customFormat="1" ht="15">
      <c r="A132" s="50">
        <v>3</v>
      </c>
      <c r="B132" s="51" t="str">
        <f ca="1">IF($A132="","",NumList())</f>
        <v>4.1.2</v>
      </c>
      <c r="C132" s="61" t="s">
        <v>57</v>
      </c>
      <c r="D132" s="55">
        <f t="shared" ca="1" si="5"/>
        <v>1</v>
      </c>
      <c r="E132" s="55"/>
      <c r="F132" s="51">
        <f t="shared" ca="1" si="6"/>
        <v>43</v>
      </c>
      <c r="G132" s="51" t="s">
        <v>8</v>
      </c>
      <c r="H132" s="49">
        <f t="shared" ca="1" si="7"/>
        <v>99</v>
      </c>
      <c r="I132" s="53">
        <f t="shared" ca="1" si="4"/>
        <v>4257</v>
      </c>
      <c r="J132" s="58"/>
      <c r="K132" s="58"/>
    </row>
    <row r="133" spans="1:11" s="41" customFormat="1" ht="15">
      <c r="A133" s="50">
        <v>3</v>
      </c>
      <c r="B133" s="51" t="str">
        <f ca="1">IF($A133="","",NumList())</f>
        <v>4.1.3</v>
      </c>
      <c r="C133" s="61" t="s">
        <v>58</v>
      </c>
      <c r="D133" s="55">
        <f t="shared" ca="1" si="5"/>
        <v>1</v>
      </c>
      <c r="E133" s="55"/>
      <c r="F133" s="51">
        <f t="shared" ca="1" si="6"/>
        <v>85</v>
      </c>
      <c r="G133" s="51" t="s">
        <v>8</v>
      </c>
      <c r="H133" s="49">
        <f t="shared" ca="1" si="7"/>
        <v>15</v>
      </c>
      <c r="I133" s="53">
        <f t="shared" ca="1" si="4"/>
        <v>1275</v>
      </c>
      <c r="J133" s="58"/>
      <c r="K133" s="58"/>
    </row>
    <row r="134" spans="1:11" s="41" customFormat="1" ht="15">
      <c r="A134" s="50">
        <v>2</v>
      </c>
      <c r="B134" s="51" t="str">
        <f ca="1">IF($A134="","",NumList())</f>
        <v>4.2</v>
      </c>
      <c r="C134" s="81" t="s">
        <v>37</v>
      </c>
      <c r="D134" s="55">
        <f t="shared" ca="1" si="5"/>
        <v>0</v>
      </c>
      <c r="E134" s="55"/>
      <c r="F134" s="51">
        <f t="shared" ca="1" si="6"/>
        <v>0</v>
      </c>
      <c r="G134" s="51"/>
      <c r="H134" s="49">
        <f t="shared" ca="1" si="7"/>
        <v>0</v>
      </c>
      <c r="I134" s="53">
        <f t="shared" ca="1" si="4"/>
        <v>0</v>
      </c>
      <c r="J134" s="58"/>
      <c r="K134" s="58"/>
    </row>
    <row r="135" spans="1:11" s="41" customFormat="1" ht="15">
      <c r="A135" s="50">
        <v>3</v>
      </c>
      <c r="B135" s="51" t="str">
        <f ca="1">IF($A135="","",NumList())</f>
        <v>4.2.1</v>
      </c>
      <c r="C135" s="61" t="s">
        <v>56</v>
      </c>
      <c r="D135" s="55">
        <f t="shared" ca="1" si="5"/>
        <v>1</v>
      </c>
      <c r="E135" s="55"/>
      <c r="F135" s="51">
        <f t="shared" ca="1" si="6"/>
        <v>52</v>
      </c>
      <c r="G135" s="51" t="s">
        <v>8</v>
      </c>
      <c r="H135" s="49">
        <f t="shared" ca="1" si="7"/>
        <v>11</v>
      </c>
      <c r="I135" s="53">
        <f t="shared" ca="1" si="4"/>
        <v>572</v>
      </c>
      <c r="J135" s="58"/>
      <c r="K135" s="58"/>
    </row>
    <row r="136" spans="1:11" s="41" customFormat="1" ht="15">
      <c r="A136" s="50">
        <v>3</v>
      </c>
      <c r="B136" s="51" t="str">
        <f ca="1">IF($A136="","",NumList())</f>
        <v>4.2.2</v>
      </c>
      <c r="C136" s="61" t="s">
        <v>57</v>
      </c>
      <c r="D136" s="55">
        <f t="shared" ca="1" si="5"/>
        <v>1</v>
      </c>
      <c r="E136" s="55"/>
      <c r="F136" s="51">
        <f t="shared" ca="1" si="6"/>
        <v>81</v>
      </c>
      <c r="G136" s="51" t="s">
        <v>8</v>
      </c>
      <c r="H136" s="49">
        <f t="shared" ca="1" si="7"/>
        <v>22</v>
      </c>
      <c r="I136" s="53">
        <f t="shared" ca="1" si="4"/>
        <v>1782</v>
      </c>
      <c r="J136" s="58"/>
      <c r="K136" s="58"/>
    </row>
    <row r="137" spans="1:11" s="41" customFormat="1" ht="15">
      <c r="A137" s="50">
        <v>3</v>
      </c>
      <c r="B137" s="51" t="str">
        <f ca="1">IF($A137="","",NumList())</f>
        <v>4.2.3</v>
      </c>
      <c r="C137" s="61" t="s">
        <v>58</v>
      </c>
      <c r="D137" s="55">
        <f t="shared" ca="1" si="5"/>
        <v>1</v>
      </c>
      <c r="E137" s="55"/>
      <c r="F137" s="51">
        <f t="shared" ca="1" si="6"/>
        <v>71</v>
      </c>
      <c r="G137" s="51" t="s">
        <v>8</v>
      </c>
      <c r="H137" s="49">
        <f t="shared" ca="1" si="7"/>
        <v>79</v>
      </c>
      <c r="I137" s="53">
        <f t="shared" ca="1" si="4"/>
        <v>5609</v>
      </c>
      <c r="J137" s="58"/>
      <c r="K137" s="58"/>
    </row>
    <row r="138" spans="1:11" s="41" customFormat="1" ht="15">
      <c r="A138" s="50">
        <v>2</v>
      </c>
      <c r="B138" s="51" t="str">
        <f ca="1">IF($A138="","",NumList())</f>
        <v>4.3</v>
      </c>
      <c r="C138" s="81" t="s">
        <v>272</v>
      </c>
      <c r="D138" s="55">
        <f t="shared" ca="1" si="5"/>
        <v>0</v>
      </c>
      <c r="E138" s="55"/>
      <c r="F138" s="51">
        <f t="shared" ca="1" si="6"/>
        <v>0</v>
      </c>
      <c r="G138" s="51"/>
      <c r="H138" s="49">
        <f t="shared" ca="1" si="7"/>
        <v>0</v>
      </c>
      <c r="I138" s="53">
        <f t="shared" ca="1" si="4"/>
        <v>0</v>
      </c>
      <c r="J138" s="58"/>
      <c r="K138" s="58"/>
    </row>
    <row r="139" spans="1:11" s="41" customFormat="1" ht="15">
      <c r="A139" s="50">
        <v>3</v>
      </c>
      <c r="B139" s="51" t="str">
        <f ca="1">IF($A139="","",NumList())</f>
        <v>4.3.1</v>
      </c>
      <c r="C139" s="61" t="s">
        <v>56</v>
      </c>
      <c r="D139" s="55">
        <f t="shared" ca="1" si="5"/>
        <v>1</v>
      </c>
      <c r="E139" s="55"/>
      <c r="F139" s="51">
        <f t="shared" ca="1" si="6"/>
        <v>85</v>
      </c>
      <c r="G139" s="51" t="s">
        <v>8</v>
      </c>
      <c r="H139" s="49">
        <f t="shared" ca="1" si="7"/>
        <v>14</v>
      </c>
      <c r="I139" s="53">
        <f t="shared" ca="1" si="4"/>
        <v>1190</v>
      </c>
      <c r="J139" s="58"/>
      <c r="K139" s="58"/>
    </row>
    <row r="140" spans="1:11" s="41" customFormat="1" ht="15">
      <c r="A140" s="50">
        <v>3</v>
      </c>
      <c r="B140" s="51" t="str">
        <f ca="1">IF($A140="","",NumList())</f>
        <v>4.3.2</v>
      </c>
      <c r="C140" s="61" t="s">
        <v>57</v>
      </c>
      <c r="D140" s="55">
        <f t="shared" ca="1" si="5"/>
        <v>1</v>
      </c>
      <c r="E140" s="55"/>
      <c r="F140" s="51">
        <f t="shared" ca="1" si="6"/>
        <v>7</v>
      </c>
      <c r="G140" s="51" t="s">
        <v>8</v>
      </c>
      <c r="H140" s="49">
        <f t="shared" ca="1" si="7"/>
        <v>53</v>
      </c>
      <c r="I140" s="53">
        <f t="shared" ca="1" si="4"/>
        <v>371</v>
      </c>
      <c r="J140" s="58"/>
      <c r="K140" s="58"/>
    </row>
    <row r="141" spans="1:11" s="41" customFormat="1" ht="15">
      <c r="A141" s="50">
        <v>3</v>
      </c>
      <c r="B141" s="51" t="str">
        <f ca="1">IF($A141="","",NumList())</f>
        <v>4.3.3</v>
      </c>
      <c r="C141" s="61" t="s">
        <v>58</v>
      </c>
      <c r="D141" s="55">
        <f t="shared" ca="1" si="5"/>
        <v>1</v>
      </c>
      <c r="E141" s="55"/>
      <c r="F141" s="51">
        <f t="shared" ca="1" si="6"/>
        <v>100</v>
      </c>
      <c r="G141" s="51" t="s">
        <v>8</v>
      </c>
      <c r="H141" s="49">
        <f t="shared" ca="1" si="7"/>
        <v>28</v>
      </c>
      <c r="I141" s="53">
        <f t="shared" ca="1" si="4"/>
        <v>2800</v>
      </c>
      <c r="J141" s="58"/>
      <c r="K141" s="58"/>
    </row>
    <row r="142" spans="1:11" s="41" customFormat="1" ht="15">
      <c r="A142" s="50" t="s">
        <v>516</v>
      </c>
      <c r="B142" s="51" t="str">
        <f>IF($A142="","",NumList())</f>
        <v/>
      </c>
      <c r="C142" s="61"/>
      <c r="D142" s="55">
        <f t="shared" ca="1" si="5"/>
        <v>0</v>
      </c>
      <c r="E142" s="55"/>
      <c r="F142" s="51">
        <f t="shared" ca="1" si="6"/>
        <v>0</v>
      </c>
      <c r="G142" s="51"/>
      <c r="H142" s="49">
        <f t="shared" ca="1" si="7"/>
        <v>0</v>
      </c>
      <c r="I142" s="53">
        <f t="shared" ca="1" si="4"/>
        <v>0</v>
      </c>
      <c r="J142" s="58"/>
      <c r="K142" s="58"/>
    </row>
    <row r="143" spans="1:11" s="41" customFormat="1" ht="15" customHeight="1">
      <c r="A143" s="50">
        <v>1</v>
      </c>
      <c r="B143" s="51">
        <f ca="1">IF($A143="","",NumList())</f>
        <v>5</v>
      </c>
      <c r="C143" s="63" t="s">
        <v>230</v>
      </c>
      <c r="D143" s="55">
        <f t="shared" ca="1" si="5"/>
        <v>0</v>
      </c>
      <c r="E143" s="48"/>
      <c r="F143" s="51">
        <f t="shared" ca="1" si="6"/>
        <v>0</v>
      </c>
      <c r="G143" s="46"/>
      <c r="H143" s="49">
        <f t="shared" ca="1" si="7"/>
        <v>0</v>
      </c>
      <c r="I143" s="53">
        <f t="shared" ca="1" si="4"/>
        <v>0</v>
      </c>
    </row>
    <row r="144" spans="1:11" s="41" customFormat="1" ht="15" customHeight="1">
      <c r="A144" s="50">
        <v>2</v>
      </c>
      <c r="B144" s="51" t="str">
        <f ca="1">IF($A144="","",NumList())</f>
        <v>5.1</v>
      </c>
      <c r="C144" s="62" t="s">
        <v>426</v>
      </c>
      <c r="D144" s="55">
        <f t="shared" ca="1" si="5"/>
        <v>0</v>
      </c>
      <c r="E144" s="55"/>
      <c r="F144" s="51">
        <f t="shared" ca="1" si="6"/>
        <v>0</v>
      </c>
      <c r="G144" s="51"/>
      <c r="H144" s="49">
        <f t="shared" ca="1" si="7"/>
        <v>0</v>
      </c>
      <c r="I144" s="53">
        <f t="shared" ca="1" si="4"/>
        <v>0</v>
      </c>
    </row>
    <row r="145" spans="1:11" s="41" customFormat="1" ht="15" customHeight="1">
      <c r="A145" s="50">
        <v>3</v>
      </c>
      <c r="B145" s="51" t="str">
        <f ca="1">IF($A145="","",NumList())</f>
        <v>5.1.1</v>
      </c>
      <c r="C145" s="61" t="s">
        <v>427</v>
      </c>
      <c r="D145" s="55">
        <f t="shared" ca="1" si="5"/>
        <v>1</v>
      </c>
      <c r="E145" s="55"/>
      <c r="F145" s="51">
        <f t="shared" ca="1" si="6"/>
        <v>18</v>
      </c>
      <c r="G145" s="51" t="s">
        <v>8</v>
      </c>
      <c r="H145" s="49">
        <f t="shared" ca="1" si="7"/>
        <v>73</v>
      </c>
      <c r="I145" s="53">
        <f t="shared" ca="1" si="4"/>
        <v>1314</v>
      </c>
      <c r="J145" s="58"/>
    </row>
    <row r="146" spans="1:11" s="41" customFormat="1" ht="15" customHeight="1">
      <c r="A146" s="50">
        <v>3</v>
      </c>
      <c r="B146" s="51" t="str">
        <f ca="1">IF($A146="","",NumList())</f>
        <v>5.1.2</v>
      </c>
      <c r="C146" s="61" t="s">
        <v>428</v>
      </c>
      <c r="D146" s="55">
        <f t="shared" ca="1" si="5"/>
        <v>1</v>
      </c>
      <c r="E146" s="55"/>
      <c r="F146" s="51">
        <f t="shared" ca="1" si="6"/>
        <v>88</v>
      </c>
      <c r="G146" s="51" t="s">
        <v>8</v>
      </c>
      <c r="H146" s="49">
        <f t="shared" ca="1" si="7"/>
        <v>82</v>
      </c>
      <c r="I146" s="53">
        <f t="shared" ca="1" si="4"/>
        <v>7216</v>
      </c>
      <c r="J146" s="58"/>
    </row>
    <row r="147" spans="1:11" s="41" customFormat="1" ht="15" customHeight="1">
      <c r="A147" s="50">
        <v>3</v>
      </c>
      <c r="B147" s="51" t="str">
        <f ca="1">IF($A147="","",NumList())</f>
        <v>5.1.3</v>
      </c>
      <c r="C147" s="61" t="s">
        <v>429</v>
      </c>
      <c r="D147" s="55">
        <f t="shared" ca="1" si="5"/>
        <v>1</v>
      </c>
      <c r="E147" s="55"/>
      <c r="F147" s="51">
        <f t="shared" ca="1" si="6"/>
        <v>74</v>
      </c>
      <c r="G147" s="51" t="s">
        <v>8</v>
      </c>
      <c r="H147" s="49">
        <f t="shared" ca="1" si="7"/>
        <v>92</v>
      </c>
      <c r="I147" s="53">
        <f t="shared" ca="1" si="4"/>
        <v>6808</v>
      </c>
      <c r="J147" s="58"/>
    </row>
    <row r="148" spans="1:11" s="93" customFormat="1" ht="30" customHeight="1">
      <c r="A148" s="50">
        <v>3</v>
      </c>
      <c r="B148" s="51" t="str">
        <f ca="1">IF($A148="","",NumList())</f>
        <v>5.1.4</v>
      </c>
      <c r="C148" s="62" t="s">
        <v>325</v>
      </c>
      <c r="D148" s="55">
        <f t="shared" ca="1" si="5"/>
        <v>1</v>
      </c>
      <c r="E148" s="91"/>
      <c r="F148" s="51">
        <f t="shared" ca="1" si="6"/>
        <v>61</v>
      </c>
      <c r="G148" s="92" t="s">
        <v>8</v>
      </c>
      <c r="H148" s="49">
        <f t="shared" ca="1" si="7"/>
        <v>11</v>
      </c>
      <c r="I148" s="53">
        <f t="shared" ca="1" si="4"/>
        <v>671</v>
      </c>
    </row>
    <row r="149" spans="1:11" s="41" customFormat="1" ht="15" customHeight="1">
      <c r="A149" s="50" t="s">
        <v>516</v>
      </c>
      <c r="B149" s="51" t="str">
        <f>IF($A149="","",NumList())</f>
        <v/>
      </c>
      <c r="C149" s="61"/>
      <c r="D149" s="55">
        <f t="shared" ca="1" si="5"/>
        <v>0</v>
      </c>
      <c r="E149" s="55"/>
      <c r="F149" s="51">
        <f t="shared" ca="1" si="6"/>
        <v>0</v>
      </c>
      <c r="G149" s="51"/>
      <c r="H149" s="49">
        <f t="shared" ca="1" si="7"/>
        <v>0</v>
      </c>
      <c r="I149" s="53">
        <f t="shared" ca="1" si="4"/>
        <v>0</v>
      </c>
      <c r="J149" s="58"/>
      <c r="K149" s="58"/>
    </row>
    <row r="150" spans="1:11" s="41" customFormat="1" ht="15">
      <c r="A150" s="50">
        <v>2</v>
      </c>
      <c r="B150" s="51" t="str">
        <f ca="1">IF($A150="","",NumList())</f>
        <v>5.2</v>
      </c>
      <c r="C150" s="62" t="s">
        <v>39</v>
      </c>
      <c r="D150" s="55">
        <f t="shared" ca="1" si="5"/>
        <v>0</v>
      </c>
      <c r="E150" s="55"/>
      <c r="F150" s="51">
        <f t="shared" ca="1" si="6"/>
        <v>0</v>
      </c>
      <c r="G150" s="51"/>
      <c r="H150" s="49">
        <f t="shared" ca="1" si="7"/>
        <v>0</v>
      </c>
      <c r="I150" s="53">
        <f t="shared" ca="1" si="4"/>
        <v>0</v>
      </c>
      <c r="J150" s="58"/>
      <c r="K150" s="58"/>
    </row>
    <row r="151" spans="1:11" s="41" customFormat="1" ht="15">
      <c r="A151" s="50">
        <v>3</v>
      </c>
      <c r="B151" s="51" t="str">
        <f ca="1">IF($A151="","",NumList())</f>
        <v>5.2.1</v>
      </c>
      <c r="C151" s="61" t="s">
        <v>35</v>
      </c>
      <c r="D151" s="55">
        <f t="shared" ca="1" si="5"/>
        <v>1</v>
      </c>
      <c r="E151" s="55"/>
      <c r="F151" s="51">
        <f t="shared" ca="1" si="6"/>
        <v>82</v>
      </c>
      <c r="G151" s="51" t="s">
        <v>8</v>
      </c>
      <c r="H151" s="49">
        <f t="shared" ca="1" si="7"/>
        <v>50</v>
      </c>
      <c r="I151" s="53">
        <f t="shared" ca="1" si="4"/>
        <v>4100</v>
      </c>
      <c r="J151" s="58"/>
      <c r="K151" s="58"/>
    </row>
    <row r="152" spans="1:11" s="41" customFormat="1" ht="15">
      <c r="A152" s="50">
        <v>3</v>
      </c>
      <c r="B152" s="51" t="str">
        <f ca="1">IF($A152="","",NumList())</f>
        <v>5.2.2</v>
      </c>
      <c r="C152" s="61" t="s">
        <v>269</v>
      </c>
      <c r="D152" s="55">
        <f t="shared" ca="1" si="5"/>
        <v>1</v>
      </c>
      <c r="E152" s="55"/>
      <c r="F152" s="51">
        <f t="shared" ca="1" si="6"/>
        <v>89</v>
      </c>
      <c r="G152" s="51" t="s">
        <v>8</v>
      </c>
      <c r="H152" s="49">
        <f t="shared" ca="1" si="7"/>
        <v>24</v>
      </c>
      <c r="I152" s="53">
        <f t="shared" ref="I152:I171" ca="1" si="8">F152*H152</f>
        <v>2136</v>
      </c>
      <c r="J152" s="58"/>
      <c r="K152" s="58"/>
    </row>
    <row r="153" spans="1:11" s="41" customFormat="1" ht="15">
      <c r="A153" s="50">
        <v>3</v>
      </c>
      <c r="B153" s="51" t="str">
        <f ca="1">IF($A153="","",NumList())</f>
        <v>5.2.3</v>
      </c>
      <c r="C153" s="61" t="s">
        <v>270</v>
      </c>
      <c r="D153" s="55">
        <f t="shared" ca="1" si="5"/>
        <v>1</v>
      </c>
      <c r="E153" s="55"/>
      <c r="F153" s="51">
        <f t="shared" ca="1" si="6"/>
        <v>38</v>
      </c>
      <c r="G153" s="51" t="s">
        <v>8</v>
      </c>
      <c r="H153" s="49">
        <f t="shared" ca="1" si="7"/>
        <v>86</v>
      </c>
      <c r="I153" s="53">
        <f t="shared" ca="1" si="8"/>
        <v>3268</v>
      </c>
      <c r="J153" s="58"/>
      <c r="K153" s="58"/>
    </row>
    <row r="154" spans="1:11" s="41" customFormat="1" ht="15">
      <c r="A154" s="50">
        <v>3</v>
      </c>
      <c r="B154" s="51" t="str">
        <f ca="1">IF($A154="","",NumList())</f>
        <v>5.2.4</v>
      </c>
      <c r="C154" s="61" t="s">
        <v>271</v>
      </c>
      <c r="D154" s="55">
        <f t="shared" ca="1" si="5"/>
        <v>1</v>
      </c>
      <c r="E154" s="55"/>
      <c r="F154" s="51">
        <f t="shared" ca="1" si="6"/>
        <v>97</v>
      </c>
      <c r="G154" s="51" t="s">
        <v>8</v>
      </c>
      <c r="H154" s="49">
        <f t="shared" ca="1" si="7"/>
        <v>66</v>
      </c>
      <c r="I154" s="53">
        <f t="shared" ca="1" si="8"/>
        <v>6402</v>
      </c>
    </row>
    <row r="155" spans="1:11" s="58" customFormat="1" ht="15">
      <c r="A155" s="50" t="s">
        <v>516</v>
      </c>
      <c r="B155" s="51" t="str">
        <f>IF($A155="","",NumList())</f>
        <v/>
      </c>
      <c r="C155" s="61"/>
      <c r="D155" s="55">
        <f t="shared" ca="1" si="5"/>
        <v>0</v>
      </c>
      <c r="E155" s="55"/>
      <c r="F155" s="51">
        <f t="shared" ca="1" si="6"/>
        <v>0</v>
      </c>
      <c r="G155" s="51"/>
      <c r="H155" s="49">
        <f t="shared" ca="1" si="7"/>
        <v>0</v>
      </c>
      <c r="I155" s="53">
        <f t="shared" ca="1" si="8"/>
        <v>0</v>
      </c>
    </row>
    <row r="156" spans="1:11" s="58" customFormat="1" ht="15">
      <c r="A156" s="50">
        <v>2</v>
      </c>
      <c r="B156" s="51" t="str">
        <f ca="1">IF($A156="","",NumList())</f>
        <v>5.3</v>
      </c>
      <c r="C156" s="62" t="s">
        <v>49</v>
      </c>
      <c r="D156" s="55">
        <f t="shared" ref="D156:D175" ca="1" si="9">IF(ISTEXT(G156),RANDBETWEEN(1,1),0)</f>
        <v>0</v>
      </c>
      <c r="E156" s="55"/>
      <c r="F156" s="51">
        <f t="shared" ref="F156:F172" ca="1" si="10">IF(ISTEXT(G156),RANDBETWEEN(1,100),0)</f>
        <v>0</v>
      </c>
      <c r="G156" s="51"/>
      <c r="H156" s="49">
        <f t="shared" ref="H156:H172" ca="1" si="11">IF(ISTEXT(G156),RANDBETWEEN(1,100),0)</f>
        <v>0</v>
      </c>
      <c r="I156" s="53">
        <f t="shared" ca="1" si="8"/>
        <v>0</v>
      </c>
    </row>
    <row r="157" spans="1:11" s="58" customFormat="1" ht="15">
      <c r="A157" s="50">
        <v>3</v>
      </c>
      <c r="B157" s="51" t="str">
        <f ca="1">IF($A157="","",NumList())</f>
        <v>5.3.1</v>
      </c>
      <c r="C157" s="62" t="s">
        <v>60</v>
      </c>
      <c r="D157" s="55">
        <f t="shared" ca="1" si="9"/>
        <v>0</v>
      </c>
      <c r="E157" s="55"/>
      <c r="F157" s="51">
        <f t="shared" ca="1" si="10"/>
        <v>0</v>
      </c>
      <c r="G157" s="51"/>
      <c r="H157" s="49">
        <f t="shared" ca="1" si="11"/>
        <v>0</v>
      </c>
      <c r="I157" s="53">
        <f t="shared" ca="1" si="8"/>
        <v>0</v>
      </c>
    </row>
    <row r="158" spans="1:11" s="58" customFormat="1" ht="15">
      <c r="A158" s="50">
        <v>4</v>
      </c>
      <c r="B158" s="51" t="str">
        <f ca="1">IF($A158="","",NumList())</f>
        <v>5.3.1.1</v>
      </c>
      <c r="C158" s="62" t="s">
        <v>61</v>
      </c>
      <c r="D158" s="55">
        <f t="shared" ca="1" si="9"/>
        <v>1</v>
      </c>
      <c r="E158" s="55"/>
      <c r="F158" s="51">
        <f t="shared" ca="1" si="10"/>
        <v>13</v>
      </c>
      <c r="G158" s="51" t="s">
        <v>8</v>
      </c>
      <c r="H158" s="49">
        <f t="shared" ca="1" si="11"/>
        <v>78</v>
      </c>
      <c r="I158" s="53">
        <f t="shared" ca="1" si="8"/>
        <v>1014</v>
      </c>
    </row>
    <row r="159" spans="1:11" s="58" customFormat="1" ht="15">
      <c r="A159" s="50">
        <v>4</v>
      </c>
      <c r="B159" s="51" t="str">
        <f ca="1">IF($A159="","",NumList())</f>
        <v>5.3.1.2</v>
      </c>
      <c r="C159" s="62" t="s">
        <v>62</v>
      </c>
      <c r="D159" s="55">
        <f t="shared" ca="1" si="9"/>
        <v>1</v>
      </c>
      <c r="E159" s="55"/>
      <c r="F159" s="51">
        <f t="shared" ca="1" si="10"/>
        <v>71</v>
      </c>
      <c r="G159" s="51" t="s">
        <v>8</v>
      </c>
      <c r="H159" s="49">
        <f t="shared" ca="1" si="11"/>
        <v>82</v>
      </c>
      <c r="I159" s="53">
        <f t="shared" ca="1" si="8"/>
        <v>5822</v>
      </c>
    </row>
    <row r="160" spans="1:11" s="58" customFormat="1" ht="15">
      <c r="A160" s="50">
        <v>4</v>
      </c>
      <c r="B160" s="51" t="str">
        <f ca="1">IF($A160="","",NumList())</f>
        <v>5.3.1.3</v>
      </c>
      <c r="C160" s="62" t="s">
        <v>262</v>
      </c>
      <c r="D160" s="55">
        <f t="shared" ca="1" si="9"/>
        <v>1</v>
      </c>
      <c r="E160" s="55"/>
      <c r="F160" s="51">
        <f t="shared" ca="1" si="10"/>
        <v>44</v>
      </c>
      <c r="G160" s="51" t="s">
        <v>8</v>
      </c>
      <c r="H160" s="49">
        <f t="shared" ca="1" si="11"/>
        <v>28</v>
      </c>
      <c r="I160" s="53">
        <f t="shared" ca="1" si="8"/>
        <v>1232</v>
      </c>
    </row>
    <row r="161" spans="1:11" s="58" customFormat="1" ht="15">
      <c r="A161" s="50">
        <v>3</v>
      </c>
      <c r="B161" s="51" t="str">
        <f ca="1">IF($A161="","",NumList())</f>
        <v>5.3.2</v>
      </c>
      <c r="C161" s="62" t="s">
        <v>63</v>
      </c>
      <c r="D161" s="55">
        <f t="shared" ca="1" si="9"/>
        <v>0</v>
      </c>
      <c r="E161" s="55"/>
      <c r="F161" s="51">
        <f t="shared" ca="1" si="10"/>
        <v>0</v>
      </c>
      <c r="G161" s="51"/>
      <c r="H161" s="49">
        <f t="shared" ca="1" si="11"/>
        <v>0</v>
      </c>
      <c r="I161" s="53">
        <f t="shared" ca="1" si="8"/>
        <v>0</v>
      </c>
    </row>
    <row r="162" spans="1:11" s="58" customFormat="1" ht="15">
      <c r="A162" s="50">
        <v>4</v>
      </c>
      <c r="B162" s="51" t="str">
        <f ca="1">IF($A162="","",NumList())</f>
        <v>5.3.2.1</v>
      </c>
      <c r="C162" s="62" t="s">
        <v>61</v>
      </c>
      <c r="D162" s="55">
        <f t="shared" ca="1" si="9"/>
        <v>1</v>
      </c>
      <c r="E162" s="55"/>
      <c r="F162" s="51">
        <f t="shared" ca="1" si="10"/>
        <v>19</v>
      </c>
      <c r="G162" s="51" t="s">
        <v>8</v>
      </c>
      <c r="H162" s="49">
        <f t="shared" ca="1" si="11"/>
        <v>64</v>
      </c>
      <c r="I162" s="53">
        <f t="shared" ca="1" si="8"/>
        <v>1216</v>
      </c>
    </row>
    <row r="163" spans="1:11" s="58" customFormat="1" ht="15">
      <c r="A163" s="50">
        <v>4</v>
      </c>
      <c r="B163" s="51" t="str">
        <f ca="1">IF($A163="","",NumList())</f>
        <v>5.3.2.2</v>
      </c>
      <c r="C163" s="62" t="s">
        <v>64</v>
      </c>
      <c r="D163" s="55">
        <f t="shared" ca="1" si="9"/>
        <v>1</v>
      </c>
      <c r="E163" s="55"/>
      <c r="F163" s="51">
        <f t="shared" ca="1" si="10"/>
        <v>45</v>
      </c>
      <c r="G163" s="51" t="s">
        <v>8</v>
      </c>
      <c r="H163" s="49">
        <f t="shared" ca="1" si="11"/>
        <v>72</v>
      </c>
      <c r="I163" s="53">
        <f t="shared" ca="1" si="8"/>
        <v>3240</v>
      </c>
    </row>
    <row r="164" spans="1:11" s="58" customFormat="1" ht="15">
      <c r="A164" s="50">
        <v>4</v>
      </c>
      <c r="B164" s="51" t="str">
        <f ca="1">IF($A164="","",NumList())</f>
        <v>5.3.2.3</v>
      </c>
      <c r="C164" s="62" t="s">
        <v>262</v>
      </c>
      <c r="D164" s="55">
        <f t="shared" ca="1" si="9"/>
        <v>1</v>
      </c>
      <c r="E164" s="55"/>
      <c r="F164" s="51">
        <f t="shared" ca="1" si="10"/>
        <v>48</v>
      </c>
      <c r="G164" s="51" t="s">
        <v>8</v>
      </c>
      <c r="H164" s="49">
        <f t="shared" ca="1" si="11"/>
        <v>9</v>
      </c>
      <c r="I164" s="53">
        <f t="shared" ca="1" si="8"/>
        <v>432</v>
      </c>
    </row>
    <row r="165" spans="1:11" s="58" customFormat="1" ht="15">
      <c r="A165" s="50" t="s">
        <v>516</v>
      </c>
      <c r="B165" s="51" t="str">
        <f>IF($A165="","",NumList())</f>
        <v/>
      </c>
      <c r="C165" s="62"/>
      <c r="D165" s="55">
        <f t="shared" ca="1" si="9"/>
        <v>0</v>
      </c>
      <c r="E165" s="55"/>
      <c r="F165" s="51">
        <f t="shared" ca="1" si="10"/>
        <v>0</v>
      </c>
      <c r="G165" s="51"/>
      <c r="H165" s="49">
        <f t="shared" ca="1" si="11"/>
        <v>0</v>
      </c>
      <c r="I165" s="53">
        <f t="shared" ca="1" si="8"/>
        <v>0</v>
      </c>
    </row>
    <row r="166" spans="1:11" s="58" customFormat="1" ht="15">
      <c r="A166" s="50">
        <v>1</v>
      </c>
      <c r="B166" s="51">
        <f ca="1">IF($A166="","",NumList())</f>
        <v>6</v>
      </c>
      <c r="C166" s="69" t="s">
        <v>7</v>
      </c>
      <c r="D166" s="55">
        <f t="shared" ca="1" si="9"/>
        <v>0</v>
      </c>
      <c r="E166" s="55"/>
      <c r="F166" s="51">
        <f t="shared" ca="1" si="10"/>
        <v>0</v>
      </c>
      <c r="G166" s="51"/>
      <c r="H166" s="49">
        <f t="shared" ca="1" si="11"/>
        <v>0</v>
      </c>
      <c r="I166" s="53">
        <f t="shared" ca="1" si="8"/>
        <v>0</v>
      </c>
    </row>
    <row r="167" spans="1:11" s="58" customFormat="1" ht="28.5">
      <c r="A167" s="50">
        <v>2</v>
      </c>
      <c r="B167" s="51" t="str">
        <f ca="1">IF($A167="","",NumList())</f>
        <v>6.1</v>
      </c>
      <c r="C167" s="62" t="s">
        <v>414</v>
      </c>
      <c r="D167" s="55">
        <f t="shared" ca="1" si="9"/>
        <v>1</v>
      </c>
      <c r="E167" s="55"/>
      <c r="F167" s="51">
        <f t="shared" ca="1" si="10"/>
        <v>77</v>
      </c>
      <c r="G167" s="51" t="s">
        <v>6</v>
      </c>
      <c r="H167" s="49">
        <f t="shared" ca="1" si="11"/>
        <v>62</v>
      </c>
      <c r="I167" s="53">
        <f t="shared" ca="1" si="8"/>
        <v>4774</v>
      </c>
    </row>
    <row r="168" spans="1:11" s="58" customFormat="1" ht="29.25">
      <c r="A168" s="50">
        <v>2</v>
      </c>
      <c r="B168" s="51" t="str">
        <f ca="1">IF($A168="","",NumList())</f>
        <v>6.2</v>
      </c>
      <c r="C168" s="62" t="s">
        <v>593</v>
      </c>
      <c r="D168" s="55">
        <f t="shared" ca="1" si="9"/>
        <v>1</v>
      </c>
      <c r="E168" s="55"/>
      <c r="F168" s="51">
        <f t="shared" ca="1" si="10"/>
        <v>84</v>
      </c>
      <c r="G168" s="51" t="s">
        <v>0</v>
      </c>
      <c r="H168" s="49">
        <f t="shared" ca="1" si="11"/>
        <v>14</v>
      </c>
      <c r="I168" s="53">
        <f t="shared" ca="1" si="8"/>
        <v>1176</v>
      </c>
    </row>
    <row r="169" spans="1:11" s="58" customFormat="1" ht="15">
      <c r="A169" s="50">
        <v>2</v>
      </c>
      <c r="B169" s="51" t="str">
        <f ca="1">IF($A169="","",NumList())</f>
        <v>6.3</v>
      </c>
      <c r="C169" s="62" t="s">
        <v>284</v>
      </c>
      <c r="D169" s="55">
        <f t="shared" ca="1" si="9"/>
        <v>1</v>
      </c>
      <c r="E169" s="55"/>
      <c r="F169" s="51">
        <f t="shared" ca="1" si="10"/>
        <v>78</v>
      </c>
      <c r="G169" s="51" t="s">
        <v>285</v>
      </c>
      <c r="H169" s="49">
        <f t="shared" ca="1" si="11"/>
        <v>92</v>
      </c>
      <c r="I169" s="53">
        <f t="shared" ca="1" si="8"/>
        <v>7176</v>
      </c>
    </row>
    <row r="170" spans="1:11" s="41" customFormat="1" ht="15">
      <c r="A170" s="50" t="s">
        <v>516</v>
      </c>
      <c r="B170" s="51" t="str">
        <f>IF($A170="","",NumList())</f>
        <v/>
      </c>
      <c r="C170" s="61"/>
      <c r="D170" s="55">
        <f t="shared" ca="1" si="9"/>
        <v>0</v>
      </c>
      <c r="E170" s="55"/>
      <c r="F170" s="51">
        <f t="shared" ca="1" si="10"/>
        <v>0</v>
      </c>
      <c r="G170" s="51"/>
      <c r="H170" s="49">
        <f t="shared" ca="1" si="11"/>
        <v>0</v>
      </c>
      <c r="I170" s="53">
        <f t="shared" ca="1" si="8"/>
        <v>0</v>
      </c>
      <c r="J170" s="58"/>
      <c r="K170" s="58"/>
    </row>
    <row r="171" spans="1:11" s="41" customFormat="1" ht="15">
      <c r="A171" s="50">
        <v>1</v>
      </c>
      <c r="B171" s="51">
        <f ca="1">IF($A171="","",NumList())</f>
        <v>7</v>
      </c>
      <c r="C171" s="52" t="s">
        <v>11</v>
      </c>
      <c r="D171" s="55">
        <f t="shared" ca="1" si="9"/>
        <v>0</v>
      </c>
      <c r="E171" s="48"/>
      <c r="F171" s="51">
        <f t="shared" ca="1" si="10"/>
        <v>0</v>
      </c>
      <c r="G171" s="46"/>
      <c r="H171" s="49">
        <f t="shared" ca="1" si="11"/>
        <v>0</v>
      </c>
      <c r="I171" s="53">
        <f t="shared" ca="1" si="8"/>
        <v>0</v>
      </c>
    </row>
    <row r="172" spans="1:11" s="41" customFormat="1" ht="43.5" customHeight="1">
      <c r="A172" s="50">
        <v>2</v>
      </c>
      <c r="B172" s="51" t="str">
        <f ca="1">IF($A172="","",NumList())</f>
        <v>7.1</v>
      </c>
      <c r="C172" s="62" t="s">
        <v>605</v>
      </c>
      <c r="D172" s="55">
        <f t="shared" ca="1" si="9"/>
        <v>1</v>
      </c>
      <c r="E172" s="55"/>
      <c r="F172" s="51">
        <f t="shared" ca="1" si="10"/>
        <v>94</v>
      </c>
      <c r="G172" s="51" t="s">
        <v>0</v>
      </c>
      <c r="H172" s="49">
        <f t="shared" ca="1" si="11"/>
        <v>34</v>
      </c>
      <c r="I172" s="53">
        <f ca="1">F172*H172</f>
        <v>3196</v>
      </c>
      <c r="J172" s="58"/>
      <c r="K172" s="58"/>
    </row>
    <row r="173" spans="1:11" s="41" customFormat="1" ht="15">
      <c r="A173" s="50" t="s">
        <v>516</v>
      </c>
      <c r="B173" s="51" t="str">
        <f>IF($A173="","",NumList())</f>
        <v/>
      </c>
      <c r="C173" s="62"/>
      <c r="D173" s="55">
        <f t="shared" ca="1" si="9"/>
        <v>0</v>
      </c>
      <c r="E173" s="55"/>
      <c r="F173" s="55"/>
      <c r="G173" s="51"/>
      <c r="H173" s="78"/>
      <c r="I173" s="53">
        <f>F173*H173</f>
        <v>0</v>
      </c>
      <c r="J173" s="58"/>
      <c r="K173" s="58"/>
    </row>
    <row r="174" spans="1:11" s="41" customFormat="1" ht="15">
      <c r="A174" s="50">
        <v>1</v>
      </c>
      <c r="B174" s="51">
        <f ca="1">IF($A174="","",NumList())</f>
        <v>8</v>
      </c>
      <c r="C174" s="52" t="s">
        <v>65</v>
      </c>
      <c r="D174" s="55">
        <f t="shared" ca="1" si="9"/>
        <v>0</v>
      </c>
      <c r="E174" s="55"/>
      <c r="F174" s="55"/>
      <c r="H174" s="78"/>
      <c r="I174" s="53">
        <f>F174*H174</f>
        <v>0</v>
      </c>
      <c r="J174" s="58"/>
      <c r="K174" s="58"/>
    </row>
    <row r="175" spans="1:11" s="41" customFormat="1" ht="28.5">
      <c r="A175" s="50">
        <v>2</v>
      </c>
      <c r="B175" s="51" t="str">
        <f ca="1">IF($A175="","",NumList())</f>
        <v>8.1</v>
      </c>
      <c r="C175" s="62" t="s">
        <v>283</v>
      </c>
      <c r="D175" s="55">
        <f t="shared" ca="1" si="9"/>
        <v>1</v>
      </c>
      <c r="E175" s="55"/>
      <c r="F175" s="55">
        <v>1</v>
      </c>
      <c r="G175" s="51" t="s">
        <v>0</v>
      </c>
      <c r="H175" s="62" t="s">
        <v>73</v>
      </c>
      <c r="I175" s="53"/>
      <c r="J175" s="58"/>
      <c r="K175" s="58"/>
    </row>
    <row r="176" spans="1:11" s="41" customFormat="1" ht="15">
      <c r="A176" s="50" t="s">
        <v>516</v>
      </c>
      <c r="B176" s="51" t="str">
        <f>IF($A176="","",NumList())</f>
        <v/>
      </c>
      <c r="C176" s="62"/>
      <c r="D176" s="55"/>
      <c r="E176" s="55"/>
      <c r="F176" s="55"/>
      <c r="G176" s="51"/>
      <c r="H176" s="78"/>
      <c r="I176" s="53">
        <f>F176*H176</f>
        <v>0</v>
      </c>
      <c r="J176" s="58"/>
      <c r="K176" s="58"/>
    </row>
    <row r="177" spans="1:11" s="41" customFormat="1" ht="15">
      <c r="A177" s="50"/>
      <c r="B177" s="32"/>
      <c r="C177" s="70"/>
      <c r="D177" s="71"/>
      <c r="E177" s="71"/>
      <c r="F177" s="71"/>
      <c r="G177" s="30"/>
      <c r="H177" s="82" t="s">
        <v>273</v>
      </c>
      <c r="I177" s="78">
        <f ca="1">SUM(I34:I176)</f>
        <v>235671</v>
      </c>
      <c r="J177" s="58"/>
      <c r="K177" s="58"/>
    </row>
    <row r="178" spans="1:11" s="41" customFormat="1" ht="15">
      <c r="A178" s="50"/>
      <c r="B178" s="32"/>
      <c r="C178" s="70"/>
      <c r="D178" s="71"/>
      <c r="E178" s="71"/>
      <c r="F178" s="71"/>
      <c r="G178" s="30"/>
      <c r="H178" s="83"/>
      <c r="I178" s="77"/>
      <c r="J178" s="58"/>
      <c r="K178" s="58"/>
    </row>
    <row r="179" spans="1:11" s="41" customFormat="1" ht="15">
      <c r="A179" s="50"/>
      <c r="B179" s="30"/>
      <c r="C179" s="70"/>
      <c r="D179" s="71"/>
      <c r="E179" s="71"/>
      <c r="F179" s="71"/>
      <c r="G179" s="30"/>
      <c r="H179" s="77"/>
      <c r="I179" s="77"/>
      <c r="J179" s="58"/>
      <c r="K179" s="58"/>
    </row>
    <row r="180" spans="1:11" s="41" customFormat="1" ht="15">
      <c r="A180" s="50"/>
      <c r="B180" s="30"/>
      <c r="C180" s="30" t="s">
        <v>18</v>
      </c>
      <c r="D180" s="31"/>
      <c r="E180" s="31"/>
      <c r="F180" s="31"/>
      <c r="G180" s="84"/>
      <c r="H180" s="85"/>
      <c r="I180" s="86"/>
      <c r="J180" s="58"/>
      <c r="K180" s="58"/>
    </row>
    <row r="181" spans="1:11" s="41" customFormat="1" ht="15">
      <c r="A181" s="50"/>
      <c r="B181" s="30"/>
      <c r="C181" s="30"/>
      <c r="D181" s="34"/>
      <c r="E181" s="34"/>
      <c r="F181" s="34"/>
      <c r="G181" s="32"/>
      <c r="H181" s="33"/>
      <c r="I181" s="30"/>
      <c r="J181" s="58"/>
      <c r="K181" s="58"/>
    </row>
    <row r="182" spans="1:11" s="41" customFormat="1" ht="15">
      <c r="A182" s="50"/>
      <c r="B182" s="30"/>
      <c r="C182" s="30" t="s">
        <v>19</v>
      </c>
      <c r="D182" s="31"/>
      <c r="E182" s="31"/>
      <c r="F182" s="31"/>
      <c r="G182" s="84"/>
      <c r="H182" s="85"/>
      <c r="I182" s="86"/>
      <c r="J182" s="58"/>
      <c r="K182" s="58"/>
    </row>
    <row r="183" spans="1:11">
      <c r="A183" s="50"/>
      <c r="C183" s="70"/>
    </row>
    <row r="184" spans="1:11" ht="56.25">
      <c r="A184" s="50"/>
      <c r="C184" s="74" t="s">
        <v>188</v>
      </c>
    </row>
    <row r="185" spans="1:11">
      <c r="A185" s="50"/>
      <c r="C185" s="70"/>
    </row>
    <row r="186" spans="1:11">
      <c r="A186" s="50"/>
      <c r="C186" s="70"/>
    </row>
    <row r="187" spans="1:11">
      <c r="A187" s="50"/>
      <c r="C187" s="70"/>
    </row>
    <row r="188" spans="1:11">
      <c r="A188" s="50"/>
      <c r="C188" s="70"/>
    </row>
    <row r="189" spans="1:11">
      <c r="A189" s="50"/>
      <c r="C189" s="70"/>
    </row>
    <row r="190" spans="1:11" s="58" customFormat="1">
      <c r="A190" s="50"/>
      <c r="B190" s="30"/>
      <c r="C190" s="70"/>
      <c r="D190" s="71"/>
      <c r="E190" s="71"/>
      <c r="F190" s="71"/>
      <c r="G190" s="30"/>
      <c r="H190" s="77"/>
      <c r="I190" s="77"/>
    </row>
    <row r="191" spans="1:11" s="58" customFormat="1">
      <c r="A191" s="50"/>
      <c r="B191" s="30"/>
      <c r="C191" s="70"/>
      <c r="D191" s="71"/>
      <c r="E191" s="71"/>
      <c r="F191" s="71"/>
      <c r="G191" s="30"/>
      <c r="H191" s="77"/>
      <c r="I191" s="77"/>
    </row>
    <row r="192" spans="1:11" s="58" customFormat="1">
      <c r="A192" s="50"/>
      <c r="B192" s="30"/>
      <c r="C192" s="70"/>
      <c r="D192" s="71"/>
      <c r="E192" s="71"/>
      <c r="F192" s="71"/>
      <c r="G192" s="30"/>
      <c r="H192" s="77"/>
      <c r="I192" s="77"/>
    </row>
    <row r="193" spans="1:9" s="58" customFormat="1">
      <c r="A193" s="50"/>
      <c r="B193" s="30"/>
      <c r="C193" s="70"/>
      <c r="D193" s="71"/>
      <c r="E193" s="71"/>
      <c r="F193" s="71"/>
      <c r="G193" s="30"/>
      <c r="H193" s="77"/>
      <c r="I193" s="77"/>
    </row>
    <row r="194" spans="1:9" s="58" customFormat="1">
      <c r="A194" s="50"/>
      <c r="B194" s="30"/>
      <c r="C194" s="70"/>
      <c r="D194" s="71"/>
      <c r="E194" s="71"/>
      <c r="F194" s="71"/>
      <c r="G194" s="30"/>
      <c r="H194" s="77"/>
      <c r="I194" s="77"/>
    </row>
    <row r="195" spans="1:9" s="58" customFormat="1">
      <c r="A195" s="50"/>
      <c r="B195" s="30"/>
      <c r="C195" s="70"/>
      <c r="D195" s="71"/>
      <c r="E195" s="71"/>
      <c r="F195" s="71"/>
      <c r="G195" s="30"/>
      <c r="H195" s="77"/>
      <c r="I195" s="77"/>
    </row>
    <row r="196" spans="1:9" s="58" customFormat="1">
      <c r="A196" s="50"/>
      <c r="B196" s="30"/>
      <c r="C196" s="70"/>
      <c r="D196" s="71"/>
      <c r="E196" s="71"/>
      <c r="F196" s="71"/>
      <c r="G196" s="30"/>
      <c r="H196" s="77"/>
      <c r="I196" s="77"/>
    </row>
    <row r="197" spans="1:9" s="58" customFormat="1">
      <c r="A197" s="50"/>
      <c r="B197" s="30"/>
      <c r="C197" s="70"/>
      <c r="D197" s="71"/>
      <c r="E197" s="71"/>
      <c r="F197" s="71"/>
      <c r="G197" s="30"/>
      <c r="H197" s="77"/>
      <c r="I197" s="77"/>
    </row>
    <row r="198" spans="1:9" s="58" customFormat="1">
      <c r="A198" s="50"/>
      <c r="B198" s="30"/>
      <c r="C198" s="70"/>
      <c r="D198" s="71"/>
      <c r="E198" s="71"/>
      <c r="F198" s="71"/>
      <c r="G198" s="30"/>
      <c r="H198" s="77"/>
      <c r="I198" s="77"/>
    </row>
    <row r="199" spans="1:9" s="58" customFormat="1">
      <c r="A199" s="50"/>
      <c r="B199" s="30"/>
      <c r="C199" s="70"/>
      <c r="D199" s="71"/>
      <c r="E199" s="71"/>
      <c r="F199" s="71"/>
      <c r="G199" s="30"/>
      <c r="H199" s="77"/>
      <c r="I199" s="77"/>
    </row>
    <row r="200" spans="1:9" s="58" customFormat="1">
      <c r="A200" s="50"/>
      <c r="B200" s="30"/>
      <c r="C200" s="70"/>
      <c r="D200" s="71"/>
      <c r="E200" s="71"/>
      <c r="F200" s="71"/>
      <c r="G200" s="30"/>
      <c r="H200" s="77"/>
      <c r="I200" s="77"/>
    </row>
    <row r="201" spans="1:9" s="58" customFormat="1">
      <c r="A201" s="50"/>
      <c r="B201" s="30"/>
      <c r="C201" s="70"/>
      <c r="D201" s="71"/>
      <c r="E201" s="71"/>
      <c r="F201" s="71"/>
      <c r="G201" s="30"/>
      <c r="H201" s="77"/>
      <c r="I201" s="77"/>
    </row>
    <row r="202" spans="1:9" s="58" customFormat="1">
      <c r="A202" s="50"/>
      <c r="B202" s="30"/>
      <c r="C202" s="70"/>
      <c r="D202" s="71"/>
      <c r="E202" s="71"/>
      <c r="F202" s="71"/>
      <c r="G202" s="30"/>
      <c r="H202" s="77"/>
      <c r="I202" s="77"/>
    </row>
    <row r="203" spans="1:9" s="58" customFormat="1">
      <c r="A203" s="50"/>
      <c r="B203" s="30"/>
      <c r="C203" s="70"/>
      <c r="D203" s="71"/>
      <c r="E203" s="71"/>
      <c r="F203" s="71"/>
      <c r="G203" s="30"/>
      <c r="H203" s="77"/>
      <c r="I203" s="77"/>
    </row>
    <row r="204" spans="1:9" s="58" customFormat="1">
      <c r="A204" s="50"/>
      <c r="B204" s="30"/>
      <c r="C204" s="70"/>
      <c r="D204" s="71"/>
      <c r="E204" s="71"/>
      <c r="F204" s="71"/>
      <c r="G204" s="30"/>
      <c r="H204" s="77"/>
      <c r="I204" s="77"/>
    </row>
    <row r="205" spans="1:9" s="58" customFormat="1">
      <c r="A205" s="50"/>
      <c r="B205" s="30"/>
      <c r="C205" s="70"/>
      <c r="D205" s="71"/>
      <c r="E205" s="71"/>
      <c r="F205" s="71"/>
      <c r="G205" s="30"/>
      <c r="H205" s="77"/>
      <c r="I205" s="77"/>
    </row>
    <row r="206" spans="1:9" s="58" customFormat="1">
      <c r="A206" s="50"/>
      <c r="B206" s="30"/>
      <c r="C206" s="70"/>
      <c r="D206" s="71"/>
      <c r="E206" s="71"/>
      <c r="F206" s="71"/>
      <c r="G206" s="30"/>
      <c r="H206" s="77"/>
      <c r="I206" s="77"/>
    </row>
    <row r="207" spans="1:9" s="58" customFormat="1">
      <c r="A207" s="50"/>
      <c r="B207" s="30"/>
      <c r="C207" s="70"/>
      <c r="D207" s="71"/>
      <c r="E207" s="71"/>
      <c r="F207" s="71"/>
      <c r="G207" s="30"/>
      <c r="H207" s="77"/>
      <c r="I207" s="77"/>
    </row>
    <row r="208" spans="1:9" s="58" customFormat="1">
      <c r="A208" s="50"/>
      <c r="B208" s="30"/>
      <c r="C208" s="70"/>
      <c r="D208" s="71"/>
      <c r="E208" s="71"/>
      <c r="F208" s="71"/>
      <c r="G208" s="30"/>
      <c r="H208" s="77"/>
      <c r="I208" s="77"/>
    </row>
    <row r="209" spans="1:9" s="58" customFormat="1">
      <c r="A209" s="50"/>
      <c r="B209" s="30"/>
      <c r="C209" s="70"/>
      <c r="D209" s="71"/>
      <c r="E209" s="71"/>
      <c r="F209" s="71"/>
      <c r="G209" s="30"/>
      <c r="H209" s="77"/>
      <c r="I209" s="77"/>
    </row>
    <row r="210" spans="1:9" s="58" customFormat="1">
      <c r="A210" s="50"/>
      <c r="B210" s="30"/>
      <c r="C210" s="70"/>
      <c r="D210" s="71"/>
      <c r="E210" s="71"/>
      <c r="F210" s="71"/>
      <c r="G210" s="30"/>
      <c r="H210" s="77"/>
      <c r="I210" s="77"/>
    </row>
    <row r="211" spans="1:9" s="58" customFormat="1">
      <c r="A211" s="50"/>
      <c r="B211" s="30"/>
      <c r="C211" s="70"/>
      <c r="D211" s="71"/>
      <c r="E211" s="71"/>
      <c r="F211" s="71"/>
      <c r="G211" s="30"/>
      <c r="H211" s="77"/>
      <c r="I211" s="77"/>
    </row>
    <row r="212" spans="1:9" s="58" customFormat="1">
      <c r="A212" s="50"/>
      <c r="B212" s="30"/>
      <c r="C212" s="70"/>
      <c r="D212" s="71"/>
      <c r="E212" s="71"/>
      <c r="F212" s="71"/>
      <c r="G212" s="30"/>
      <c r="H212" s="77"/>
      <c r="I212" s="77"/>
    </row>
    <row r="213" spans="1:9" s="58" customFormat="1">
      <c r="A213" s="50"/>
      <c r="B213" s="30"/>
      <c r="C213" s="70"/>
      <c r="D213" s="71"/>
      <c r="E213" s="71"/>
      <c r="F213" s="71"/>
      <c r="G213" s="30"/>
      <c r="H213" s="77"/>
      <c r="I213" s="77"/>
    </row>
    <row r="214" spans="1:9" s="58" customFormat="1">
      <c r="A214" s="50"/>
      <c r="B214" s="30"/>
      <c r="C214" s="70"/>
      <c r="D214" s="71"/>
      <c r="E214" s="71"/>
      <c r="F214" s="71"/>
      <c r="G214" s="30"/>
      <c r="H214" s="77"/>
      <c r="I214" s="77"/>
    </row>
    <row r="215" spans="1:9" s="58" customFormat="1">
      <c r="A215" s="50"/>
      <c r="B215" s="30"/>
      <c r="C215" s="70"/>
      <c r="D215" s="71"/>
      <c r="E215" s="71"/>
      <c r="F215" s="71"/>
      <c r="G215" s="30"/>
      <c r="H215" s="77"/>
      <c r="I215" s="77"/>
    </row>
    <row r="216" spans="1:9" s="58" customFormat="1">
      <c r="A216" s="50"/>
      <c r="B216" s="30"/>
      <c r="C216" s="70"/>
      <c r="D216" s="71"/>
      <c r="E216" s="71"/>
      <c r="F216" s="71"/>
      <c r="G216" s="30"/>
      <c r="H216" s="77"/>
      <c r="I216" s="77"/>
    </row>
    <row r="217" spans="1:9" s="58" customFormat="1">
      <c r="A217" s="50"/>
      <c r="B217" s="30"/>
      <c r="C217" s="70"/>
      <c r="D217" s="71"/>
      <c r="E217" s="71"/>
      <c r="F217" s="71"/>
      <c r="G217" s="30"/>
      <c r="H217" s="77"/>
      <c r="I217" s="77"/>
    </row>
    <row r="218" spans="1:9" s="58" customFormat="1">
      <c r="A218" s="50"/>
      <c r="B218" s="30"/>
      <c r="C218" s="70"/>
      <c r="D218" s="71"/>
      <c r="E218" s="71"/>
      <c r="F218" s="71"/>
      <c r="G218" s="30"/>
      <c r="H218" s="77"/>
      <c r="I218" s="77"/>
    </row>
    <row r="219" spans="1:9" s="58" customFormat="1">
      <c r="A219" s="50"/>
      <c r="B219" s="30"/>
      <c r="C219" s="70"/>
      <c r="D219" s="71"/>
      <c r="E219" s="71"/>
      <c r="F219" s="71"/>
      <c r="G219" s="30"/>
      <c r="H219" s="77"/>
      <c r="I219" s="77"/>
    </row>
    <row r="220" spans="1:9" s="58" customFormat="1">
      <c r="A220" s="50"/>
      <c r="B220" s="30"/>
      <c r="C220" s="70"/>
      <c r="D220" s="71"/>
      <c r="E220" s="71"/>
      <c r="F220" s="71"/>
      <c r="G220" s="30"/>
      <c r="H220" s="77"/>
      <c r="I220" s="77"/>
    </row>
    <row r="221" spans="1:9" s="58" customFormat="1">
      <c r="A221" s="50"/>
      <c r="B221" s="30"/>
      <c r="C221" s="70"/>
      <c r="D221" s="71"/>
      <c r="E221" s="71"/>
      <c r="F221" s="71"/>
      <c r="G221" s="30"/>
      <c r="H221" s="77"/>
      <c r="I221" s="77"/>
    </row>
    <row r="222" spans="1:9" s="58" customFormat="1">
      <c r="A222" s="50"/>
      <c r="B222" s="30"/>
      <c r="C222" s="70"/>
      <c r="D222" s="71"/>
      <c r="E222" s="71"/>
      <c r="F222" s="71"/>
      <c r="G222" s="30"/>
      <c r="H222" s="77"/>
      <c r="I222" s="77"/>
    </row>
    <row r="223" spans="1:9" s="58" customFormat="1">
      <c r="A223" s="50"/>
      <c r="B223" s="30"/>
      <c r="C223" s="70"/>
      <c r="D223" s="71"/>
      <c r="E223" s="71"/>
      <c r="F223" s="71"/>
      <c r="G223" s="30"/>
      <c r="H223" s="77"/>
      <c r="I223" s="77"/>
    </row>
    <row r="224" spans="1:9" s="58" customFormat="1">
      <c r="A224" s="50"/>
      <c r="B224" s="30"/>
      <c r="C224" s="70"/>
      <c r="D224" s="71"/>
      <c r="E224" s="71"/>
      <c r="F224" s="71"/>
      <c r="G224" s="30"/>
      <c r="H224" s="77"/>
      <c r="I224" s="77"/>
    </row>
    <row r="225" spans="1:9" s="58" customFormat="1">
      <c r="A225" s="50"/>
      <c r="B225" s="30"/>
      <c r="C225" s="70"/>
      <c r="D225" s="71"/>
      <c r="E225" s="71"/>
      <c r="F225" s="71"/>
      <c r="G225" s="30"/>
      <c r="H225" s="77"/>
      <c r="I225" s="77"/>
    </row>
    <row r="226" spans="1:9" s="58" customFormat="1">
      <c r="A226" s="50"/>
      <c r="B226" s="30"/>
      <c r="C226" s="70"/>
      <c r="D226" s="71"/>
      <c r="E226" s="71"/>
      <c r="F226" s="71"/>
      <c r="G226" s="30"/>
      <c r="H226" s="77"/>
      <c r="I226" s="77"/>
    </row>
    <row r="227" spans="1:9" s="58" customFormat="1">
      <c r="A227" s="50"/>
      <c r="B227" s="30"/>
      <c r="C227" s="70"/>
      <c r="D227" s="71"/>
      <c r="E227" s="71"/>
      <c r="F227" s="71"/>
      <c r="G227" s="30"/>
      <c r="H227" s="77"/>
      <c r="I227" s="77"/>
    </row>
    <row r="228" spans="1:9" s="58" customFormat="1">
      <c r="A228" s="50"/>
      <c r="B228" s="30"/>
      <c r="C228" s="70"/>
      <c r="D228" s="71"/>
      <c r="E228" s="71"/>
      <c r="F228" s="71"/>
      <c r="G228" s="30"/>
      <c r="H228" s="77"/>
      <c r="I228" s="77"/>
    </row>
    <row r="229" spans="1:9" s="58" customFormat="1">
      <c r="A229" s="50"/>
      <c r="B229" s="30"/>
      <c r="C229" s="70"/>
      <c r="D229" s="71"/>
      <c r="E229" s="71"/>
      <c r="F229" s="71"/>
      <c r="G229" s="30"/>
      <c r="H229" s="77"/>
      <c r="I229" s="77"/>
    </row>
    <row r="230" spans="1:9" s="58" customFormat="1">
      <c r="A230" s="50"/>
      <c r="B230" s="30"/>
      <c r="C230" s="70"/>
      <c r="D230" s="71"/>
      <c r="E230" s="71"/>
      <c r="F230" s="71"/>
      <c r="G230" s="30"/>
      <c r="H230" s="77"/>
      <c r="I230" s="77"/>
    </row>
    <row r="231" spans="1:9" s="58" customFormat="1">
      <c r="A231" s="50"/>
      <c r="B231" s="30"/>
      <c r="C231" s="70"/>
      <c r="D231" s="71"/>
      <c r="E231" s="71"/>
      <c r="F231" s="71"/>
      <c r="G231" s="30"/>
      <c r="H231" s="77"/>
      <c r="I231" s="77"/>
    </row>
    <row r="232" spans="1:9" s="58" customFormat="1">
      <c r="A232" s="50"/>
      <c r="B232" s="30"/>
      <c r="C232" s="70"/>
      <c r="D232" s="71"/>
      <c r="E232" s="71"/>
      <c r="F232" s="71"/>
      <c r="G232" s="30"/>
      <c r="H232" s="77"/>
      <c r="I232" s="77"/>
    </row>
    <row r="233" spans="1:9" s="58" customFormat="1">
      <c r="A233" s="50"/>
      <c r="B233" s="30"/>
      <c r="C233" s="70"/>
      <c r="D233" s="71"/>
      <c r="E233" s="71"/>
      <c r="F233" s="71"/>
      <c r="G233" s="30"/>
      <c r="H233" s="77"/>
      <c r="I233" s="77"/>
    </row>
    <row r="234" spans="1:9" s="58" customFormat="1">
      <c r="A234" s="50"/>
      <c r="B234" s="30"/>
      <c r="C234" s="70"/>
      <c r="D234" s="71"/>
      <c r="E234" s="71"/>
      <c r="F234" s="71"/>
      <c r="G234" s="30"/>
      <c r="H234" s="77"/>
      <c r="I234" s="77"/>
    </row>
    <row r="235" spans="1:9" s="58" customFormat="1">
      <c r="A235" s="50"/>
      <c r="B235" s="30"/>
      <c r="C235" s="70"/>
      <c r="D235" s="71"/>
      <c r="E235" s="71"/>
      <c r="F235" s="71"/>
      <c r="G235" s="30"/>
      <c r="H235" s="77"/>
      <c r="I235" s="77"/>
    </row>
    <row r="236" spans="1:9" s="58" customFormat="1">
      <c r="A236" s="50"/>
      <c r="B236" s="30"/>
      <c r="C236" s="70"/>
      <c r="D236" s="71"/>
      <c r="E236" s="71"/>
      <c r="F236" s="71"/>
      <c r="G236" s="30"/>
      <c r="H236" s="77"/>
      <c r="I236" s="77"/>
    </row>
    <row r="237" spans="1:9" s="58" customFormat="1">
      <c r="A237" s="50"/>
      <c r="B237" s="30"/>
      <c r="C237" s="70"/>
      <c r="D237" s="71"/>
      <c r="E237" s="71"/>
      <c r="F237" s="71"/>
      <c r="G237" s="30"/>
      <c r="H237" s="77"/>
      <c r="I237" s="77"/>
    </row>
    <row r="238" spans="1:9" s="58" customFormat="1">
      <c r="A238" s="50"/>
      <c r="B238" s="30"/>
      <c r="C238" s="70"/>
      <c r="D238" s="71"/>
      <c r="E238" s="71"/>
      <c r="F238" s="71"/>
      <c r="G238" s="30"/>
      <c r="H238" s="77"/>
      <c r="I238" s="77"/>
    </row>
    <row r="239" spans="1:9" s="58" customFormat="1">
      <c r="A239" s="50"/>
      <c r="B239" s="30"/>
      <c r="C239" s="70"/>
      <c r="D239" s="71"/>
      <c r="E239" s="71"/>
      <c r="F239" s="71"/>
      <c r="G239" s="30"/>
      <c r="H239" s="77"/>
      <c r="I239" s="77"/>
    </row>
    <row r="240" spans="1:9" s="58" customFormat="1">
      <c r="A240" s="50"/>
      <c r="B240" s="30"/>
      <c r="C240" s="70"/>
      <c r="D240" s="71"/>
      <c r="E240" s="71"/>
      <c r="F240" s="71"/>
      <c r="G240" s="30"/>
      <c r="H240" s="77"/>
      <c r="I240" s="77"/>
    </row>
    <row r="241" spans="1:9" s="58" customFormat="1">
      <c r="A241" s="50"/>
      <c r="B241" s="30"/>
      <c r="C241" s="70"/>
      <c r="D241" s="71"/>
      <c r="E241" s="71"/>
      <c r="F241" s="71"/>
      <c r="G241" s="30"/>
      <c r="H241" s="77"/>
      <c r="I241" s="77"/>
    </row>
    <row r="242" spans="1:9" s="58" customFormat="1">
      <c r="A242" s="50"/>
      <c r="B242" s="30"/>
      <c r="C242" s="70"/>
      <c r="D242" s="71"/>
      <c r="E242" s="71"/>
      <c r="F242" s="71"/>
      <c r="G242" s="30"/>
      <c r="H242" s="77"/>
      <c r="I242" s="77"/>
    </row>
    <row r="243" spans="1:9" s="58" customFormat="1">
      <c r="A243" s="50"/>
      <c r="B243" s="30"/>
      <c r="C243" s="70"/>
      <c r="D243" s="71"/>
      <c r="E243" s="71"/>
      <c r="F243" s="71"/>
      <c r="G243" s="30"/>
      <c r="H243" s="77"/>
      <c r="I243" s="77"/>
    </row>
    <row r="244" spans="1:9" s="58" customFormat="1">
      <c r="A244" s="50"/>
      <c r="B244" s="30"/>
      <c r="C244" s="70"/>
      <c r="D244" s="71"/>
      <c r="E244" s="71"/>
      <c r="F244" s="71"/>
      <c r="G244" s="30"/>
      <c r="H244" s="77"/>
      <c r="I244" s="77"/>
    </row>
    <row r="245" spans="1:9" s="58" customFormat="1">
      <c r="A245" s="50"/>
      <c r="B245" s="30"/>
      <c r="C245" s="70"/>
      <c r="D245" s="71"/>
      <c r="E245" s="71"/>
      <c r="F245" s="71"/>
      <c r="G245" s="30"/>
      <c r="H245" s="77"/>
      <c r="I245" s="77"/>
    </row>
    <row r="246" spans="1:9" s="58" customFormat="1">
      <c r="A246" s="50"/>
      <c r="B246" s="30"/>
      <c r="C246" s="70"/>
      <c r="D246" s="71"/>
      <c r="E246" s="71"/>
      <c r="F246" s="71"/>
      <c r="G246" s="30"/>
      <c r="H246" s="77"/>
      <c r="I246" s="77"/>
    </row>
    <row r="247" spans="1:9" s="58" customFormat="1">
      <c r="A247" s="50"/>
      <c r="B247" s="30"/>
      <c r="C247" s="70"/>
      <c r="D247" s="71"/>
      <c r="E247" s="71"/>
      <c r="F247" s="71"/>
      <c r="G247" s="30"/>
      <c r="H247" s="77"/>
      <c r="I247" s="77"/>
    </row>
    <row r="248" spans="1:9" s="58" customFormat="1">
      <c r="A248" s="50"/>
      <c r="B248" s="30"/>
      <c r="C248" s="70"/>
      <c r="D248" s="71"/>
      <c r="E248" s="71"/>
      <c r="F248" s="71"/>
      <c r="G248" s="30"/>
      <c r="H248" s="77"/>
      <c r="I248" s="77"/>
    </row>
    <row r="249" spans="1:9" s="58" customFormat="1">
      <c r="A249" s="50"/>
      <c r="B249" s="30"/>
      <c r="C249" s="70"/>
      <c r="D249" s="71"/>
      <c r="E249" s="71"/>
      <c r="F249" s="71"/>
      <c r="G249" s="30"/>
      <c r="H249" s="77"/>
      <c r="I249" s="77"/>
    </row>
    <row r="250" spans="1:9" s="58" customFormat="1">
      <c r="A250" s="50"/>
      <c r="B250" s="30"/>
      <c r="C250" s="70"/>
      <c r="D250" s="71"/>
      <c r="E250" s="71"/>
      <c r="F250" s="71"/>
      <c r="G250" s="30"/>
      <c r="H250" s="77"/>
      <c r="I250" s="77"/>
    </row>
    <row r="251" spans="1:9" s="58" customFormat="1">
      <c r="A251" s="50"/>
      <c r="B251" s="30"/>
      <c r="C251" s="70"/>
      <c r="D251" s="71"/>
      <c r="E251" s="71"/>
      <c r="F251" s="71"/>
      <c r="G251" s="30"/>
      <c r="H251" s="77"/>
      <c r="I251" s="77"/>
    </row>
    <row r="252" spans="1:9" s="58" customFormat="1">
      <c r="A252" s="50"/>
      <c r="B252" s="30"/>
      <c r="C252" s="70"/>
      <c r="D252" s="71"/>
      <c r="E252" s="71"/>
      <c r="F252" s="71"/>
      <c r="G252" s="30"/>
      <c r="H252" s="77"/>
      <c r="I252" s="77"/>
    </row>
    <row r="253" spans="1:9" s="58" customFormat="1">
      <c r="A253" s="50"/>
      <c r="B253" s="30"/>
      <c r="C253" s="70"/>
      <c r="D253" s="71"/>
      <c r="E253" s="71"/>
      <c r="F253" s="71"/>
      <c r="G253" s="30"/>
      <c r="H253" s="77"/>
      <c r="I253" s="77"/>
    </row>
    <row r="254" spans="1:9" s="58" customFormat="1">
      <c r="A254" s="50"/>
      <c r="B254" s="30"/>
      <c r="C254" s="70"/>
      <c r="D254" s="71"/>
      <c r="E254" s="71"/>
      <c r="F254" s="71"/>
      <c r="G254" s="30"/>
      <c r="H254" s="77"/>
      <c r="I254" s="77"/>
    </row>
    <row r="255" spans="1:9" s="58" customFormat="1">
      <c r="A255" s="50"/>
      <c r="B255" s="30"/>
      <c r="C255" s="70"/>
      <c r="D255" s="71"/>
      <c r="E255" s="71"/>
      <c r="F255" s="71"/>
      <c r="G255" s="30"/>
      <c r="H255" s="77"/>
      <c r="I255" s="77"/>
    </row>
    <row r="256" spans="1:9" s="58" customFormat="1">
      <c r="A256" s="50"/>
      <c r="B256" s="30"/>
      <c r="C256" s="70"/>
      <c r="D256" s="71"/>
      <c r="E256" s="71"/>
      <c r="F256" s="71"/>
      <c r="G256" s="30"/>
      <c r="H256" s="77"/>
      <c r="I256" s="77"/>
    </row>
    <row r="257" spans="1:11" s="58" customFormat="1">
      <c r="A257" s="50"/>
      <c r="B257" s="30"/>
      <c r="C257" s="70"/>
      <c r="D257" s="71"/>
      <c r="E257" s="71"/>
      <c r="F257" s="71"/>
      <c r="G257" s="30"/>
      <c r="H257" s="77"/>
      <c r="I257" s="77"/>
    </row>
    <row r="258" spans="1:11" s="58" customFormat="1">
      <c r="A258" s="50"/>
      <c r="B258" s="30"/>
      <c r="C258" s="70"/>
      <c r="D258" s="71"/>
      <c r="E258" s="71"/>
      <c r="F258" s="71"/>
      <c r="G258" s="30"/>
      <c r="H258" s="77"/>
      <c r="I258" s="77"/>
    </row>
    <row r="259" spans="1:11" s="58" customFormat="1">
      <c r="A259" s="50"/>
      <c r="B259" s="30"/>
      <c r="C259" s="70"/>
      <c r="D259" s="71"/>
      <c r="E259" s="71"/>
      <c r="F259" s="71"/>
      <c r="G259" s="30"/>
      <c r="H259" s="77"/>
      <c r="I259" s="77"/>
    </row>
    <row r="260" spans="1:11" s="58" customFormat="1">
      <c r="A260" s="50"/>
      <c r="B260" s="30"/>
      <c r="C260" s="70"/>
      <c r="D260" s="71"/>
      <c r="E260" s="71"/>
      <c r="F260" s="71"/>
      <c r="G260" s="30"/>
      <c r="H260" s="77"/>
      <c r="I260" s="77"/>
    </row>
    <row r="261" spans="1:11" s="58" customFormat="1">
      <c r="A261" s="50"/>
      <c r="B261" s="30"/>
      <c r="C261" s="70"/>
      <c r="D261" s="71"/>
      <c r="E261" s="71"/>
      <c r="F261" s="71"/>
      <c r="G261" s="30"/>
      <c r="H261" s="77"/>
      <c r="I261" s="77"/>
    </row>
    <row r="262" spans="1:11" s="58" customFormat="1">
      <c r="A262" s="50"/>
      <c r="B262" s="30"/>
      <c r="C262" s="70"/>
      <c r="D262" s="71"/>
      <c r="E262" s="71"/>
      <c r="F262" s="71"/>
      <c r="G262" s="30"/>
      <c r="H262" s="77"/>
      <c r="I262" s="77"/>
    </row>
    <row r="263" spans="1:11" s="58" customFormat="1">
      <c r="A263" s="50"/>
      <c r="B263" s="30"/>
      <c r="C263" s="70"/>
      <c r="D263" s="71"/>
      <c r="E263" s="71"/>
      <c r="F263" s="71"/>
      <c r="G263" s="30"/>
      <c r="H263" s="77"/>
      <c r="I263" s="77"/>
    </row>
    <row r="264" spans="1:11" s="58" customFormat="1">
      <c r="A264" s="50"/>
      <c r="B264" s="30"/>
      <c r="C264" s="70"/>
      <c r="D264" s="71"/>
      <c r="E264" s="71"/>
      <c r="F264" s="71"/>
      <c r="G264" s="30"/>
      <c r="H264" s="77"/>
      <c r="I264" s="77"/>
    </row>
    <row r="265" spans="1:11" s="58" customFormat="1">
      <c r="A265" s="50"/>
      <c r="B265" s="30"/>
      <c r="C265" s="70"/>
      <c r="D265" s="71"/>
      <c r="E265" s="71"/>
      <c r="F265" s="71"/>
      <c r="G265" s="30"/>
      <c r="H265" s="77"/>
      <c r="I265" s="77"/>
    </row>
    <row r="266" spans="1:11" s="58" customFormat="1">
      <c r="A266" s="50"/>
      <c r="B266" s="30"/>
      <c r="C266" s="70"/>
      <c r="D266" s="71"/>
      <c r="E266" s="71"/>
      <c r="F266" s="71"/>
      <c r="G266" s="30"/>
      <c r="H266" s="77"/>
      <c r="I266" s="77"/>
    </row>
    <row r="267" spans="1:11" s="58" customFormat="1">
      <c r="A267" s="50"/>
      <c r="B267" s="30"/>
      <c r="C267" s="70"/>
      <c r="D267" s="71"/>
      <c r="E267" s="71"/>
      <c r="F267" s="71"/>
      <c r="G267" s="30"/>
      <c r="H267" s="77"/>
      <c r="I267" s="77"/>
    </row>
    <row r="268" spans="1:11" s="58" customFormat="1">
      <c r="A268" s="50"/>
      <c r="B268" s="30"/>
      <c r="C268" s="70"/>
      <c r="D268" s="71"/>
      <c r="E268" s="71"/>
      <c r="F268" s="71"/>
      <c r="G268" s="30"/>
      <c r="H268" s="77"/>
      <c r="I268" s="77"/>
    </row>
    <row r="269" spans="1:11" s="58" customFormat="1">
      <c r="A269" s="50"/>
      <c r="B269" s="30"/>
      <c r="C269" s="70"/>
      <c r="D269" s="71"/>
      <c r="E269" s="71"/>
      <c r="F269" s="71"/>
      <c r="G269" s="30"/>
      <c r="H269" s="77"/>
      <c r="I269" s="77"/>
    </row>
    <row r="270" spans="1:11" s="71" customFormat="1">
      <c r="A270" s="50"/>
      <c r="B270" s="30"/>
      <c r="C270" s="70"/>
      <c r="G270" s="30"/>
      <c r="H270" s="77"/>
      <c r="I270" s="77"/>
      <c r="J270" s="58"/>
      <c r="K270" s="58"/>
    </row>
    <row r="271" spans="1:11" s="71" customFormat="1">
      <c r="A271" s="50"/>
      <c r="B271" s="30"/>
      <c r="C271" s="70"/>
      <c r="G271" s="30"/>
      <c r="H271" s="77"/>
      <c r="I271" s="77"/>
      <c r="J271" s="58"/>
      <c r="K271" s="58"/>
    </row>
    <row r="272" spans="1:11" s="71" customFormat="1">
      <c r="A272" s="50"/>
      <c r="B272" s="30"/>
      <c r="C272" s="70"/>
      <c r="G272" s="30"/>
      <c r="H272" s="77"/>
      <c r="I272" s="77"/>
      <c r="J272" s="58"/>
      <c r="K272" s="58"/>
    </row>
    <row r="273" spans="1:11" s="71" customFormat="1">
      <c r="A273" s="50"/>
      <c r="B273" s="30"/>
      <c r="C273" s="70"/>
      <c r="G273" s="30"/>
      <c r="H273" s="77"/>
      <c r="I273" s="77"/>
      <c r="J273" s="58"/>
      <c r="K273" s="58"/>
    </row>
    <row r="274" spans="1:11" s="71" customFormat="1">
      <c r="A274" s="50"/>
      <c r="B274" s="30"/>
      <c r="C274" s="70"/>
      <c r="G274" s="30"/>
      <c r="H274" s="77"/>
      <c r="I274" s="77"/>
      <c r="J274" s="58"/>
      <c r="K274" s="58"/>
    </row>
    <row r="275" spans="1:11" s="71" customFormat="1">
      <c r="A275" s="50"/>
      <c r="B275" s="30"/>
      <c r="C275" s="70"/>
      <c r="G275" s="30"/>
      <c r="H275" s="77"/>
      <c r="I275" s="77"/>
      <c r="J275" s="58"/>
      <c r="K275" s="58"/>
    </row>
    <row r="276" spans="1:11" s="71" customFormat="1">
      <c r="A276" s="50"/>
      <c r="B276" s="30"/>
      <c r="C276" s="70"/>
      <c r="G276" s="30"/>
      <c r="H276" s="77"/>
      <c r="I276" s="77"/>
      <c r="J276" s="58"/>
      <c r="K276" s="58"/>
    </row>
    <row r="277" spans="1:11" s="71" customFormat="1">
      <c r="A277" s="50"/>
      <c r="B277" s="30"/>
      <c r="C277" s="70"/>
      <c r="G277" s="30"/>
      <c r="H277" s="77"/>
      <c r="I277" s="77"/>
      <c r="J277" s="58"/>
      <c r="K277" s="58"/>
    </row>
    <row r="278" spans="1:11" s="71" customFormat="1">
      <c r="A278" s="50"/>
      <c r="B278" s="30"/>
      <c r="C278" s="70"/>
      <c r="G278" s="30"/>
      <c r="H278" s="77"/>
      <c r="I278" s="77"/>
      <c r="J278" s="58"/>
      <c r="K278" s="58"/>
    </row>
    <row r="279" spans="1:11" s="71" customFormat="1">
      <c r="A279" s="50"/>
      <c r="B279" s="30"/>
      <c r="C279" s="70"/>
      <c r="G279" s="30"/>
      <c r="H279" s="77"/>
      <c r="I279" s="77"/>
      <c r="J279" s="58"/>
      <c r="K279" s="58"/>
    </row>
    <row r="280" spans="1:11" s="71" customFormat="1">
      <c r="A280" s="50"/>
      <c r="B280" s="30"/>
      <c r="C280" s="70"/>
      <c r="G280" s="30"/>
      <c r="H280" s="77"/>
      <c r="I280" s="77"/>
      <c r="J280" s="58"/>
      <c r="K280" s="58"/>
    </row>
    <row r="281" spans="1:11" s="71" customFormat="1">
      <c r="A281" s="50"/>
      <c r="B281" s="30"/>
      <c r="C281" s="70"/>
      <c r="G281" s="30"/>
      <c r="H281" s="77"/>
      <c r="I281" s="77"/>
      <c r="J281" s="58"/>
      <c r="K281" s="58"/>
    </row>
    <row r="282" spans="1:11" s="71" customFormat="1">
      <c r="A282" s="50"/>
      <c r="B282" s="30"/>
      <c r="C282" s="70"/>
      <c r="G282" s="30"/>
      <c r="H282" s="77"/>
      <c r="I282" s="77"/>
      <c r="J282" s="58"/>
      <c r="K282" s="58"/>
    </row>
    <row r="283" spans="1:11" s="71" customFormat="1">
      <c r="A283" s="50"/>
      <c r="B283" s="30"/>
      <c r="C283" s="70"/>
      <c r="G283" s="30"/>
      <c r="H283" s="77"/>
      <c r="I283" s="77"/>
      <c r="J283" s="58"/>
      <c r="K283" s="58"/>
    </row>
    <row r="284" spans="1:11" s="71" customFormat="1">
      <c r="A284" s="50"/>
      <c r="B284" s="30"/>
      <c r="C284" s="70"/>
      <c r="G284" s="30"/>
      <c r="H284" s="77"/>
      <c r="I284" s="77"/>
      <c r="J284" s="58"/>
      <c r="K284" s="58"/>
    </row>
    <row r="285" spans="1:11" s="71" customFormat="1">
      <c r="A285" s="50"/>
      <c r="B285" s="30"/>
      <c r="C285" s="70"/>
      <c r="G285" s="30"/>
      <c r="H285" s="77"/>
      <c r="I285" s="77"/>
      <c r="J285" s="58"/>
      <c r="K285" s="58"/>
    </row>
    <row r="286" spans="1:11" s="71" customFormat="1">
      <c r="A286" s="50"/>
      <c r="B286" s="30"/>
      <c r="C286" s="70"/>
      <c r="G286" s="30"/>
      <c r="H286" s="77"/>
      <c r="I286" s="77"/>
      <c r="J286" s="58"/>
      <c r="K286" s="58"/>
    </row>
    <row r="287" spans="1:11" s="71" customFormat="1">
      <c r="A287" s="50"/>
      <c r="B287" s="30"/>
      <c r="C287" s="70"/>
      <c r="G287" s="30"/>
      <c r="H287" s="77"/>
      <c r="I287" s="77"/>
      <c r="J287" s="58"/>
      <c r="K287" s="58"/>
    </row>
    <row r="288" spans="1:11" s="71" customFormat="1">
      <c r="A288" s="50"/>
      <c r="B288" s="30"/>
      <c r="C288" s="70"/>
      <c r="G288" s="30"/>
      <c r="H288" s="77"/>
      <c r="I288" s="77"/>
      <c r="J288" s="58"/>
      <c r="K288" s="58"/>
    </row>
    <row r="289" spans="1:11" s="71" customFormat="1">
      <c r="A289" s="50"/>
      <c r="B289" s="30"/>
      <c r="C289" s="70"/>
      <c r="G289" s="30"/>
      <c r="H289" s="77"/>
      <c r="I289" s="77"/>
      <c r="J289" s="58"/>
      <c r="K289" s="58"/>
    </row>
    <row r="290" spans="1:11" s="71" customFormat="1">
      <c r="A290" s="50"/>
      <c r="B290" s="30"/>
      <c r="C290" s="70"/>
      <c r="G290" s="30"/>
      <c r="H290" s="77"/>
      <c r="I290" s="77"/>
      <c r="J290" s="58"/>
      <c r="K290" s="58"/>
    </row>
    <row r="291" spans="1:11" s="71" customFormat="1">
      <c r="A291" s="50"/>
      <c r="B291" s="30"/>
      <c r="C291" s="70"/>
      <c r="G291" s="30"/>
      <c r="H291" s="77"/>
      <c r="I291" s="77"/>
      <c r="J291" s="58"/>
      <c r="K291" s="58"/>
    </row>
    <row r="292" spans="1:11" s="71" customFormat="1">
      <c r="A292" s="50"/>
      <c r="B292" s="30"/>
      <c r="C292" s="70"/>
      <c r="G292" s="30"/>
      <c r="H292" s="77"/>
      <c r="I292" s="77"/>
      <c r="J292" s="58"/>
      <c r="K292" s="58"/>
    </row>
    <row r="293" spans="1:11" s="71" customFormat="1">
      <c r="A293" s="50"/>
      <c r="B293" s="30"/>
      <c r="C293" s="70"/>
      <c r="G293" s="30"/>
      <c r="H293" s="77"/>
      <c r="I293" s="77"/>
      <c r="J293" s="58"/>
      <c r="K293" s="58"/>
    </row>
    <row r="294" spans="1:11" s="71" customFormat="1">
      <c r="A294" s="50"/>
      <c r="B294" s="30"/>
      <c r="C294" s="70"/>
      <c r="G294" s="30"/>
      <c r="H294" s="77"/>
      <c r="I294" s="77"/>
      <c r="J294" s="58"/>
      <c r="K294" s="58"/>
    </row>
    <row r="295" spans="1:11" s="71" customFormat="1">
      <c r="A295" s="50"/>
      <c r="B295" s="30"/>
      <c r="C295" s="70"/>
      <c r="G295" s="30"/>
      <c r="H295" s="77"/>
      <c r="I295" s="77"/>
      <c r="J295" s="58"/>
      <c r="K295" s="58"/>
    </row>
    <row r="296" spans="1:11" s="71" customFormat="1">
      <c r="A296" s="50"/>
      <c r="B296" s="30"/>
      <c r="C296" s="70"/>
      <c r="G296" s="30"/>
      <c r="H296" s="77"/>
      <c r="I296" s="77"/>
      <c r="J296" s="58"/>
      <c r="K296" s="58"/>
    </row>
    <row r="297" spans="1:11" s="71" customFormat="1">
      <c r="A297" s="50"/>
      <c r="B297" s="30"/>
      <c r="C297" s="70"/>
      <c r="G297" s="30"/>
      <c r="H297" s="77"/>
      <c r="I297" s="77"/>
      <c r="J297" s="58"/>
      <c r="K297" s="58"/>
    </row>
    <row r="298" spans="1:11" s="71" customFormat="1">
      <c r="A298" s="50"/>
      <c r="B298" s="30"/>
      <c r="C298" s="70"/>
      <c r="G298" s="30"/>
      <c r="H298" s="77"/>
      <c r="I298" s="77"/>
      <c r="J298" s="58"/>
      <c r="K298" s="58"/>
    </row>
    <row r="299" spans="1:11" s="71" customFormat="1">
      <c r="A299" s="50"/>
      <c r="B299" s="30"/>
      <c r="C299" s="70"/>
      <c r="G299" s="30"/>
      <c r="H299" s="77"/>
      <c r="I299" s="77"/>
      <c r="J299" s="58"/>
      <c r="K299" s="58"/>
    </row>
    <row r="300" spans="1:11" s="71" customFormat="1">
      <c r="A300" s="50"/>
      <c r="B300" s="30"/>
      <c r="C300" s="70"/>
      <c r="G300" s="30"/>
      <c r="H300" s="77"/>
      <c r="I300" s="77"/>
      <c r="J300" s="58"/>
      <c r="K300" s="58"/>
    </row>
    <row r="301" spans="1:11" s="71" customFormat="1">
      <c r="A301" s="50"/>
      <c r="B301" s="30"/>
      <c r="C301" s="70"/>
      <c r="G301" s="30"/>
      <c r="H301" s="77"/>
      <c r="I301" s="77"/>
      <c r="J301" s="58"/>
      <c r="K301" s="58"/>
    </row>
    <row r="302" spans="1:11" s="71" customFormat="1">
      <c r="A302" s="50"/>
      <c r="B302" s="30"/>
      <c r="C302" s="70"/>
      <c r="G302" s="30"/>
      <c r="H302" s="77"/>
      <c r="I302" s="77"/>
      <c r="J302" s="58"/>
      <c r="K302" s="58"/>
    </row>
    <row r="303" spans="1:11" s="71" customFormat="1">
      <c r="A303" s="50"/>
      <c r="B303" s="30"/>
      <c r="C303" s="70"/>
      <c r="G303" s="30"/>
      <c r="H303" s="77"/>
      <c r="I303" s="77"/>
      <c r="J303" s="58"/>
      <c r="K303" s="58"/>
    </row>
    <row r="304" spans="1:11" s="71" customFormat="1">
      <c r="A304" s="50"/>
      <c r="B304" s="30"/>
      <c r="C304" s="70"/>
      <c r="G304" s="30"/>
      <c r="H304" s="77"/>
      <c r="I304" s="77"/>
      <c r="J304" s="58"/>
      <c r="K304" s="58"/>
    </row>
    <row r="305" spans="1:11" s="71" customFormat="1">
      <c r="A305" s="50"/>
      <c r="B305" s="30"/>
      <c r="C305" s="70"/>
      <c r="G305" s="30"/>
      <c r="H305" s="77"/>
      <c r="I305" s="77"/>
      <c r="J305" s="58"/>
      <c r="K305" s="58"/>
    </row>
    <row r="306" spans="1:11" s="71" customFormat="1">
      <c r="A306" s="50"/>
      <c r="B306" s="30"/>
      <c r="C306" s="70"/>
      <c r="G306" s="30"/>
      <c r="H306" s="77"/>
      <c r="I306" s="77"/>
      <c r="J306" s="58"/>
      <c r="K306" s="58"/>
    </row>
    <row r="307" spans="1:11" s="71" customFormat="1">
      <c r="A307" s="50"/>
      <c r="B307" s="30"/>
      <c r="C307" s="70"/>
      <c r="G307" s="30"/>
      <c r="H307" s="77"/>
      <c r="I307" s="77"/>
      <c r="J307" s="58"/>
      <c r="K307" s="58"/>
    </row>
    <row r="308" spans="1:11" s="71" customFormat="1">
      <c r="A308" s="50"/>
      <c r="B308" s="30"/>
      <c r="C308" s="70"/>
      <c r="G308" s="30"/>
      <c r="H308" s="77"/>
      <c r="I308" s="77"/>
      <c r="J308" s="58"/>
      <c r="K308" s="58"/>
    </row>
    <row r="309" spans="1:11" s="71" customFormat="1">
      <c r="A309" s="50"/>
      <c r="B309" s="30"/>
      <c r="C309" s="70"/>
      <c r="G309" s="30"/>
      <c r="H309" s="77"/>
      <c r="I309" s="77"/>
      <c r="J309" s="58"/>
      <c r="K309" s="58"/>
    </row>
    <row r="310" spans="1:11" s="71" customFormat="1">
      <c r="A310" s="50"/>
      <c r="B310" s="30"/>
      <c r="C310" s="70"/>
      <c r="G310" s="30"/>
      <c r="H310" s="77"/>
      <c r="I310" s="77"/>
      <c r="J310" s="58"/>
      <c r="K310" s="58"/>
    </row>
    <row r="311" spans="1:11" s="71" customFormat="1">
      <c r="A311" s="50"/>
      <c r="B311" s="30"/>
      <c r="C311" s="70"/>
      <c r="G311" s="30"/>
      <c r="H311" s="77"/>
      <c r="I311" s="77"/>
      <c r="J311" s="58"/>
      <c r="K311" s="58"/>
    </row>
    <row r="312" spans="1:11" s="71" customFormat="1">
      <c r="A312" s="50"/>
      <c r="B312" s="30"/>
      <c r="C312" s="70"/>
      <c r="G312" s="30"/>
      <c r="H312" s="77"/>
      <c r="I312" s="77"/>
      <c r="J312" s="58"/>
      <c r="K312" s="58"/>
    </row>
    <row r="313" spans="1:11" s="71" customFormat="1">
      <c r="A313" s="50"/>
      <c r="B313" s="30"/>
      <c r="C313" s="70"/>
      <c r="G313" s="30"/>
      <c r="H313" s="77"/>
      <c r="I313" s="77"/>
      <c r="J313" s="58"/>
      <c r="K313" s="58"/>
    </row>
    <row r="314" spans="1:11" s="71" customFormat="1">
      <c r="A314" s="50"/>
      <c r="B314" s="30"/>
      <c r="C314" s="70"/>
      <c r="G314" s="30"/>
      <c r="H314" s="77"/>
      <c r="I314" s="77"/>
      <c r="J314" s="58"/>
      <c r="K314" s="58"/>
    </row>
    <row r="315" spans="1:11" s="71" customFormat="1">
      <c r="A315" s="50"/>
      <c r="B315" s="30"/>
      <c r="C315" s="70"/>
      <c r="G315" s="30"/>
      <c r="H315" s="77"/>
      <c r="I315" s="77"/>
      <c r="J315" s="58"/>
      <c r="K315" s="58"/>
    </row>
    <row r="316" spans="1:11" s="71" customFormat="1">
      <c r="A316" s="50"/>
      <c r="B316" s="30"/>
      <c r="C316" s="70"/>
      <c r="G316" s="30"/>
      <c r="H316" s="77"/>
      <c r="I316" s="77"/>
      <c r="J316" s="58"/>
      <c r="K316" s="58"/>
    </row>
    <row r="317" spans="1:11" s="71" customFormat="1">
      <c r="A317" s="50"/>
      <c r="B317" s="30"/>
      <c r="C317" s="70"/>
      <c r="G317" s="30"/>
      <c r="H317" s="77"/>
      <c r="I317" s="77"/>
      <c r="J317" s="58"/>
      <c r="K317" s="58"/>
    </row>
    <row r="318" spans="1:11" s="71" customFormat="1">
      <c r="A318" s="50"/>
      <c r="B318" s="30"/>
      <c r="C318" s="70"/>
      <c r="G318" s="30"/>
      <c r="H318" s="77"/>
      <c r="I318" s="77"/>
      <c r="J318" s="58"/>
      <c r="K318" s="58"/>
    </row>
    <row r="319" spans="1:11" s="71" customFormat="1">
      <c r="A319" s="50"/>
      <c r="B319" s="30"/>
      <c r="C319" s="70"/>
      <c r="G319" s="30"/>
      <c r="H319" s="77"/>
      <c r="I319" s="77"/>
      <c r="J319" s="58"/>
      <c r="K319" s="58"/>
    </row>
    <row r="320" spans="1:11" s="71" customFormat="1">
      <c r="A320" s="50"/>
      <c r="B320" s="30"/>
      <c r="C320" s="70"/>
      <c r="G320" s="30"/>
      <c r="H320" s="77"/>
      <c r="I320" s="77"/>
      <c r="J320" s="58"/>
      <c r="K320" s="58"/>
    </row>
    <row r="321" spans="1:11" s="71" customFormat="1">
      <c r="A321" s="50"/>
      <c r="B321" s="30"/>
      <c r="C321" s="70"/>
      <c r="G321" s="30"/>
      <c r="H321" s="77"/>
      <c r="I321" s="77"/>
      <c r="J321" s="58"/>
      <c r="K321" s="58"/>
    </row>
    <row r="322" spans="1:11" s="71" customFormat="1">
      <c r="A322" s="50"/>
      <c r="B322" s="30"/>
      <c r="C322" s="70"/>
      <c r="G322" s="30"/>
      <c r="H322" s="77"/>
      <c r="I322" s="77"/>
      <c r="J322" s="58"/>
      <c r="K322" s="58"/>
    </row>
    <row r="323" spans="1:11" s="71" customFormat="1">
      <c r="A323" s="50"/>
      <c r="B323" s="30"/>
      <c r="C323" s="70"/>
      <c r="G323" s="30"/>
      <c r="H323" s="77"/>
      <c r="I323" s="77"/>
      <c r="J323" s="58"/>
      <c r="K323" s="58"/>
    </row>
    <row r="324" spans="1:11" s="71" customFormat="1">
      <c r="A324" s="50"/>
      <c r="B324" s="30"/>
      <c r="C324" s="70"/>
      <c r="G324" s="30"/>
      <c r="H324" s="77"/>
      <c r="I324" s="77"/>
      <c r="J324" s="58"/>
      <c r="K324" s="58"/>
    </row>
    <row r="325" spans="1:11" s="71" customFormat="1">
      <c r="A325" s="50"/>
      <c r="B325" s="30"/>
      <c r="C325" s="70"/>
      <c r="G325" s="30"/>
      <c r="H325" s="77"/>
      <c r="I325" s="77"/>
      <c r="J325" s="58"/>
      <c r="K325" s="58"/>
    </row>
    <row r="326" spans="1:11" s="71" customFormat="1">
      <c r="A326" s="50"/>
      <c r="B326" s="30"/>
      <c r="C326" s="70"/>
      <c r="G326" s="30"/>
      <c r="H326" s="77"/>
      <c r="I326" s="77"/>
      <c r="J326" s="58"/>
      <c r="K326" s="58"/>
    </row>
    <row r="327" spans="1:11" s="71" customFormat="1">
      <c r="A327" s="50"/>
      <c r="B327" s="30"/>
      <c r="C327" s="70"/>
      <c r="G327" s="30"/>
      <c r="H327" s="77"/>
      <c r="I327" s="77"/>
      <c r="J327" s="58"/>
      <c r="K327" s="58"/>
    </row>
    <row r="328" spans="1:11" s="71" customFormat="1">
      <c r="A328" s="50"/>
      <c r="B328" s="30"/>
      <c r="C328" s="70"/>
      <c r="G328" s="30"/>
      <c r="H328" s="77"/>
      <c r="I328" s="77"/>
      <c r="J328" s="58"/>
      <c r="K328" s="58"/>
    </row>
    <row r="329" spans="1:11" s="71" customFormat="1">
      <c r="A329" s="50"/>
      <c r="B329" s="30"/>
      <c r="C329" s="70"/>
      <c r="G329" s="30"/>
      <c r="H329" s="77"/>
      <c r="I329" s="77"/>
      <c r="J329" s="58"/>
      <c r="K329" s="58"/>
    </row>
    <row r="330" spans="1:11" s="71" customFormat="1">
      <c r="A330" s="50"/>
      <c r="B330" s="30"/>
      <c r="C330" s="70"/>
      <c r="G330" s="30"/>
      <c r="H330" s="77"/>
      <c r="I330" s="77"/>
      <c r="J330" s="58"/>
      <c r="K330" s="58"/>
    </row>
    <row r="331" spans="1:11" s="71" customFormat="1">
      <c r="A331" s="50"/>
      <c r="B331" s="30"/>
      <c r="C331" s="70"/>
      <c r="G331" s="30"/>
      <c r="H331" s="77"/>
      <c r="I331" s="77"/>
      <c r="J331" s="58"/>
      <c r="K331" s="58"/>
    </row>
    <row r="332" spans="1:11" s="71" customFormat="1">
      <c r="A332" s="50"/>
      <c r="B332" s="30"/>
      <c r="C332" s="70"/>
      <c r="G332" s="30"/>
      <c r="H332" s="77"/>
      <c r="I332" s="77"/>
      <c r="J332" s="58"/>
      <c r="K332" s="58"/>
    </row>
    <row r="333" spans="1:11" s="71" customFormat="1">
      <c r="A333" s="50"/>
      <c r="B333" s="30"/>
      <c r="C333" s="70"/>
      <c r="G333" s="30"/>
      <c r="H333" s="77"/>
      <c r="I333" s="77"/>
      <c r="J333" s="58"/>
      <c r="K333" s="58"/>
    </row>
    <row r="334" spans="1:11" s="71" customFormat="1">
      <c r="A334" s="50"/>
      <c r="B334" s="30"/>
      <c r="C334" s="70"/>
      <c r="G334" s="30"/>
      <c r="H334" s="77"/>
      <c r="I334" s="77"/>
      <c r="J334" s="58"/>
      <c r="K334" s="58"/>
    </row>
    <row r="335" spans="1:11" s="71" customFormat="1">
      <c r="A335" s="50"/>
      <c r="B335" s="30"/>
      <c r="C335" s="70"/>
      <c r="G335" s="30"/>
      <c r="H335" s="77"/>
      <c r="I335" s="77"/>
      <c r="J335" s="58"/>
      <c r="K335" s="58"/>
    </row>
    <row r="336" spans="1:11" s="71" customFormat="1">
      <c r="A336" s="50"/>
      <c r="B336" s="30"/>
      <c r="C336" s="70"/>
      <c r="G336" s="30"/>
      <c r="H336" s="77"/>
      <c r="I336" s="77"/>
      <c r="J336" s="58"/>
      <c r="K336" s="58"/>
    </row>
    <row r="337" spans="1:11" s="71" customFormat="1">
      <c r="A337" s="50"/>
      <c r="B337" s="30"/>
      <c r="C337" s="70"/>
      <c r="G337" s="30"/>
      <c r="H337" s="77"/>
      <c r="I337" s="77"/>
      <c r="J337" s="58"/>
      <c r="K337" s="58"/>
    </row>
    <row r="338" spans="1:11" s="71" customFormat="1">
      <c r="A338" s="50"/>
      <c r="B338" s="30"/>
      <c r="C338" s="70"/>
      <c r="G338" s="30"/>
      <c r="H338" s="77"/>
      <c r="I338" s="77"/>
      <c r="J338" s="58"/>
      <c r="K338" s="58"/>
    </row>
    <row r="339" spans="1:11" s="71" customFormat="1">
      <c r="A339" s="50"/>
      <c r="B339" s="30"/>
      <c r="C339" s="70"/>
      <c r="G339" s="30"/>
      <c r="H339" s="77"/>
      <c r="I339" s="77"/>
      <c r="J339" s="58"/>
      <c r="K339" s="58"/>
    </row>
    <row r="340" spans="1:11" s="71" customFormat="1">
      <c r="A340" s="50"/>
      <c r="B340" s="30"/>
      <c r="C340" s="70"/>
      <c r="G340" s="30"/>
      <c r="H340" s="77"/>
      <c r="I340" s="77"/>
      <c r="J340" s="58"/>
      <c r="K340" s="58"/>
    </row>
    <row r="341" spans="1:11" s="71" customFormat="1">
      <c r="A341" s="50"/>
      <c r="B341" s="30"/>
      <c r="C341" s="70"/>
      <c r="G341" s="30"/>
      <c r="H341" s="77"/>
      <c r="I341" s="77"/>
      <c r="J341" s="58"/>
      <c r="K341" s="58"/>
    </row>
    <row r="342" spans="1:11" s="71" customFormat="1">
      <c r="A342" s="50"/>
      <c r="B342" s="30"/>
      <c r="C342" s="70"/>
      <c r="G342" s="30"/>
      <c r="H342" s="77"/>
      <c r="I342" s="77"/>
      <c r="J342" s="58"/>
      <c r="K342" s="58"/>
    </row>
    <row r="343" spans="1:11" s="71" customFormat="1">
      <c r="A343" s="50"/>
      <c r="B343" s="30"/>
      <c r="C343" s="70"/>
      <c r="G343" s="30"/>
      <c r="H343" s="77"/>
      <c r="I343" s="77"/>
      <c r="J343" s="58"/>
      <c r="K343" s="58"/>
    </row>
    <row r="344" spans="1:11" s="71" customFormat="1">
      <c r="A344" s="50"/>
      <c r="B344" s="30"/>
      <c r="C344" s="70"/>
      <c r="G344" s="30"/>
      <c r="H344" s="77"/>
      <c r="I344" s="77"/>
      <c r="J344" s="58"/>
      <c r="K344" s="58"/>
    </row>
    <row r="345" spans="1:11" s="71" customFormat="1">
      <c r="A345" s="50"/>
      <c r="B345" s="30"/>
      <c r="C345" s="70"/>
      <c r="G345" s="30"/>
      <c r="H345" s="77"/>
      <c r="I345" s="77"/>
      <c r="J345" s="58"/>
      <c r="K345" s="58"/>
    </row>
    <row r="346" spans="1:11" s="71" customFormat="1">
      <c r="A346" s="50"/>
      <c r="B346" s="30"/>
      <c r="C346" s="70"/>
      <c r="G346" s="30"/>
      <c r="H346" s="77"/>
      <c r="I346" s="77"/>
      <c r="J346" s="58"/>
      <c r="K346" s="58"/>
    </row>
    <row r="347" spans="1:11" s="71" customFormat="1">
      <c r="A347" s="50"/>
      <c r="B347" s="30"/>
      <c r="C347" s="70"/>
      <c r="G347" s="30"/>
      <c r="H347" s="77"/>
      <c r="I347" s="77"/>
      <c r="J347" s="58"/>
      <c r="K347" s="58"/>
    </row>
    <row r="348" spans="1:11" s="71" customFormat="1">
      <c r="A348" s="50"/>
      <c r="B348" s="30"/>
      <c r="C348" s="70"/>
      <c r="G348" s="30"/>
      <c r="H348" s="77"/>
      <c r="I348" s="77"/>
      <c r="J348" s="58"/>
      <c r="K348" s="58"/>
    </row>
    <row r="349" spans="1:11" s="71" customFormat="1">
      <c r="A349" s="50"/>
      <c r="B349" s="30"/>
      <c r="C349" s="70"/>
      <c r="G349" s="30"/>
      <c r="H349" s="77"/>
      <c r="I349" s="77"/>
      <c r="J349" s="58"/>
      <c r="K349" s="58"/>
    </row>
    <row r="350" spans="1:11" s="71" customFormat="1">
      <c r="A350" s="50"/>
      <c r="B350" s="30"/>
      <c r="C350" s="70"/>
      <c r="G350" s="30"/>
      <c r="H350" s="77"/>
      <c r="I350" s="77"/>
      <c r="J350" s="58"/>
      <c r="K350" s="58"/>
    </row>
    <row r="351" spans="1:11" s="71" customFormat="1">
      <c r="A351" s="50"/>
      <c r="B351" s="30"/>
      <c r="C351" s="70"/>
      <c r="G351" s="30"/>
      <c r="H351" s="77"/>
      <c r="I351" s="77"/>
      <c r="J351" s="58"/>
      <c r="K351" s="58"/>
    </row>
    <row r="352" spans="1:11" s="71" customFormat="1">
      <c r="A352" s="50"/>
      <c r="B352" s="30"/>
      <c r="C352" s="70"/>
      <c r="G352" s="30"/>
      <c r="H352" s="77"/>
      <c r="I352" s="77"/>
      <c r="J352" s="58"/>
      <c r="K352" s="58"/>
    </row>
    <row r="353" spans="1:11" s="71" customFormat="1">
      <c r="A353" s="50"/>
      <c r="B353" s="30"/>
      <c r="C353" s="70"/>
      <c r="G353" s="30"/>
      <c r="H353" s="77"/>
      <c r="I353" s="77"/>
      <c r="J353" s="58"/>
      <c r="K353" s="58"/>
    </row>
    <row r="354" spans="1:11" s="71" customFormat="1">
      <c r="A354" s="50"/>
      <c r="B354" s="30"/>
      <c r="C354" s="70"/>
      <c r="G354" s="30"/>
      <c r="H354" s="77"/>
      <c r="I354" s="77"/>
      <c r="J354" s="58"/>
      <c r="K354" s="58"/>
    </row>
    <row r="355" spans="1:11" s="71" customFormat="1">
      <c r="A355" s="50"/>
      <c r="B355" s="30"/>
      <c r="C355" s="70"/>
      <c r="G355" s="30"/>
      <c r="H355" s="77"/>
      <c r="I355" s="77"/>
      <c r="J355" s="58"/>
      <c r="K355" s="58"/>
    </row>
    <row r="356" spans="1:11" s="71" customFormat="1">
      <c r="A356" s="50"/>
      <c r="B356" s="30"/>
      <c r="C356" s="70"/>
      <c r="G356" s="30"/>
      <c r="H356" s="77"/>
      <c r="I356" s="77"/>
      <c r="J356" s="58"/>
      <c r="K356" s="58"/>
    </row>
    <row r="357" spans="1:11" s="71" customFormat="1">
      <c r="A357" s="50"/>
      <c r="B357" s="30"/>
      <c r="C357" s="70"/>
      <c r="G357" s="30"/>
      <c r="H357" s="77"/>
      <c r="I357" s="77"/>
      <c r="J357" s="58"/>
      <c r="K357" s="58"/>
    </row>
    <row r="358" spans="1:11" s="71" customFormat="1">
      <c r="A358" s="50"/>
      <c r="B358" s="30"/>
      <c r="C358" s="70"/>
      <c r="G358" s="30"/>
      <c r="H358" s="77"/>
      <c r="I358" s="77"/>
      <c r="J358" s="58"/>
      <c r="K358" s="58"/>
    </row>
    <row r="359" spans="1:11" s="71" customFormat="1">
      <c r="A359" s="50"/>
      <c r="B359" s="30"/>
      <c r="C359" s="70"/>
      <c r="G359" s="30"/>
      <c r="H359" s="77"/>
      <c r="I359" s="77"/>
      <c r="J359" s="58"/>
      <c r="K359" s="58"/>
    </row>
    <row r="360" spans="1:11" s="71" customFormat="1">
      <c r="A360" s="50"/>
      <c r="B360" s="30"/>
      <c r="C360" s="70"/>
      <c r="G360" s="30"/>
      <c r="H360" s="77"/>
      <c r="I360" s="77"/>
      <c r="J360" s="58"/>
      <c r="K360" s="58"/>
    </row>
    <row r="361" spans="1:11" s="71" customFormat="1">
      <c r="A361" s="50"/>
      <c r="B361" s="30"/>
      <c r="C361" s="70"/>
      <c r="G361" s="30"/>
      <c r="H361" s="77"/>
      <c r="I361" s="77"/>
      <c r="J361" s="58"/>
      <c r="K361" s="58"/>
    </row>
    <row r="362" spans="1:11" s="71" customFormat="1">
      <c r="A362" s="50"/>
      <c r="B362" s="30"/>
      <c r="C362" s="70"/>
      <c r="G362" s="30"/>
      <c r="H362" s="77"/>
      <c r="I362" s="77"/>
      <c r="J362" s="58"/>
      <c r="K362" s="58"/>
    </row>
    <row r="363" spans="1:11" s="71" customFormat="1">
      <c r="A363" s="50"/>
      <c r="B363" s="30"/>
      <c r="C363" s="70"/>
      <c r="G363" s="30"/>
      <c r="H363" s="77"/>
      <c r="I363" s="77"/>
      <c r="J363" s="58"/>
      <c r="K363" s="58"/>
    </row>
    <row r="364" spans="1:11" s="71" customFormat="1">
      <c r="A364" s="50"/>
      <c r="B364" s="30"/>
      <c r="C364" s="70"/>
      <c r="G364" s="30"/>
      <c r="H364" s="77"/>
      <c r="I364" s="77"/>
      <c r="J364" s="58"/>
      <c r="K364" s="58"/>
    </row>
    <row r="365" spans="1:11" s="71" customFormat="1">
      <c r="A365" s="50"/>
      <c r="B365" s="30"/>
      <c r="C365" s="70"/>
      <c r="G365" s="30"/>
      <c r="H365" s="77"/>
      <c r="I365" s="77"/>
      <c r="J365" s="58"/>
      <c r="K365" s="58"/>
    </row>
    <row r="366" spans="1:11" s="71" customFormat="1">
      <c r="A366" s="50"/>
      <c r="B366" s="30"/>
      <c r="C366" s="70"/>
      <c r="G366" s="30"/>
      <c r="H366" s="77"/>
      <c r="I366" s="77"/>
      <c r="J366" s="58"/>
      <c r="K366" s="58"/>
    </row>
    <row r="367" spans="1:11" s="71" customFormat="1">
      <c r="A367" s="50"/>
      <c r="B367" s="30"/>
      <c r="C367" s="70"/>
      <c r="G367" s="30"/>
      <c r="H367" s="77"/>
      <c r="I367" s="77"/>
      <c r="J367" s="58"/>
      <c r="K367" s="58"/>
    </row>
    <row r="368" spans="1:11" s="71" customFormat="1">
      <c r="A368" s="50"/>
      <c r="B368" s="30"/>
      <c r="C368" s="70"/>
      <c r="G368" s="30"/>
      <c r="H368" s="77"/>
      <c r="I368" s="77"/>
      <c r="J368" s="58"/>
      <c r="K368" s="58"/>
    </row>
    <row r="369" spans="1:11" s="71" customFormat="1">
      <c r="A369" s="50"/>
      <c r="B369" s="30"/>
      <c r="C369" s="70"/>
      <c r="G369" s="30"/>
      <c r="H369" s="77"/>
      <c r="I369" s="77"/>
      <c r="J369" s="58"/>
      <c r="K369" s="58"/>
    </row>
    <row r="370" spans="1:11" s="71" customFormat="1">
      <c r="A370" s="50"/>
      <c r="B370" s="30"/>
      <c r="C370" s="70"/>
      <c r="G370" s="30"/>
      <c r="H370" s="77"/>
      <c r="I370" s="77"/>
      <c r="J370" s="58"/>
      <c r="K370" s="58"/>
    </row>
    <row r="371" spans="1:11" s="71" customFormat="1">
      <c r="A371" s="50"/>
      <c r="B371" s="30"/>
      <c r="C371" s="70"/>
      <c r="G371" s="30"/>
      <c r="H371" s="77"/>
      <c r="I371" s="77"/>
      <c r="J371" s="58"/>
      <c r="K371" s="58"/>
    </row>
    <row r="372" spans="1:11" s="71" customFormat="1">
      <c r="A372" s="50"/>
      <c r="B372" s="30"/>
      <c r="C372" s="70"/>
      <c r="G372" s="30"/>
      <c r="H372" s="77"/>
      <c r="I372" s="77"/>
      <c r="J372" s="58"/>
      <c r="K372" s="58"/>
    </row>
    <row r="373" spans="1:11" s="71" customFormat="1">
      <c r="A373" s="50"/>
      <c r="B373" s="30"/>
      <c r="C373" s="70"/>
      <c r="G373" s="30"/>
      <c r="H373" s="77"/>
      <c r="I373" s="77"/>
      <c r="J373" s="58"/>
      <c r="K373" s="58"/>
    </row>
    <row r="374" spans="1:11" s="71" customFormat="1">
      <c r="A374" s="50"/>
      <c r="B374" s="30"/>
      <c r="C374" s="70"/>
      <c r="G374" s="30"/>
      <c r="H374" s="77"/>
      <c r="I374" s="77"/>
      <c r="J374" s="58"/>
      <c r="K374" s="58"/>
    </row>
    <row r="375" spans="1:11" s="71" customFormat="1">
      <c r="A375" s="50"/>
      <c r="B375" s="30"/>
      <c r="C375" s="70"/>
      <c r="G375" s="30"/>
      <c r="H375" s="77"/>
      <c r="I375" s="77"/>
      <c r="J375" s="58"/>
      <c r="K375" s="58"/>
    </row>
    <row r="376" spans="1:11" s="71" customFormat="1">
      <c r="A376" s="50"/>
      <c r="B376" s="30"/>
      <c r="C376" s="70"/>
      <c r="G376" s="30"/>
      <c r="H376" s="77"/>
      <c r="I376" s="77"/>
      <c r="J376" s="58"/>
      <c r="K376" s="58"/>
    </row>
    <row r="377" spans="1:11" s="71" customFormat="1">
      <c r="A377" s="50"/>
      <c r="B377" s="30"/>
      <c r="C377" s="70"/>
      <c r="G377" s="30"/>
      <c r="H377" s="77"/>
      <c r="I377" s="77"/>
      <c r="J377" s="58"/>
      <c r="K377" s="58"/>
    </row>
    <row r="378" spans="1:11" s="71" customFormat="1">
      <c r="A378" s="50"/>
      <c r="B378" s="30"/>
      <c r="C378" s="70"/>
      <c r="G378" s="30"/>
      <c r="H378" s="77"/>
      <c r="I378" s="77"/>
      <c r="J378" s="58"/>
      <c r="K378" s="58"/>
    </row>
    <row r="379" spans="1:11" s="71" customFormat="1">
      <c r="A379" s="50"/>
      <c r="B379" s="30"/>
      <c r="C379" s="70"/>
      <c r="G379" s="30"/>
      <c r="H379" s="77"/>
      <c r="I379" s="77"/>
      <c r="J379" s="58"/>
      <c r="K379" s="58"/>
    </row>
    <row r="380" spans="1:11" s="71" customFormat="1">
      <c r="A380" s="50"/>
      <c r="B380" s="30"/>
      <c r="C380" s="70"/>
      <c r="G380" s="30"/>
      <c r="H380" s="77"/>
      <c r="I380" s="77"/>
      <c r="J380" s="58"/>
      <c r="K380" s="58"/>
    </row>
    <row r="381" spans="1:11" s="71" customFormat="1">
      <c r="A381" s="50"/>
      <c r="B381" s="30"/>
      <c r="C381" s="70"/>
      <c r="G381" s="30"/>
      <c r="H381" s="77"/>
      <c r="I381" s="77"/>
      <c r="J381" s="58"/>
      <c r="K381" s="58"/>
    </row>
    <row r="382" spans="1:11" s="71" customFormat="1">
      <c r="A382" s="50"/>
      <c r="B382" s="30"/>
      <c r="C382" s="70"/>
      <c r="G382" s="30"/>
      <c r="H382" s="77"/>
      <c r="I382" s="77"/>
      <c r="J382" s="58"/>
      <c r="K382" s="58"/>
    </row>
    <row r="383" spans="1:11" s="71" customFormat="1">
      <c r="A383" s="50"/>
      <c r="B383" s="30"/>
      <c r="C383" s="70"/>
      <c r="G383" s="30"/>
      <c r="H383" s="77"/>
      <c r="I383" s="77"/>
      <c r="J383" s="58"/>
      <c r="K383" s="58"/>
    </row>
    <row r="384" spans="1:11" s="71" customFormat="1">
      <c r="A384" s="50"/>
      <c r="B384" s="30"/>
      <c r="C384" s="70"/>
      <c r="G384" s="30"/>
      <c r="H384" s="77"/>
      <c r="I384" s="77"/>
      <c r="J384" s="58"/>
      <c r="K384" s="58"/>
    </row>
    <row r="385" spans="1:11" s="71" customFormat="1">
      <c r="A385" s="50"/>
      <c r="B385" s="30"/>
      <c r="C385" s="70"/>
      <c r="G385" s="30"/>
      <c r="H385" s="77"/>
      <c r="I385" s="77"/>
      <c r="J385" s="58"/>
      <c r="K385" s="58"/>
    </row>
    <row r="386" spans="1:11" s="71" customFormat="1">
      <c r="A386" s="50"/>
      <c r="B386" s="30"/>
      <c r="C386" s="70"/>
      <c r="G386" s="30"/>
      <c r="H386" s="77"/>
      <c r="I386" s="77"/>
      <c r="J386" s="58"/>
      <c r="K386" s="58"/>
    </row>
    <row r="387" spans="1:11" s="71" customFormat="1">
      <c r="A387" s="50"/>
      <c r="B387" s="30"/>
      <c r="C387" s="70"/>
      <c r="G387" s="30"/>
      <c r="H387" s="77"/>
      <c r="I387" s="77"/>
      <c r="J387" s="58"/>
      <c r="K387" s="58"/>
    </row>
    <row r="388" spans="1:11" s="71" customFormat="1">
      <c r="A388" s="50"/>
      <c r="B388" s="30"/>
      <c r="C388" s="70"/>
      <c r="G388" s="30"/>
      <c r="H388" s="77"/>
      <c r="I388" s="77"/>
      <c r="J388" s="58"/>
      <c r="K388" s="58"/>
    </row>
    <row r="389" spans="1:11" s="71" customFormat="1">
      <c r="A389" s="50"/>
      <c r="B389" s="30"/>
      <c r="C389" s="70"/>
      <c r="G389" s="30"/>
      <c r="H389" s="77"/>
      <c r="I389" s="77"/>
      <c r="J389" s="58"/>
      <c r="K389" s="58"/>
    </row>
    <row r="390" spans="1:11" s="71" customFormat="1">
      <c r="A390" s="50"/>
      <c r="B390" s="30"/>
      <c r="C390" s="70"/>
      <c r="G390" s="30"/>
      <c r="H390" s="77"/>
      <c r="I390" s="77"/>
      <c r="J390" s="58"/>
      <c r="K390" s="58"/>
    </row>
    <row r="391" spans="1:11" s="71" customFormat="1">
      <c r="A391" s="50"/>
      <c r="B391" s="30"/>
      <c r="C391" s="70"/>
      <c r="G391" s="30"/>
      <c r="H391" s="77"/>
      <c r="I391" s="77"/>
      <c r="J391" s="58"/>
      <c r="K391" s="58"/>
    </row>
    <row r="392" spans="1:11" s="71" customFormat="1">
      <c r="A392" s="50"/>
      <c r="B392" s="30"/>
      <c r="C392" s="70"/>
      <c r="G392" s="30"/>
      <c r="H392" s="77"/>
      <c r="I392" s="77"/>
      <c r="J392" s="58"/>
      <c r="K392" s="58"/>
    </row>
    <row r="393" spans="1:11" s="71" customFormat="1">
      <c r="A393" s="50"/>
      <c r="B393" s="30"/>
      <c r="C393" s="70"/>
      <c r="G393" s="30"/>
      <c r="H393" s="77"/>
      <c r="I393" s="77"/>
      <c r="J393" s="58"/>
      <c r="K393" s="58"/>
    </row>
    <row r="394" spans="1:11" s="71" customFormat="1">
      <c r="A394" s="50"/>
      <c r="B394" s="30"/>
      <c r="C394" s="70"/>
      <c r="G394" s="30"/>
      <c r="H394" s="77"/>
      <c r="I394" s="77"/>
      <c r="J394" s="58"/>
      <c r="K394" s="58"/>
    </row>
    <row r="395" spans="1:11" s="71" customFormat="1">
      <c r="A395" s="50"/>
      <c r="B395" s="30"/>
      <c r="C395" s="70"/>
      <c r="G395" s="30"/>
      <c r="H395" s="77"/>
      <c r="I395" s="77"/>
      <c r="J395" s="58"/>
      <c r="K395" s="58"/>
    </row>
    <row r="396" spans="1:11" s="71" customFormat="1">
      <c r="A396" s="50"/>
      <c r="B396" s="30"/>
      <c r="C396" s="70"/>
      <c r="G396" s="30"/>
      <c r="H396" s="77"/>
      <c r="I396" s="77"/>
      <c r="J396" s="58"/>
      <c r="K396" s="58"/>
    </row>
    <row r="397" spans="1:11" s="71" customFormat="1">
      <c r="A397" s="50"/>
      <c r="B397" s="30"/>
      <c r="C397" s="70"/>
      <c r="G397" s="30"/>
      <c r="H397" s="77"/>
      <c r="I397" s="77"/>
      <c r="J397" s="58"/>
      <c r="K397" s="58"/>
    </row>
    <row r="398" spans="1:11" s="71" customFormat="1">
      <c r="A398" s="50"/>
      <c r="B398" s="30"/>
      <c r="C398" s="70"/>
      <c r="G398" s="30"/>
      <c r="H398" s="77"/>
      <c r="I398" s="77"/>
      <c r="J398" s="58"/>
      <c r="K398" s="58"/>
    </row>
    <row r="399" spans="1:11" s="71" customFormat="1">
      <c r="A399" s="50"/>
      <c r="B399" s="30"/>
      <c r="C399" s="70"/>
      <c r="G399" s="30"/>
      <c r="H399" s="77"/>
      <c r="I399" s="77"/>
      <c r="J399" s="58"/>
      <c r="K399" s="58"/>
    </row>
    <row r="400" spans="1:11" s="71" customFormat="1">
      <c r="A400" s="50"/>
      <c r="B400" s="30"/>
      <c r="C400" s="70"/>
      <c r="G400" s="30"/>
      <c r="H400" s="77"/>
      <c r="I400" s="77"/>
      <c r="J400" s="58"/>
      <c r="K400" s="58"/>
    </row>
    <row r="401" spans="1:11" s="71" customFormat="1">
      <c r="A401" s="50"/>
      <c r="B401" s="30"/>
      <c r="C401" s="70"/>
      <c r="G401" s="30"/>
      <c r="H401" s="77"/>
      <c r="I401" s="77"/>
      <c r="J401" s="58"/>
      <c r="K401" s="58"/>
    </row>
    <row r="402" spans="1:11" s="71" customFormat="1">
      <c r="A402" s="50"/>
      <c r="B402" s="30"/>
      <c r="C402" s="70"/>
      <c r="G402" s="30"/>
      <c r="H402" s="77"/>
      <c r="I402" s="77"/>
      <c r="J402" s="58"/>
      <c r="K402" s="58"/>
    </row>
    <row r="403" spans="1:11" s="71" customFormat="1">
      <c r="A403" s="50"/>
      <c r="B403" s="30"/>
      <c r="C403" s="70"/>
      <c r="G403" s="30"/>
      <c r="H403" s="77"/>
      <c r="I403" s="77"/>
      <c r="J403" s="58"/>
      <c r="K403" s="58"/>
    </row>
    <row r="404" spans="1:11" s="71" customFormat="1">
      <c r="A404" s="50"/>
      <c r="B404" s="30"/>
      <c r="C404" s="70"/>
      <c r="G404" s="30"/>
      <c r="H404" s="77"/>
      <c r="I404" s="77"/>
      <c r="J404" s="58"/>
      <c r="K404" s="58"/>
    </row>
    <row r="405" spans="1:11" s="71" customFormat="1">
      <c r="A405" s="50"/>
      <c r="B405" s="30"/>
      <c r="C405" s="70"/>
      <c r="G405" s="30"/>
      <c r="H405" s="77"/>
      <c r="I405" s="77"/>
      <c r="J405" s="58"/>
      <c r="K405" s="58"/>
    </row>
    <row r="406" spans="1:11" s="71" customFormat="1">
      <c r="A406" s="50"/>
      <c r="B406" s="30"/>
      <c r="C406" s="70"/>
      <c r="G406" s="30"/>
      <c r="H406" s="77"/>
      <c r="I406" s="77"/>
      <c r="J406" s="58"/>
      <c r="K406" s="58"/>
    </row>
    <row r="407" spans="1:11" s="71" customFormat="1">
      <c r="A407" s="50"/>
      <c r="B407" s="30"/>
      <c r="C407" s="70"/>
      <c r="G407" s="30"/>
      <c r="H407" s="77"/>
      <c r="I407" s="77"/>
      <c r="J407" s="58"/>
      <c r="K407" s="58"/>
    </row>
    <row r="408" spans="1:11" s="71" customFormat="1">
      <c r="A408" s="50"/>
      <c r="B408" s="30"/>
      <c r="C408" s="70"/>
      <c r="G408" s="30"/>
      <c r="H408" s="77"/>
      <c r="I408" s="77"/>
      <c r="J408" s="58"/>
      <c r="K408" s="58"/>
    </row>
    <row r="409" spans="1:11" s="71" customFormat="1">
      <c r="A409" s="50"/>
      <c r="B409" s="30"/>
      <c r="C409" s="70"/>
      <c r="G409" s="30"/>
      <c r="H409" s="77"/>
      <c r="I409" s="77"/>
      <c r="J409" s="58"/>
      <c r="K409" s="58"/>
    </row>
    <row r="410" spans="1:11" s="71" customFormat="1">
      <c r="A410" s="50"/>
      <c r="B410" s="30"/>
      <c r="C410" s="70"/>
      <c r="G410" s="30"/>
      <c r="H410" s="77"/>
      <c r="I410" s="77"/>
      <c r="J410" s="58"/>
      <c r="K410" s="58"/>
    </row>
    <row r="411" spans="1:11" s="71" customFormat="1">
      <c r="A411" s="50"/>
      <c r="B411" s="30"/>
      <c r="C411" s="70"/>
      <c r="G411" s="30"/>
      <c r="H411" s="77"/>
      <c r="I411" s="77"/>
      <c r="J411" s="58"/>
      <c r="K411" s="58"/>
    </row>
    <row r="412" spans="1:11" s="71" customFormat="1">
      <c r="A412" s="50"/>
      <c r="B412" s="30"/>
      <c r="C412" s="70"/>
      <c r="G412" s="30"/>
      <c r="H412" s="77"/>
      <c r="I412" s="77"/>
      <c r="J412" s="58"/>
      <c r="K412" s="58"/>
    </row>
    <row r="413" spans="1:11" s="71" customFormat="1">
      <c r="A413" s="50"/>
      <c r="B413" s="30"/>
      <c r="C413" s="70"/>
      <c r="G413" s="30"/>
      <c r="H413" s="77"/>
      <c r="I413" s="77"/>
      <c r="J413" s="58"/>
      <c r="K413" s="58"/>
    </row>
    <row r="414" spans="1:11" s="71" customFormat="1">
      <c r="A414" s="50"/>
      <c r="B414" s="30"/>
      <c r="C414" s="70"/>
      <c r="G414" s="30"/>
      <c r="H414" s="77"/>
      <c r="I414" s="77"/>
      <c r="J414" s="58"/>
      <c r="K414" s="58"/>
    </row>
    <row r="415" spans="1:11" s="71" customFormat="1">
      <c r="A415" s="50"/>
      <c r="B415" s="30"/>
      <c r="C415" s="70"/>
      <c r="G415" s="30"/>
      <c r="H415" s="77"/>
      <c r="I415" s="77"/>
      <c r="J415" s="58"/>
      <c r="K415" s="58"/>
    </row>
    <row r="416" spans="1:11" s="71" customFormat="1">
      <c r="A416" s="50"/>
      <c r="B416" s="30"/>
      <c r="C416" s="70"/>
      <c r="G416" s="30"/>
      <c r="H416" s="77"/>
      <c r="I416" s="77"/>
      <c r="J416" s="58"/>
      <c r="K416" s="58"/>
    </row>
    <row r="417" spans="1:11" s="71" customFormat="1">
      <c r="A417" s="50"/>
      <c r="B417" s="30"/>
      <c r="C417" s="70"/>
      <c r="G417" s="30"/>
      <c r="H417" s="77"/>
      <c r="I417" s="77"/>
      <c r="J417" s="58"/>
      <c r="K417" s="58"/>
    </row>
    <row r="418" spans="1:11" s="71" customFormat="1">
      <c r="A418" s="50"/>
      <c r="B418" s="30"/>
      <c r="C418" s="70"/>
      <c r="G418" s="30"/>
      <c r="H418" s="77"/>
      <c r="I418" s="77"/>
      <c r="J418" s="58"/>
      <c r="K418" s="58"/>
    </row>
    <row r="419" spans="1:11" s="71" customFormat="1">
      <c r="A419" s="50"/>
      <c r="B419" s="30"/>
      <c r="C419" s="70"/>
      <c r="G419" s="30"/>
      <c r="H419" s="77"/>
      <c r="I419" s="77"/>
      <c r="J419" s="58"/>
      <c r="K419" s="58"/>
    </row>
    <row r="420" spans="1:11" s="71" customFormat="1">
      <c r="A420" s="50"/>
      <c r="B420" s="30"/>
      <c r="C420" s="70"/>
      <c r="G420" s="30"/>
      <c r="H420" s="77"/>
      <c r="I420" s="77"/>
      <c r="J420" s="58"/>
      <c r="K420" s="58"/>
    </row>
    <row r="421" spans="1:11" s="71" customFormat="1">
      <c r="A421" s="50"/>
      <c r="B421" s="30"/>
      <c r="C421" s="70"/>
      <c r="G421" s="30"/>
      <c r="H421" s="77"/>
      <c r="I421" s="77"/>
      <c r="J421" s="58"/>
      <c r="K421" s="58"/>
    </row>
    <row r="422" spans="1:11" s="71" customFormat="1">
      <c r="A422" s="50"/>
      <c r="B422" s="30"/>
      <c r="C422" s="70"/>
      <c r="G422" s="30"/>
      <c r="H422" s="77"/>
      <c r="I422" s="77"/>
      <c r="J422" s="58"/>
      <c r="K422" s="58"/>
    </row>
    <row r="423" spans="1:11" s="71" customFormat="1">
      <c r="A423" s="50"/>
      <c r="B423" s="30"/>
      <c r="C423" s="70"/>
      <c r="G423" s="30"/>
      <c r="H423" s="77"/>
      <c r="I423" s="77"/>
      <c r="J423" s="58"/>
      <c r="K423" s="58"/>
    </row>
    <row r="424" spans="1:11" s="71" customFormat="1">
      <c r="A424" s="50"/>
      <c r="B424" s="30"/>
      <c r="C424" s="70"/>
      <c r="G424" s="30"/>
      <c r="H424" s="77"/>
      <c r="I424" s="77"/>
      <c r="J424" s="58"/>
      <c r="K424" s="58"/>
    </row>
    <row r="425" spans="1:11" s="71" customFormat="1">
      <c r="A425" s="50"/>
      <c r="B425" s="30"/>
      <c r="C425" s="70"/>
      <c r="G425" s="30"/>
      <c r="H425" s="77"/>
      <c r="I425" s="77"/>
      <c r="J425" s="58"/>
      <c r="K425" s="58"/>
    </row>
    <row r="426" spans="1:11" s="71" customFormat="1">
      <c r="A426" s="50"/>
      <c r="B426" s="30"/>
      <c r="C426" s="70"/>
      <c r="G426" s="30"/>
      <c r="H426" s="77"/>
      <c r="I426" s="77"/>
      <c r="J426" s="58"/>
      <c r="K426" s="58"/>
    </row>
    <row r="427" spans="1:11" s="71" customFormat="1">
      <c r="A427" s="50"/>
      <c r="B427" s="30"/>
      <c r="C427" s="70"/>
      <c r="G427" s="30"/>
      <c r="H427" s="77"/>
      <c r="I427" s="77"/>
      <c r="J427" s="58"/>
      <c r="K427" s="58"/>
    </row>
    <row r="428" spans="1:11" s="71" customFormat="1">
      <c r="A428" s="50"/>
      <c r="B428" s="30"/>
      <c r="C428" s="70"/>
      <c r="G428" s="30"/>
      <c r="H428" s="77"/>
      <c r="I428" s="77"/>
      <c r="J428" s="58"/>
      <c r="K428" s="58"/>
    </row>
    <row r="429" spans="1:11" s="71" customFormat="1">
      <c r="A429" s="50"/>
      <c r="B429" s="30"/>
      <c r="C429" s="70"/>
      <c r="G429" s="30"/>
      <c r="H429" s="77"/>
      <c r="I429" s="77"/>
      <c r="J429" s="58"/>
      <c r="K429" s="58"/>
    </row>
    <row r="430" spans="1:11" s="71" customFormat="1">
      <c r="A430" s="50"/>
      <c r="B430" s="30"/>
      <c r="C430" s="70"/>
      <c r="G430" s="30"/>
      <c r="H430" s="77"/>
      <c r="I430" s="77"/>
      <c r="J430" s="58"/>
      <c r="K430" s="58"/>
    </row>
    <row r="431" spans="1:11" s="71" customFormat="1">
      <c r="A431" s="50"/>
      <c r="B431" s="30"/>
      <c r="C431" s="70"/>
      <c r="G431" s="30"/>
      <c r="H431" s="77"/>
      <c r="I431" s="77"/>
      <c r="J431" s="58"/>
      <c r="K431" s="58"/>
    </row>
    <row r="432" spans="1:11" s="71" customFormat="1">
      <c r="A432" s="50"/>
      <c r="B432" s="30"/>
      <c r="C432" s="70"/>
      <c r="G432" s="30"/>
      <c r="H432" s="77"/>
      <c r="I432" s="77"/>
      <c r="J432" s="58"/>
      <c r="K432" s="58"/>
    </row>
    <row r="433" spans="1:11" s="71" customFormat="1">
      <c r="A433" s="50"/>
      <c r="B433" s="30"/>
      <c r="C433" s="70"/>
      <c r="G433" s="30"/>
      <c r="H433" s="77"/>
      <c r="I433" s="77"/>
      <c r="J433" s="58"/>
      <c r="K433" s="58"/>
    </row>
    <row r="434" spans="1:11" s="71" customFormat="1">
      <c r="A434" s="50"/>
      <c r="B434" s="30"/>
      <c r="C434" s="70"/>
      <c r="G434" s="30"/>
      <c r="H434" s="77"/>
      <c r="I434" s="77"/>
      <c r="J434" s="58"/>
      <c r="K434" s="58"/>
    </row>
    <row r="435" spans="1:11" s="71" customFormat="1">
      <c r="A435" s="50"/>
      <c r="B435" s="30"/>
      <c r="C435" s="70"/>
      <c r="G435" s="30"/>
      <c r="H435" s="77"/>
      <c r="I435" s="77"/>
      <c r="J435" s="58"/>
      <c r="K435" s="58"/>
    </row>
    <row r="436" spans="1:11" s="71" customFormat="1">
      <c r="A436" s="50"/>
      <c r="B436" s="30"/>
      <c r="C436" s="70"/>
      <c r="G436" s="30"/>
      <c r="H436" s="77"/>
      <c r="I436" s="77"/>
      <c r="J436" s="58"/>
      <c r="K436" s="58"/>
    </row>
    <row r="437" spans="1:11" s="71" customFormat="1">
      <c r="A437" s="50"/>
      <c r="B437" s="30"/>
      <c r="C437" s="70"/>
      <c r="G437" s="30"/>
      <c r="H437" s="77"/>
      <c r="I437" s="77"/>
      <c r="J437" s="58"/>
      <c r="K437" s="58"/>
    </row>
    <row r="438" spans="1:11" s="71" customFormat="1">
      <c r="A438" s="50"/>
      <c r="B438" s="30"/>
      <c r="C438" s="70"/>
      <c r="G438" s="30"/>
      <c r="H438" s="77"/>
      <c r="I438" s="77"/>
      <c r="J438" s="58"/>
      <c r="K438" s="58"/>
    </row>
    <row r="439" spans="1:11" s="71" customFormat="1">
      <c r="A439" s="50"/>
      <c r="B439" s="30"/>
      <c r="C439" s="70"/>
      <c r="G439" s="30"/>
      <c r="H439" s="77"/>
      <c r="I439" s="77"/>
      <c r="J439" s="58"/>
      <c r="K439" s="58"/>
    </row>
    <row r="440" spans="1:11" s="71" customFormat="1">
      <c r="A440" s="50"/>
      <c r="B440" s="30"/>
      <c r="C440" s="70"/>
      <c r="G440" s="30"/>
      <c r="H440" s="77"/>
      <c r="I440" s="77"/>
      <c r="J440" s="58"/>
      <c r="K440" s="58"/>
    </row>
    <row r="441" spans="1:11" s="71" customFormat="1">
      <c r="A441" s="50"/>
      <c r="B441" s="30"/>
      <c r="C441" s="70"/>
      <c r="G441" s="30"/>
      <c r="H441" s="77"/>
      <c r="I441" s="77"/>
      <c r="J441" s="58"/>
      <c r="K441" s="58"/>
    </row>
    <row r="442" spans="1:11" s="71" customFormat="1">
      <c r="A442" s="50"/>
      <c r="B442" s="30"/>
      <c r="C442" s="70"/>
      <c r="G442" s="30"/>
      <c r="H442" s="77"/>
      <c r="I442" s="77"/>
      <c r="J442" s="58"/>
      <c r="K442" s="58"/>
    </row>
    <row r="443" spans="1:11" s="71" customFormat="1">
      <c r="A443" s="50"/>
      <c r="B443" s="30"/>
      <c r="C443" s="70"/>
      <c r="G443" s="30"/>
      <c r="H443" s="77"/>
      <c r="I443" s="77"/>
      <c r="J443" s="58"/>
      <c r="K443" s="58"/>
    </row>
    <row r="444" spans="1:11" s="71" customFormat="1">
      <c r="A444" s="50"/>
      <c r="B444" s="30"/>
      <c r="C444" s="70"/>
      <c r="G444" s="30"/>
      <c r="H444" s="77"/>
      <c r="I444" s="77"/>
      <c r="J444" s="58"/>
      <c r="K444" s="58"/>
    </row>
    <row r="445" spans="1:11" s="71" customFormat="1">
      <c r="A445" s="50"/>
      <c r="B445" s="30"/>
      <c r="C445" s="70"/>
      <c r="G445" s="30"/>
      <c r="H445" s="77"/>
      <c r="I445" s="77"/>
      <c r="J445" s="58"/>
      <c r="K445" s="58"/>
    </row>
    <row r="446" spans="1:11" s="71" customFormat="1">
      <c r="A446" s="50"/>
      <c r="B446" s="30"/>
      <c r="C446" s="70"/>
      <c r="G446" s="30"/>
      <c r="H446" s="77"/>
      <c r="I446" s="77"/>
      <c r="J446" s="58"/>
      <c r="K446" s="58"/>
    </row>
    <row r="447" spans="1:11" s="71" customFormat="1">
      <c r="A447" s="50"/>
      <c r="B447" s="30"/>
      <c r="C447" s="70"/>
      <c r="G447" s="30"/>
      <c r="H447" s="77"/>
      <c r="I447" s="77"/>
      <c r="J447" s="58"/>
      <c r="K447" s="58"/>
    </row>
    <row r="448" spans="1:11" s="71" customFormat="1">
      <c r="A448" s="50"/>
      <c r="B448" s="30"/>
      <c r="C448" s="70"/>
      <c r="G448" s="30"/>
      <c r="H448" s="77"/>
      <c r="I448" s="77"/>
      <c r="J448" s="58"/>
      <c r="K448" s="58"/>
    </row>
    <row r="449" spans="1:11" s="71" customFormat="1">
      <c r="A449" s="50"/>
      <c r="B449" s="30"/>
      <c r="C449" s="70"/>
      <c r="G449" s="30"/>
      <c r="H449" s="77"/>
      <c r="I449" s="77"/>
      <c r="J449" s="58"/>
      <c r="K449" s="58"/>
    </row>
    <row r="450" spans="1:11" s="71" customFormat="1">
      <c r="A450" s="50"/>
      <c r="B450" s="30"/>
      <c r="C450" s="70"/>
      <c r="G450" s="30"/>
      <c r="H450" s="77"/>
      <c r="I450" s="77"/>
      <c r="J450" s="58"/>
      <c r="K450" s="58"/>
    </row>
    <row r="451" spans="1:11" s="71" customFormat="1">
      <c r="A451" s="50"/>
      <c r="B451" s="30"/>
      <c r="C451" s="70"/>
      <c r="G451" s="30"/>
      <c r="H451" s="77"/>
      <c r="I451" s="77"/>
      <c r="J451" s="58"/>
      <c r="K451" s="58"/>
    </row>
    <row r="452" spans="1:11" s="71" customFormat="1">
      <c r="A452" s="50"/>
      <c r="B452" s="30"/>
      <c r="C452" s="70"/>
      <c r="G452" s="30"/>
      <c r="H452" s="77"/>
      <c r="I452" s="77"/>
      <c r="J452" s="58"/>
      <c r="K452" s="58"/>
    </row>
    <row r="453" spans="1:11" s="71" customFormat="1">
      <c r="A453" s="50"/>
      <c r="B453" s="30"/>
      <c r="C453" s="70"/>
      <c r="G453" s="30"/>
      <c r="H453" s="77"/>
      <c r="I453" s="77"/>
      <c r="J453" s="58"/>
      <c r="K453" s="58"/>
    </row>
    <row r="454" spans="1:11" s="71" customFormat="1">
      <c r="A454" s="50"/>
      <c r="B454" s="30"/>
      <c r="C454" s="70"/>
      <c r="G454" s="30"/>
      <c r="H454" s="77"/>
      <c r="I454" s="77"/>
      <c r="J454" s="58"/>
      <c r="K454" s="58"/>
    </row>
    <row r="455" spans="1:11" s="71" customFormat="1">
      <c r="A455" s="50"/>
      <c r="B455" s="30"/>
      <c r="C455" s="70"/>
      <c r="G455" s="30"/>
      <c r="H455" s="77"/>
      <c r="I455" s="77"/>
      <c r="J455" s="58"/>
      <c r="K455" s="58"/>
    </row>
    <row r="456" spans="1:11" s="71" customFormat="1">
      <c r="A456" s="50"/>
      <c r="B456" s="30"/>
      <c r="C456" s="70"/>
      <c r="G456" s="30"/>
      <c r="H456" s="77"/>
      <c r="I456" s="77"/>
      <c r="J456" s="58"/>
      <c r="K456" s="58"/>
    </row>
    <row r="457" spans="1:11" s="71" customFormat="1">
      <c r="A457" s="50"/>
      <c r="B457" s="30"/>
      <c r="C457" s="70"/>
      <c r="G457" s="30"/>
      <c r="H457" s="77"/>
      <c r="I457" s="77"/>
      <c r="J457" s="58"/>
      <c r="K457" s="58"/>
    </row>
    <row r="458" spans="1:11" s="71" customFormat="1">
      <c r="A458" s="50"/>
      <c r="B458" s="30"/>
      <c r="C458" s="70"/>
      <c r="G458" s="30"/>
      <c r="H458" s="77"/>
      <c r="I458" s="77"/>
      <c r="J458" s="58"/>
      <c r="K458" s="58"/>
    </row>
    <row r="459" spans="1:11" s="71" customFormat="1">
      <c r="A459" s="50"/>
      <c r="B459" s="30"/>
      <c r="C459" s="70"/>
      <c r="G459" s="30"/>
      <c r="H459" s="77"/>
      <c r="I459" s="77"/>
      <c r="J459" s="58"/>
      <c r="K459" s="58"/>
    </row>
    <row r="460" spans="1:11" s="71" customFormat="1">
      <c r="A460" s="50"/>
      <c r="B460" s="30"/>
      <c r="C460" s="70"/>
      <c r="G460" s="30"/>
      <c r="H460" s="77"/>
      <c r="I460" s="77"/>
      <c r="J460" s="58"/>
      <c r="K460" s="58"/>
    </row>
    <row r="461" spans="1:11" s="71" customFormat="1">
      <c r="A461" s="50"/>
      <c r="B461" s="30"/>
      <c r="C461" s="70"/>
      <c r="G461" s="30"/>
      <c r="H461" s="77"/>
      <c r="I461" s="77"/>
      <c r="J461" s="58"/>
      <c r="K461" s="58"/>
    </row>
    <row r="462" spans="1:11" s="71" customFormat="1">
      <c r="A462" s="50"/>
      <c r="B462" s="30"/>
      <c r="C462" s="70"/>
      <c r="G462" s="30"/>
      <c r="H462" s="77"/>
      <c r="I462" s="77"/>
      <c r="J462" s="58"/>
      <c r="K462" s="58"/>
    </row>
    <row r="463" spans="1:11" s="71" customFormat="1">
      <c r="A463" s="50"/>
      <c r="B463" s="30"/>
      <c r="C463" s="70"/>
      <c r="G463" s="30"/>
      <c r="H463" s="77"/>
      <c r="I463" s="77"/>
      <c r="J463" s="58"/>
      <c r="K463" s="58"/>
    </row>
    <row r="464" spans="1:11" s="71" customFormat="1">
      <c r="A464" s="50"/>
      <c r="B464" s="30"/>
      <c r="C464" s="70"/>
      <c r="G464" s="30"/>
      <c r="H464" s="77"/>
      <c r="I464" s="77"/>
      <c r="J464" s="58"/>
      <c r="K464" s="58"/>
    </row>
    <row r="465" spans="1:11" s="71" customFormat="1">
      <c r="A465" s="50"/>
      <c r="B465" s="30"/>
      <c r="C465" s="70"/>
      <c r="G465" s="30"/>
      <c r="H465" s="77"/>
      <c r="I465" s="77"/>
      <c r="J465" s="58"/>
      <c r="K465" s="58"/>
    </row>
    <row r="466" spans="1:11" s="71" customFormat="1">
      <c r="A466" s="50"/>
      <c r="B466" s="30"/>
      <c r="C466" s="70"/>
      <c r="G466" s="30"/>
      <c r="H466" s="77"/>
      <c r="I466" s="77"/>
      <c r="J466" s="58"/>
      <c r="K466" s="58"/>
    </row>
    <row r="467" spans="1:11" s="71" customFormat="1">
      <c r="A467" s="50"/>
      <c r="B467" s="30"/>
      <c r="C467" s="70"/>
      <c r="G467" s="30"/>
      <c r="H467" s="77"/>
      <c r="I467" s="77"/>
      <c r="J467" s="58"/>
      <c r="K467" s="58"/>
    </row>
    <row r="468" spans="1:11" s="71" customFormat="1">
      <c r="A468" s="50"/>
      <c r="B468" s="30"/>
      <c r="C468" s="70"/>
      <c r="G468" s="30"/>
      <c r="H468" s="77"/>
      <c r="I468" s="77"/>
      <c r="J468" s="58"/>
      <c r="K468" s="58"/>
    </row>
    <row r="469" spans="1:11" s="71" customFormat="1">
      <c r="A469" s="50"/>
      <c r="B469" s="30"/>
      <c r="C469" s="70"/>
      <c r="G469" s="30"/>
      <c r="H469" s="77"/>
      <c r="I469" s="77"/>
      <c r="J469" s="58"/>
      <c r="K469" s="58"/>
    </row>
    <row r="470" spans="1:11" s="71" customFormat="1">
      <c r="A470" s="50"/>
      <c r="B470" s="30"/>
      <c r="C470" s="70"/>
      <c r="G470" s="30"/>
      <c r="H470" s="77"/>
      <c r="I470" s="77"/>
      <c r="J470" s="58"/>
      <c r="K470" s="58"/>
    </row>
    <row r="471" spans="1:11" s="71" customFormat="1">
      <c r="A471" s="50"/>
      <c r="B471" s="30"/>
      <c r="C471" s="70"/>
      <c r="G471" s="30"/>
      <c r="H471" s="77"/>
      <c r="I471" s="77"/>
      <c r="J471" s="58"/>
      <c r="K471" s="58"/>
    </row>
    <row r="472" spans="1:11" s="71" customFormat="1">
      <c r="A472" s="50"/>
      <c r="B472" s="30"/>
      <c r="C472" s="70"/>
      <c r="G472" s="30"/>
      <c r="H472" s="77"/>
      <c r="I472" s="77"/>
      <c r="J472" s="58"/>
      <c r="K472" s="58"/>
    </row>
    <row r="473" spans="1:11" s="71" customFormat="1">
      <c r="A473" s="50"/>
      <c r="B473" s="30"/>
      <c r="C473" s="70"/>
      <c r="G473" s="30"/>
      <c r="H473" s="77"/>
      <c r="I473" s="77"/>
      <c r="J473" s="58"/>
      <c r="K473" s="58"/>
    </row>
    <row r="474" spans="1:11" s="71" customFormat="1">
      <c r="A474" s="50"/>
      <c r="B474" s="30"/>
      <c r="C474" s="70"/>
      <c r="G474" s="30"/>
      <c r="H474" s="77"/>
      <c r="I474" s="77"/>
      <c r="J474" s="58"/>
      <c r="K474" s="58"/>
    </row>
    <row r="475" spans="1:11" s="71" customFormat="1">
      <c r="A475" s="50"/>
      <c r="B475" s="30"/>
      <c r="C475" s="70"/>
      <c r="G475" s="30"/>
      <c r="H475" s="77"/>
      <c r="I475" s="77"/>
      <c r="J475" s="58"/>
      <c r="K475" s="58"/>
    </row>
    <row r="476" spans="1:11" s="71" customFormat="1">
      <c r="A476" s="50"/>
      <c r="B476" s="30"/>
      <c r="C476" s="70"/>
      <c r="G476" s="30"/>
      <c r="H476" s="77"/>
      <c r="I476" s="77"/>
      <c r="J476" s="58"/>
      <c r="K476" s="58"/>
    </row>
    <row r="477" spans="1:11" s="71" customFormat="1">
      <c r="A477" s="50"/>
      <c r="B477" s="30"/>
      <c r="C477" s="70"/>
      <c r="G477" s="30"/>
      <c r="H477" s="77"/>
      <c r="I477" s="77"/>
      <c r="J477" s="58"/>
      <c r="K477" s="58"/>
    </row>
    <row r="478" spans="1:11" s="71" customFormat="1">
      <c r="A478" s="50"/>
      <c r="B478" s="30"/>
      <c r="C478" s="70"/>
      <c r="G478" s="30"/>
      <c r="H478" s="77"/>
      <c r="I478" s="77"/>
      <c r="J478" s="58"/>
      <c r="K478" s="58"/>
    </row>
    <row r="479" spans="1:11" s="71" customFormat="1">
      <c r="A479" s="50"/>
      <c r="B479" s="30"/>
      <c r="C479" s="70"/>
      <c r="G479" s="30"/>
      <c r="H479" s="77"/>
      <c r="I479" s="77"/>
      <c r="J479" s="58"/>
      <c r="K479" s="58"/>
    </row>
    <row r="480" spans="1:11" s="71" customFormat="1">
      <c r="A480" s="50"/>
      <c r="B480" s="30"/>
      <c r="C480" s="70"/>
      <c r="G480" s="30"/>
      <c r="H480" s="77"/>
      <c r="I480" s="77"/>
      <c r="J480" s="58"/>
      <c r="K480" s="58"/>
    </row>
    <row r="481" spans="1:11" s="71" customFormat="1">
      <c r="A481" s="50"/>
      <c r="B481" s="30"/>
      <c r="C481" s="70"/>
      <c r="G481" s="30"/>
      <c r="H481" s="77"/>
      <c r="I481" s="77"/>
      <c r="J481" s="58"/>
      <c r="K481" s="58"/>
    </row>
    <row r="482" spans="1:11" s="71" customFormat="1">
      <c r="A482" s="50"/>
      <c r="B482" s="30"/>
      <c r="C482" s="70"/>
      <c r="G482" s="30"/>
      <c r="H482" s="77"/>
      <c r="I482" s="77"/>
      <c r="J482" s="58"/>
      <c r="K482" s="58"/>
    </row>
    <row r="483" spans="1:11" s="71" customFormat="1">
      <c r="A483" s="50"/>
      <c r="B483" s="30"/>
      <c r="C483" s="70"/>
      <c r="G483" s="30"/>
      <c r="H483" s="77"/>
      <c r="I483" s="77"/>
      <c r="J483" s="58"/>
      <c r="K483" s="58"/>
    </row>
    <row r="484" spans="1:11" s="71" customFormat="1">
      <c r="A484" s="50"/>
      <c r="B484" s="30"/>
      <c r="C484" s="70"/>
      <c r="G484" s="30"/>
      <c r="H484" s="77"/>
      <c r="I484" s="77"/>
      <c r="J484" s="58"/>
      <c r="K484" s="58"/>
    </row>
    <row r="485" spans="1:11" s="71" customFormat="1">
      <c r="A485" s="50"/>
      <c r="B485" s="30"/>
      <c r="C485" s="70"/>
      <c r="G485" s="30"/>
      <c r="H485" s="77"/>
      <c r="I485" s="77"/>
      <c r="J485" s="58"/>
      <c r="K485" s="58"/>
    </row>
    <row r="486" spans="1:11" s="71" customFormat="1">
      <c r="A486" s="50"/>
      <c r="B486" s="30"/>
      <c r="C486" s="70"/>
      <c r="G486" s="30"/>
      <c r="H486" s="77"/>
      <c r="I486" s="77"/>
      <c r="J486" s="58"/>
      <c r="K486" s="58"/>
    </row>
    <row r="487" spans="1:11" s="71" customFormat="1">
      <c r="A487" s="50"/>
      <c r="B487" s="30"/>
      <c r="C487" s="70"/>
      <c r="G487" s="30"/>
      <c r="H487" s="77"/>
      <c r="I487" s="77"/>
      <c r="J487" s="58"/>
      <c r="K487" s="58"/>
    </row>
    <row r="488" spans="1:11" s="71" customFormat="1">
      <c r="A488" s="50"/>
      <c r="B488" s="30"/>
      <c r="C488" s="70"/>
      <c r="G488" s="30"/>
      <c r="H488" s="77"/>
      <c r="I488" s="77"/>
      <c r="J488" s="58"/>
      <c r="K488" s="58"/>
    </row>
    <row r="489" spans="1:11" s="71" customFormat="1">
      <c r="A489" s="50"/>
      <c r="B489" s="30"/>
      <c r="C489" s="70"/>
      <c r="G489" s="30"/>
      <c r="H489" s="77"/>
      <c r="I489" s="77"/>
      <c r="J489" s="58"/>
      <c r="K489" s="58"/>
    </row>
    <row r="490" spans="1:11" s="71" customFormat="1">
      <c r="A490" s="50"/>
      <c r="B490" s="30"/>
      <c r="C490" s="70"/>
      <c r="G490" s="30"/>
      <c r="H490" s="77"/>
      <c r="I490" s="77"/>
      <c r="J490" s="58"/>
      <c r="K490" s="58"/>
    </row>
    <row r="491" spans="1:11" s="71" customFormat="1">
      <c r="A491" s="50"/>
      <c r="B491" s="30"/>
      <c r="C491" s="70"/>
      <c r="G491" s="30"/>
      <c r="H491" s="77"/>
      <c r="I491" s="77"/>
      <c r="J491" s="58"/>
      <c r="K491" s="58"/>
    </row>
    <row r="492" spans="1:11" s="71" customFormat="1">
      <c r="A492" s="50"/>
      <c r="B492" s="30"/>
      <c r="C492" s="70"/>
      <c r="G492" s="30"/>
      <c r="H492" s="77"/>
      <c r="I492" s="77"/>
      <c r="J492" s="58"/>
      <c r="K492" s="58"/>
    </row>
    <row r="493" spans="1:11" s="71" customFormat="1">
      <c r="A493" s="50"/>
      <c r="B493" s="30"/>
      <c r="C493" s="70"/>
      <c r="G493" s="30"/>
      <c r="H493" s="77"/>
      <c r="I493" s="77"/>
      <c r="J493" s="58"/>
      <c r="K493" s="58"/>
    </row>
    <row r="494" spans="1:11" s="71" customFormat="1">
      <c r="A494" s="50"/>
      <c r="B494" s="30"/>
      <c r="C494" s="70"/>
      <c r="G494" s="30"/>
      <c r="H494" s="77"/>
      <c r="I494" s="77"/>
      <c r="J494" s="58"/>
      <c r="K494" s="58"/>
    </row>
    <row r="495" spans="1:11" s="71" customFormat="1">
      <c r="A495" s="50"/>
      <c r="B495" s="30"/>
      <c r="C495" s="70"/>
      <c r="G495" s="30"/>
      <c r="H495" s="77"/>
      <c r="I495" s="77"/>
      <c r="J495" s="58"/>
      <c r="K495" s="58"/>
    </row>
    <row r="496" spans="1:11" s="71" customFormat="1">
      <c r="A496" s="50"/>
      <c r="B496" s="30"/>
      <c r="C496" s="70"/>
      <c r="G496" s="30"/>
      <c r="H496" s="77"/>
      <c r="I496" s="77"/>
      <c r="J496" s="58"/>
      <c r="K496" s="58"/>
    </row>
    <row r="497" spans="1:11" s="71" customFormat="1">
      <c r="A497" s="50"/>
      <c r="B497" s="30"/>
      <c r="C497" s="70"/>
      <c r="G497" s="30"/>
      <c r="H497" s="77"/>
      <c r="I497" s="77"/>
      <c r="J497" s="58"/>
      <c r="K497" s="58"/>
    </row>
    <row r="498" spans="1:11" s="71" customFormat="1">
      <c r="A498" s="50"/>
      <c r="B498" s="30"/>
      <c r="C498" s="70"/>
      <c r="G498" s="30"/>
      <c r="H498" s="77"/>
      <c r="I498" s="77"/>
      <c r="J498" s="58"/>
      <c r="K498" s="58"/>
    </row>
    <row r="499" spans="1:11" s="71" customFormat="1">
      <c r="A499" s="50"/>
      <c r="B499" s="30"/>
      <c r="C499" s="70"/>
      <c r="G499" s="30"/>
      <c r="H499" s="77"/>
      <c r="I499" s="77"/>
      <c r="J499" s="58"/>
      <c r="K499" s="58"/>
    </row>
    <row r="500" spans="1:11" s="71" customFormat="1">
      <c r="A500" s="50"/>
      <c r="B500" s="30"/>
      <c r="C500" s="70"/>
      <c r="G500" s="30"/>
      <c r="H500" s="77"/>
      <c r="I500" s="77"/>
      <c r="J500" s="58"/>
      <c r="K500" s="58"/>
    </row>
    <row r="501" spans="1:11" s="71" customFormat="1">
      <c r="A501" s="50"/>
      <c r="B501" s="30"/>
      <c r="C501" s="70"/>
      <c r="G501" s="30"/>
      <c r="H501" s="77"/>
      <c r="I501" s="77"/>
      <c r="J501" s="58"/>
      <c r="K501" s="58"/>
    </row>
    <row r="502" spans="1:11" s="71" customFormat="1">
      <c r="A502" s="50"/>
      <c r="B502" s="30"/>
      <c r="C502" s="70"/>
      <c r="G502" s="30"/>
      <c r="H502" s="77"/>
      <c r="I502" s="77"/>
      <c r="J502" s="58"/>
      <c r="K502" s="58"/>
    </row>
    <row r="503" spans="1:11" s="71" customFormat="1">
      <c r="A503" s="50"/>
      <c r="B503" s="30"/>
      <c r="C503" s="70"/>
      <c r="G503" s="30"/>
      <c r="H503" s="77"/>
      <c r="I503" s="77"/>
      <c r="J503" s="58"/>
      <c r="K503" s="58"/>
    </row>
    <row r="504" spans="1:11" s="71" customFormat="1">
      <c r="A504" s="50"/>
      <c r="B504" s="30"/>
      <c r="C504" s="70"/>
      <c r="G504" s="30"/>
      <c r="H504" s="77"/>
      <c r="I504" s="77"/>
      <c r="J504" s="58"/>
      <c r="K504" s="58"/>
    </row>
    <row r="505" spans="1:11" s="71" customFormat="1">
      <c r="A505" s="50"/>
      <c r="B505" s="30"/>
      <c r="C505" s="70"/>
      <c r="G505" s="30"/>
      <c r="H505" s="77"/>
      <c r="I505" s="77"/>
      <c r="J505" s="58"/>
      <c r="K505" s="58"/>
    </row>
    <row r="506" spans="1:11" s="71" customFormat="1">
      <c r="A506" s="50"/>
      <c r="B506" s="30"/>
      <c r="C506" s="70"/>
      <c r="G506" s="30"/>
      <c r="H506" s="77"/>
      <c r="I506" s="77"/>
      <c r="J506" s="58"/>
      <c r="K506" s="58"/>
    </row>
    <row r="507" spans="1:11" s="71" customFormat="1">
      <c r="A507" s="50"/>
      <c r="B507" s="30"/>
      <c r="C507" s="70"/>
      <c r="G507" s="30"/>
      <c r="H507" s="77"/>
      <c r="I507" s="77"/>
      <c r="J507" s="58"/>
      <c r="K507" s="58"/>
    </row>
    <row r="508" spans="1:11" s="71" customFormat="1">
      <c r="A508" s="50"/>
      <c r="B508" s="30"/>
      <c r="C508" s="70"/>
      <c r="G508" s="30"/>
      <c r="H508" s="77"/>
      <c r="I508" s="77"/>
      <c r="J508" s="58"/>
      <c r="K508" s="58"/>
    </row>
    <row r="509" spans="1:11" s="71" customFormat="1">
      <c r="A509" s="50"/>
      <c r="B509" s="30"/>
      <c r="C509" s="70"/>
      <c r="G509" s="30"/>
      <c r="H509" s="77"/>
      <c r="I509" s="77"/>
      <c r="J509" s="58"/>
      <c r="K509" s="58"/>
    </row>
    <row r="510" spans="1:11" s="71" customFormat="1">
      <c r="A510" s="50"/>
      <c r="B510" s="30"/>
      <c r="C510" s="70"/>
      <c r="G510" s="30"/>
      <c r="H510" s="77"/>
      <c r="I510" s="77"/>
      <c r="J510" s="58"/>
      <c r="K510" s="58"/>
    </row>
    <row r="511" spans="1:11" s="71" customFormat="1">
      <c r="A511" s="50"/>
      <c r="B511" s="30"/>
      <c r="C511" s="70"/>
      <c r="G511" s="30"/>
      <c r="H511" s="77"/>
      <c r="I511" s="77"/>
      <c r="J511" s="58"/>
      <c r="K511" s="58"/>
    </row>
    <row r="512" spans="1:11" s="71" customFormat="1">
      <c r="A512" s="50"/>
      <c r="B512" s="30"/>
      <c r="C512" s="70"/>
      <c r="G512" s="30"/>
      <c r="H512" s="77"/>
      <c r="I512" s="77"/>
      <c r="J512" s="58"/>
      <c r="K512" s="58"/>
    </row>
    <row r="513" spans="1:11" s="71" customFormat="1">
      <c r="A513" s="50"/>
      <c r="B513" s="30"/>
      <c r="C513" s="70"/>
      <c r="G513" s="30"/>
      <c r="H513" s="77"/>
      <c r="I513" s="77"/>
      <c r="J513" s="58"/>
      <c r="K513" s="58"/>
    </row>
    <row r="514" spans="1:11" s="71" customFormat="1">
      <c r="A514" s="50"/>
      <c r="B514" s="30"/>
      <c r="C514" s="70"/>
      <c r="G514" s="30"/>
      <c r="H514" s="77"/>
      <c r="I514" s="77"/>
      <c r="J514" s="58"/>
      <c r="K514" s="58"/>
    </row>
    <row r="515" spans="1:11" s="71" customFormat="1">
      <c r="A515" s="50"/>
      <c r="B515" s="30"/>
      <c r="C515" s="70"/>
      <c r="G515" s="30"/>
      <c r="H515" s="77"/>
      <c r="I515" s="77"/>
      <c r="J515" s="58"/>
      <c r="K515" s="58"/>
    </row>
    <row r="516" spans="1:11" s="71" customFormat="1">
      <c r="A516" s="50"/>
      <c r="B516" s="30"/>
      <c r="C516" s="70"/>
      <c r="G516" s="30"/>
      <c r="H516" s="77"/>
      <c r="I516" s="77"/>
      <c r="J516" s="58"/>
      <c r="K516" s="58"/>
    </row>
    <row r="517" spans="1:11" s="71" customFormat="1">
      <c r="A517" s="50"/>
      <c r="B517" s="30"/>
      <c r="C517" s="70"/>
      <c r="G517" s="30"/>
      <c r="H517" s="77"/>
      <c r="I517" s="77"/>
      <c r="J517" s="58"/>
      <c r="K517" s="58"/>
    </row>
    <row r="518" spans="1:11" s="71" customFormat="1">
      <c r="A518" s="50"/>
      <c r="B518" s="30"/>
      <c r="C518" s="70"/>
      <c r="G518" s="30"/>
      <c r="H518" s="77"/>
      <c r="I518" s="77"/>
      <c r="J518" s="58"/>
      <c r="K518" s="58"/>
    </row>
    <row r="519" spans="1:11" s="71" customFormat="1">
      <c r="A519" s="50"/>
      <c r="B519" s="30"/>
      <c r="C519" s="70"/>
      <c r="G519" s="30"/>
      <c r="H519" s="77"/>
      <c r="I519" s="77"/>
      <c r="J519" s="58"/>
      <c r="K519" s="58"/>
    </row>
    <row r="520" spans="1:11" s="71" customFormat="1">
      <c r="A520" s="50"/>
      <c r="B520" s="30"/>
      <c r="C520" s="70"/>
      <c r="G520" s="30"/>
      <c r="H520" s="77"/>
      <c r="I520" s="77"/>
      <c r="J520" s="58"/>
      <c r="K520" s="58"/>
    </row>
    <row r="521" spans="1:11" s="71" customFormat="1">
      <c r="A521" s="50"/>
      <c r="B521" s="30"/>
      <c r="C521" s="70"/>
      <c r="G521" s="30"/>
      <c r="H521" s="77"/>
      <c r="I521" s="77"/>
      <c r="J521" s="58"/>
      <c r="K521" s="58"/>
    </row>
    <row r="522" spans="1:11" s="71" customFormat="1">
      <c r="A522" s="50"/>
      <c r="B522" s="30"/>
      <c r="C522" s="70"/>
      <c r="G522" s="30"/>
      <c r="H522" s="77"/>
      <c r="I522" s="77"/>
      <c r="J522" s="58"/>
      <c r="K522" s="58"/>
    </row>
    <row r="523" spans="1:11" s="71" customFormat="1">
      <c r="A523" s="50"/>
      <c r="B523" s="30"/>
      <c r="C523" s="70"/>
      <c r="G523" s="30"/>
      <c r="H523" s="77"/>
      <c r="I523" s="77"/>
      <c r="J523" s="58"/>
      <c r="K523" s="58"/>
    </row>
    <row r="524" spans="1:11" s="71" customFormat="1">
      <c r="A524" s="50"/>
      <c r="B524" s="30"/>
      <c r="C524" s="70"/>
      <c r="G524" s="30"/>
      <c r="H524" s="77"/>
      <c r="I524" s="77"/>
      <c r="J524" s="58"/>
      <c r="K524" s="58"/>
    </row>
    <row r="525" spans="1:11" s="71" customFormat="1">
      <c r="A525" s="50"/>
      <c r="B525" s="30"/>
      <c r="C525" s="70"/>
      <c r="G525" s="30"/>
      <c r="H525" s="77"/>
      <c r="I525" s="77"/>
      <c r="J525" s="58"/>
      <c r="K525" s="58"/>
    </row>
    <row r="526" spans="1:11" s="71" customFormat="1">
      <c r="A526" s="50"/>
      <c r="B526" s="30"/>
      <c r="C526" s="70"/>
      <c r="G526" s="30"/>
      <c r="H526" s="77"/>
      <c r="I526" s="77"/>
      <c r="J526" s="58"/>
      <c r="K526" s="58"/>
    </row>
    <row r="527" spans="1:11" s="71" customFormat="1">
      <c r="A527" s="50"/>
      <c r="B527" s="30"/>
      <c r="C527" s="70"/>
      <c r="G527" s="30"/>
      <c r="H527" s="77"/>
      <c r="I527" s="77"/>
      <c r="J527" s="58"/>
      <c r="K527" s="58"/>
    </row>
    <row r="528" spans="1:11" s="71" customFormat="1">
      <c r="A528" s="50"/>
      <c r="B528" s="30"/>
      <c r="C528" s="70"/>
      <c r="G528" s="30"/>
      <c r="H528" s="77"/>
      <c r="I528" s="77"/>
      <c r="J528" s="58"/>
      <c r="K528" s="58"/>
    </row>
    <row r="529" spans="1:11" s="71" customFormat="1">
      <c r="A529" s="50"/>
      <c r="B529" s="30"/>
      <c r="C529" s="70"/>
      <c r="G529" s="30"/>
      <c r="H529" s="77"/>
      <c r="I529" s="77"/>
      <c r="J529" s="58"/>
      <c r="K529" s="58"/>
    </row>
    <row r="530" spans="1:11" s="71" customFormat="1">
      <c r="A530" s="50"/>
      <c r="B530" s="30"/>
      <c r="C530" s="70"/>
      <c r="G530" s="30"/>
      <c r="H530" s="77"/>
      <c r="I530" s="77"/>
      <c r="J530" s="58"/>
      <c r="K530" s="58"/>
    </row>
    <row r="531" spans="1:11" s="71" customFormat="1">
      <c r="A531" s="50"/>
      <c r="B531" s="30"/>
      <c r="C531" s="70"/>
      <c r="G531" s="30"/>
      <c r="H531" s="77"/>
      <c r="I531" s="77"/>
      <c r="J531" s="58"/>
      <c r="K531" s="58"/>
    </row>
    <row r="532" spans="1:11" s="71" customFormat="1">
      <c r="A532" s="50"/>
      <c r="B532" s="30"/>
      <c r="C532" s="70"/>
      <c r="G532" s="30"/>
      <c r="H532" s="77"/>
      <c r="I532" s="77"/>
      <c r="J532" s="58"/>
      <c r="K532" s="58"/>
    </row>
    <row r="533" spans="1:11" s="71" customFormat="1">
      <c r="A533" s="87"/>
      <c r="B533" s="30"/>
      <c r="C533" s="70"/>
      <c r="G533" s="30"/>
      <c r="H533" s="77"/>
      <c r="I533" s="77"/>
      <c r="J533" s="58"/>
      <c r="K533" s="58"/>
    </row>
    <row r="534" spans="1:11" s="71" customFormat="1">
      <c r="A534" s="87"/>
      <c r="B534" s="30"/>
      <c r="C534" s="70"/>
      <c r="G534" s="30"/>
      <c r="H534" s="77"/>
      <c r="I534" s="77"/>
      <c r="J534" s="58"/>
      <c r="K534" s="58"/>
    </row>
    <row r="535" spans="1:11" s="71" customFormat="1">
      <c r="A535" s="87"/>
      <c r="B535" s="30"/>
      <c r="C535" s="70"/>
      <c r="G535" s="30"/>
      <c r="H535" s="77"/>
      <c r="I535" s="77"/>
      <c r="J535" s="58"/>
      <c r="K535" s="58"/>
    </row>
    <row r="536" spans="1:11" s="71" customFormat="1">
      <c r="A536" s="87"/>
      <c r="B536" s="30"/>
      <c r="C536" s="70"/>
      <c r="G536" s="30"/>
      <c r="H536" s="77"/>
      <c r="I536" s="77"/>
      <c r="J536" s="58"/>
      <c r="K536" s="58"/>
    </row>
    <row r="537" spans="1:11" s="71" customFormat="1">
      <c r="A537" s="87"/>
      <c r="B537" s="30"/>
      <c r="C537" s="70"/>
      <c r="G537" s="30"/>
      <c r="H537" s="77"/>
      <c r="I537" s="77"/>
      <c r="J537" s="58"/>
      <c r="K537" s="58"/>
    </row>
    <row r="538" spans="1:11" s="71" customFormat="1">
      <c r="A538" s="87"/>
      <c r="B538" s="30"/>
      <c r="C538" s="70"/>
      <c r="G538" s="30"/>
      <c r="H538" s="77"/>
      <c r="I538" s="77"/>
      <c r="J538" s="58"/>
      <c r="K538" s="58"/>
    </row>
    <row r="539" spans="1:11" s="71" customFormat="1">
      <c r="A539" s="87"/>
      <c r="B539" s="30"/>
      <c r="C539" s="70"/>
      <c r="G539" s="30"/>
      <c r="H539" s="77"/>
      <c r="I539" s="77"/>
      <c r="J539" s="58"/>
      <c r="K539" s="58"/>
    </row>
    <row r="540" spans="1:11" s="71" customFormat="1">
      <c r="A540" s="87"/>
      <c r="B540" s="30"/>
      <c r="C540" s="70"/>
      <c r="G540" s="30"/>
      <c r="H540" s="77"/>
      <c r="I540" s="77"/>
      <c r="J540" s="58"/>
      <c r="K540" s="58"/>
    </row>
    <row r="541" spans="1:11" s="71" customFormat="1">
      <c r="A541" s="87"/>
      <c r="B541" s="30"/>
      <c r="C541" s="70"/>
      <c r="G541" s="30"/>
      <c r="H541" s="77"/>
      <c r="I541" s="77"/>
      <c r="J541" s="58"/>
      <c r="K541" s="58"/>
    </row>
    <row r="542" spans="1:11" s="71" customFormat="1">
      <c r="A542" s="87"/>
      <c r="B542" s="30"/>
      <c r="C542" s="70"/>
      <c r="G542" s="30"/>
      <c r="H542" s="77"/>
      <c r="I542" s="77"/>
      <c r="J542" s="58"/>
      <c r="K542" s="58"/>
    </row>
    <row r="543" spans="1:11" s="71" customFormat="1">
      <c r="A543" s="87"/>
      <c r="B543" s="30"/>
      <c r="C543" s="70"/>
      <c r="G543" s="30"/>
      <c r="H543" s="77"/>
      <c r="I543" s="77"/>
      <c r="J543" s="58"/>
      <c r="K543" s="58"/>
    </row>
    <row r="544" spans="1:11" s="71" customFormat="1">
      <c r="A544" s="87"/>
      <c r="B544" s="30"/>
      <c r="C544" s="70"/>
      <c r="G544" s="30"/>
      <c r="H544" s="77"/>
      <c r="I544" s="77"/>
      <c r="J544" s="58"/>
      <c r="K544" s="58"/>
    </row>
    <row r="545" spans="1:11" s="71" customFormat="1">
      <c r="A545" s="87"/>
      <c r="B545" s="30"/>
      <c r="C545" s="70"/>
      <c r="G545" s="30"/>
      <c r="H545" s="77"/>
      <c r="I545" s="77"/>
      <c r="J545" s="58"/>
      <c r="K545" s="58"/>
    </row>
    <row r="546" spans="1:11" s="71" customFormat="1">
      <c r="A546" s="87"/>
      <c r="B546" s="30"/>
      <c r="C546" s="70"/>
      <c r="G546" s="30"/>
      <c r="H546" s="77"/>
      <c r="I546" s="77"/>
      <c r="J546" s="58"/>
      <c r="K546" s="58"/>
    </row>
    <row r="547" spans="1:11" s="71" customFormat="1">
      <c r="A547" s="87"/>
      <c r="B547" s="30"/>
      <c r="C547" s="70"/>
      <c r="G547" s="30"/>
      <c r="H547" s="77"/>
      <c r="I547" s="77"/>
      <c r="J547" s="58"/>
      <c r="K547" s="58"/>
    </row>
    <row r="548" spans="1:11" s="71" customFormat="1">
      <c r="A548" s="87"/>
      <c r="B548" s="30"/>
      <c r="C548" s="70"/>
      <c r="G548" s="30"/>
      <c r="H548" s="77"/>
      <c r="I548" s="77"/>
      <c r="J548" s="58"/>
      <c r="K548" s="58"/>
    </row>
    <row r="549" spans="1:11" s="71" customFormat="1">
      <c r="A549" s="87"/>
      <c r="B549" s="30"/>
      <c r="C549" s="70"/>
      <c r="G549" s="30"/>
      <c r="H549" s="77"/>
      <c r="I549" s="77"/>
      <c r="J549" s="58"/>
      <c r="K549" s="58"/>
    </row>
    <row r="550" spans="1:11" s="71" customFormat="1">
      <c r="A550" s="87"/>
      <c r="B550" s="30"/>
      <c r="C550" s="70"/>
      <c r="G550" s="30"/>
      <c r="H550" s="77"/>
      <c r="I550" s="77"/>
      <c r="J550" s="58"/>
      <c r="K550" s="58"/>
    </row>
    <row r="551" spans="1:11" s="71" customFormat="1">
      <c r="A551" s="87"/>
      <c r="B551" s="30"/>
      <c r="C551" s="70"/>
      <c r="G551" s="30"/>
      <c r="H551" s="77"/>
      <c r="I551" s="77"/>
      <c r="J551" s="58"/>
      <c r="K551" s="58"/>
    </row>
    <row r="552" spans="1:11" s="71" customFormat="1">
      <c r="A552" s="87"/>
      <c r="B552" s="30"/>
      <c r="C552" s="70"/>
      <c r="G552" s="30"/>
      <c r="H552" s="77"/>
      <c r="I552" s="77"/>
      <c r="J552" s="58"/>
      <c r="K552" s="58"/>
    </row>
    <row r="553" spans="1:11" s="71" customFormat="1">
      <c r="A553" s="87"/>
      <c r="B553" s="30"/>
      <c r="C553" s="70"/>
      <c r="G553" s="30"/>
      <c r="H553" s="77"/>
      <c r="I553" s="77"/>
      <c r="J553" s="58"/>
      <c r="K553" s="58"/>
    </row>
    <row r="554" spans="1:11" s="71" customFormat="1">
      <c r="A554" s="87"/>
      <c r="B554" s="30"/>
      <c r="C554" s="70"/>
      <c r="G554" s="30"/>
      <c r="H554" s="77"/>
      <c r="I554" s="77"/>
      <c r="J554" s="58"/>
      <c r="K554" s="58"/>
    </row>
    <row r="555" spans="1:11" s="71" customFormat="1">
      <c r="A555" s="87"/>
      <c r="B555" s="30"/>
      <c r="C555" s="70"/>
      <c r="G555" s="30"/>
      <c r="H555" s="77"/>
      <c r="I555" s="77"/>
      <c r="J555" s="58"/>
      <c r="K555" s="58"/>
    </row>
    <row r="556" spans="1:11" s="71" customFormat="1">
      <c r="A556" s="87"/>
      <c r="B556" s="30"/>
      <c r="C556" s="70"/>
      <c r="G556" s="30"/>
      <c r="H556" s="77"/>
      <c r="I556" s="77"/>
      <c r="J556" s="58"/>
      <c r="K556" s="58"/>
    </row>
    <row r="557" spans="1:11" s="71" customFormat="1">
      <c r="A557" s="87"/>
      <c r="B557" s="30"/>
      <c r="C557" s="70"/>
      <c r="G557" s="30"/>
      <c r="H557" s="77"/>
      <c r="I557" s="77"/>
      <c r="J557" s="58"/>
      <c r="K557" s="58"/>
    </row>
    <row r="558" spans="1:11" s="71" customFormat="1">
      <c r="A558" s="87"/>
      <c r="B558" s="30"/>
      <c r="C558" s="70"/>
      <c r="G558" s="30"/>
      <c r="H558" s="77"/>
      <c r="I558" s="77"/>
      <c r="J558" s="58"/>
      <c r="K558" s="58"/>
    </row>
    <row r="559" spans="1:11" s="71" customFormat="1">
      <c r="A559" s="87"/>
      <c r="B559" s="30"/>
      <c r="C559" s="70"/>
      <c r="G559" s="30"/>
      <c r="H559" s="77"/>
      <c r="I559" s="77"/>
      <c r="J559" s="58"/>
      <c r="K559" s="58"/>
    </row>
    <row r="560" spans="1:11" s="71" customFormat="1">
      <c r="A560" s="87"/>
      <c r="B560" s="30"/>
      <c r="C560" s="70"/>
      <c r="G560" s="30"/>
      <c r="H560" s="77"/>
      <c r="I560" s="77"/>
      <c r="J560" s="58"/>
      <c r="K560" s="58"/>
    </row>
    <row r="561" spans="1:11" s="71" customFormat="1">
      <c r="A561" s="87"/>
      <c r="B561" s="30"/>
      <c r="C561" s="70"/>
      <c r="G561" s="30"/>
      <c r="H561" s="77"/>
      <c r="I561" s="77"/>
      <c r="J561" s="58"/>
      <c r="K561" s="58"/>
    </row>
    <row r="562" spans="1:11" s="71" customFormat="1">
      <c r="A562" s="87"/>
      <c r="B562" s="30"/>
      <c r="C562" s="70"/>
      <c r="G562" s="30"/>
      <c r="H562" s="77"/>
      <c r="I562" s="77"/>
      <c r="J562" s="58"/>
      <c r="K562" s="58"/>
    </row>
    <row r="563" spans="1:11" s="71" customFormat="1">
      <c r="A563" s="87"/>
      <c r="B563" s="30"/>
      <c r="C563" s="70"/>
      <c r="G563" s="30"/>
      <c r="H563" s="77"/>
      <c r="I563" s="77"/>
      <c r="J563" s="58"/>
      <c r="K563" s="58"/>
    </row>
    <row r="564" spans="1:11" s="71" customFormat="1">
      <c r="A564" s="87"/>
      <c r="B564" s="30"/>
      <c r="C564" s="70"/>
      <c r="G564" s="30"/>
      <c r="H564" s="77"/>
      <c r="I564" s="77"/>
      <c r="J564" s="58"/>
      <c r="K564" s="58"/>
    </row>
    <row r="565" spans="1:11" s="71" customFormat="1">
      <c r="A565" s="87"/>
      <c r="B565" s="30"/>
      <c r="C565" s="70"/>
      <c r="G565" s="30"/>
      <c r="H565" s="77"/>
      <c r="I565" s="77"/>
      <c r="J565" s="58"/>
      <c r="K565" s="58"/>
    </row>
    <row r="566" spans="1:11" s="71" customFormat="1">
      <c r="A566" s="87"/>
      <c r="B566" s="30"/>
      <c r="C566" s="70"/>
      <c r="G566" s="30"/>
      <c r="H566" s="77"/>
      <c r="I566" s="77"/>
      <c r="J566" s="58"/>
      <c r="K566" s="58"/>
    </row>
    <row r="567" spans="1:11" s="71" customFormat="1">
      <c r="A567" s="87"/>
      <c r="B567" s="30"/>
      <c r="C567" s="70"/>
      <c r="G567" s="30"/>
      <c r="H567" s="77"/>
      <c r="I567" s="77"/>
      <c r="J567" s="58"/>
      <c r="K567" s="58"/>
    </row>
    <row r="568" spans="1:11" s="71" customFormat="1">
      <c r="A568" s="87"/>
      <c r="B568" s="30"/>
      <c r="C568" s="70"/>
      <c r="G568" s="30"/>
      <c r="H568" s="77"/>
      <c r="I568" s="77"/>
      <c r="J568" s="58"/>
      <c r="K568" s="58"/>
    </row>
    <row r="569" spans="1:11" s="71" customFormat="1">
      <c r="A569" s="87"/>
      <c r="B569" s="30"/>
      <c r="C569" s="70"/>
      <c r="G569" s="30"/>
      <c r="H569" s="77"/>
      <c r="I569" s="77"/>
      <c r="J569" s="58"/>
      <c r="K569" s="58"/>
    </row>
    <row r="570" spans="1:11" s="71" customFormat="1">
      <c r="A570" s="87"/>
      <c r="B570" s="30"/>
      <c r="C570" s="70"/>
      <c r="G570" s="30"/>
      <c r="H570" s="77"/>
      <c r="I570" s="77"/>
      <c r="J570" s="58"/>
      <c r="K570" s="58"/>
    </row>
    <row r="571" spans="1:11" s="71" customFormat="1">
      <c r="A571" s="87"/>
      <c r="B571" s="30"/>
      <c r="C571" s="70"/>
      <c r="G571" s="30"/>
      <c r="H571" s="77"/>
      <c r="I571" s="77"/>
      <c r="J571" s="58"/>
      <c r="K571" s="58"/>
    </row>
    <row r="572" spans="1:11" s="71" customFormat="1">
      <c r="A572" s="87"/>
      <c r="B572" s="30"/>
      <c r="C572" s="70"/>
      <c r="G572" s="30"/>
      <c r="H572" s="77"/>
      <c r="I572" s="77"/>
      <c r="J572" s="58"/>
      <c r="K572" s="58"/>
    </row>
    <row r="573" spans="1:11" s="71" customFormat="1">
      <c r="A573" s="87"/>
      <c r="B573" s="30"/>
      <c r="C573" s="70"/>
      <c r="G573" s="30"/>
      <c r="H573" s="77"/>
      <c r="I573" s="77"/>
      <c r="J573" s="58"/>
      <c r="K573" s="58"/>
    </row>
    <row r="574" spans="1:11" s="71" customFormat="1">
      <c r="A574" s="87"/>
      <c r="B574" s="30"/>
      <c r="C574" s="70"/>
      <c r="G574" s="30"/>
      <c r="H574" s="77"/>
      <c r="I574" s="77"/>
      <c r="J574" s="58"/>
      <c r="K574" s="58"/>
    </row>
    <row r="575" spans="1:11" s="71" customFormat="1">
      <c r="A575" s="87"/>
      <c r="B575" s="30"/>
      <c r="C575" s="70"/>
      <c r="G575" s="30"/>
      <c r="H575" s="77"/>
      <c r="I575" s="77"/>
      <c r="J575" s="58"/>
      <c r="K575" s="58"/>
    </row>
    <row r="576" spans="1:11" s="71" customFormat="1">
      <c r="A576" s="87"/>
      <c r="B576" s="30"/>
      <c r="C576" s="70"/>
      <c r="G576" s="30"/>
      <c r="H576" s="77"/>
      <c r="I576" s="77"/>
      <c r="J576" s="58"/>
      <c r="K576" s="58"/>
    </row>
    <row r="577" spans="1:11" s="71" customFormat="1">
      <c r="A577" s="87"/>
      <c r="B577" s="30"/>
      <c r="C577" s="70"/>
      <c r="G577" s="30"/>
      <c r="H577" s="77"/>
      <c r="I577" s="77"/>
      <c r="J577" s="58"/>
      <c r="K577" s="58"/>
    </row>
    <row r="578" spans="1:11" s="71" customFormat="1">
      <c r="A578" s="87"/>
      <c r="B578" s="30"/>
      <c r="C578" s="70"/>
      <c r="G578" s="30"/>
      <c r="H578" s="77"/>
      <c r="I578" s="77"/>
      <c r="J578" s="58"/>
      <c r="K578" s="58"/>
    </row>
    <row r="579" spans="1:11" s="71" customFormat="1">
      <c r="A579" s="87"/>
      <c r="B579" s="30"/>
      <c r="C579" s="70"/>
      <c r="G579" s="30"/>
      <c r="H579" s="77"/>
      <c r="I579" s="77"/>
      <c r="J579" s="58"/>
      <c r="K579" s="58"/>
    </row>
    <row r="580" spans="1:11" s="71" customFormat="1">
      <c r="A580" s="87"/>
      <c r="B580" s="30"/>
      <c r="C580" s="70"/>
      <c r="G580" s="30"/>
      <c r="H580" s="77"/>
      <c r="I580" s="77"/>
      <c r="J580" s="58"/>
      <c r="K580" s="58"/>
    </row>
    <row r="581" spans="1:11" s="71" customFormat="1">
      <c r="A581" s="87"/>
      <c r="B581" s="30"/>
      <c r="C581" s="70"/>
      <c r="G581" s="30"/>
      <c r="H581" s="77"/>
      <c r="I581" s="77"/>
      <c r="J581" s="58"/>
      <c r="K581" s="58"/>
    </row>
    <row r="582" spans="1:11" s="71" customFormat="1">
      <c r="A582" s="87"/>
      <c r="B582" s="30"/>
      <c r="C582" s="70"/>
      <c r="G582" s="30"/>
      <c r="H582" s="77"/>
      <c r="I582" s="77"/>
      <c r="J582" s="58"/>
      <c r="K582" s="58"/>
    </row>
    <row r="583" spans="1:11" s="71" customFormat="1">
      <c r="A583" s="87"/>
      <c r="B583" s="30"/>
      <c r="C583" s="70"/>
      <c r="G583" s="30"/>
      <c r="H583" s="77"/>
      <c r="I583" s="77"/>
      <c r="J583" s="58"/>
      <c r="K583" s="58"/>
    </row>
    <row r="584" spans="1:11" s="71" customFormat="1">
      <c r="A584" s="87"/>
      <c r="B584" s="30"/>
      <c r="C584" s="70"/>
      <c r="G584" s="30"/>
      <c r="H584" s="77"/>
      <c r="I584" s="77"/>
      <c r="J584" s="58"/>
      <c r="K584" s="58"/>
    </row>
    <row r="585" spans="1:11" s="71" customFormat="1">
      <c r="A585" s="87"/>
      <c r="B585" s="30"/>
      <c r="C585" s="70"/>
      <c r="G585" s="30"/>
      <c r="H585" s="77"/>
      <c r="I585" s="77"/>
      <c r="J585" s="58"/>
      <c r="K585" s="58"/>
    </row>
    <row r="586" spans="1:11" s="71" customFormat="1">
      <c r="A586" s="87"/>
      <c r="B586" s="30"/>
      <c r="C586" s="70"/>
      <c r="G586" s="30"/>
      <c r="H586" s="77"/>
      <c r="I586" s="77"/>
      <c r="J586" s="58"/>
      <c r="K586" s="58"/>
    </row>
    <row r="587" spans="1:11" s="71" customFormat="1">
      <c r="A587" s="87"/>
      <c r="B587" s="30"/>
      <c r="C587" s="70"/>
      <c r="G587" s="30"/>
      <c r="H587" s="77"/>
      <c r="I587" s="77"/>
      <c r="J587" s="58"/>
      <c r="K587" s="58"/>
    </row>
    <row r="588" spans="1:11" s="71" customFormat="1">
      <c r="A588" s="87"/>
      <c r="B588" s="30"/>
      <c r="C588" s="70"/>
      <c r="G588" s="30"/>
      <c r="H588" s="77"/>
      <c r="I588" s="77"/>
      <c r="J588" s="58"/>
      <c r="K588" s="58"/>
    </row>
    <row r="589" spans="1:11" s="71" customFormat="1">
      <c r="A589" s="87"/>
      <c r="B589" s="30"/>
      <c r="C589" s="70"/>
      <c r="G589" s="30"/>
      <c r="H589" s="77"/>
      <c r="I589" s="77"/>
      <c r="J589" s="58"/>
      <c r="K589" s="58"/>
    </row>
    <row r="590" spans="1:11" s="71" customFormat="1">
      <c r="A590" s="87"/>
      <c r="B590" s="30"/>
      <c r="C590" s="70"/>
      <c r="G590" s="30"/>
      <c r="H590" s="77"/>
      <c r="I590" s="77"/>
      <c r="J590" s="58"/>
      <c r="K590" s="58"/>
    </row>
    <row r="591" spans="1:11" s="71" customFormat="1">
      <c r="A591" s="87"/>
      <c r="B591" s="30"/>
      <c r="C591" s="70"/>
      <c r="G591" s="30"/>
      <c r="H591" s="77"/>
      <c r="I591" s="77"/>
      <c r="J591" s="58"/>
      <c r="K591" s="58"/>
    </row>
    <row r="592" spans="1:11" s="71" customFormat="1">
      <c r="A592" s="87"/>
      <c r="B592" s="30"/>
      <c r="C592" s="70"/>
      <c r="G592" s="30"/>
      <c r="H592" s="77"/>
      <c r="I592" s="77"/>
      <c r="J592" s="58"/>
      <c r="K592" s="58"/>
    </row>
    <row r="593" spans="1:11" s="71" customFormat="1">
      <c r="A593" s="87"/>
      <c r="B593" s="30"/>
      <c r="C593" s="70"/>
      <c r="G593" s="30"/>
      <c r="H593" s="77"/>
      <c r="I593" s="77"/>
      <c r="J593" s="58"/>
      <c r="K593" s="58"/>
    </row>
    <row r="594" spans="1:11" s="71" customFormat="1">
      <c r="A594" s="87"/>
      <c r="B594" s="30"/>
      <c r="C594" s="70"/>
      <c r="G594" s="30"/>
      <c r="H594" s="77"/>
      <c r="I594" s="77"/>
      <c r="J594" s="58"/>
      <c r="K594" s="58"/>
    </row>
    <row r="595" spans="1:11" s="71" customFormat="1">
      <c r="A595" s="87"/>
      <c r="B595" s="30"/>
      <c r="C595" s="70"/>
      <c r="G595" s="30"/>
      <c r="H595" s="77"/>
      <c r="I595" s="77"/>
      <c r="J595" s="58"/>
      <c r="K595" s="58"/>
    </row>
    <row r="596" spans="1:11" s="71" customFormat="1">
      <c r="A596" s="87"/>
      <c r="B596" s="30"/>
      <c r="C596" s="70"/>
      <c r="G596" s="30"/>
      <c r="H596" s="77"/>
      <c r="I596" s="77"/>
      <c r="J596" s="58"/>
      <c r="K596" s="58"/>
    </row>
    <row r="597" spans="1:11" s="71" customFormat="1">
      <c r="A597" s="87"/>
      <c r="B597" s="30"/>
      <c r="C597" s="70"/>
      <c r="G597" s="30"/>
      <c r="H597" s="77"/>
      <c r="I597" s="77"/>
      <c r="J597" s="58"/>
      <c r="K597" s="58"/>
    </row>
    <row r="598" spans="1:11" s="71" customFormat="1">
      <c r="A598" s="87"/>
      <c r="B598" s="30"/>
      <c r="C598" s="70"/>
      <c r="G598" s="30"/>
      <c r="H598" s="77"/>
      <c r="I598" s="77"/>
      <c r="J598" s="58"/>
      <c r="K598" s="58"/>
    </row>
    <row r="599" spans="1:11" s="71" customFormat="1">
      <c r="A599" s="87"/>
      <c r="B599" s="30"/>
      <c r="C599" s="70"/>
      <c r="G599" s="30"/>
      <c r="H599" s="77"/>
      <c r="I599" s="77"/>
      <c r="J599" s="58"/>
      <c r="K599" s="58"/>
    </row>
    <row r="600" spans="1:11" s="71" customFormat="1">
      <c r="A600" s="87"/>
      <c r="B600" s="30"/>
      <c r="C600" s="70"/>
      <c r="G600" s="30"/>
      <c r="H600" s="77"/>
      <c r="I600" s="77"/>
      <c r="J600" s="58"/>
      <c r="K600" s="58"/>
    </row>
    <row r="601" spans="1:11" s="71" customFormat="1">
      <c r="A601" s="87"/>
      <c r="B601" s="30"/>
      <c r="C601" s="70"/>
      <c r="G601" s="30"/>
      <c r="H601" s="77"/>
      <c r="I601" s="77"/>
      <c r="J601" s="58"/>
      <c r="K601" s="58"/>
    </row>
    <row r="602" spans="1:11" s="71" customFormat="1">
      <c r="A602" s="87"/>
      <c r="B602" s="30"/>
      <c r="C602" s="70"/>
      <c r="G602" s="30"/>
      <c r="H602" s="77"/>
      <c r="I602" s="77"/>
      <c r="J602" s="58"/>
      <c r="K602" s="58"/>
    </row>
    <row r="603" spans="1:11" s="71" customFormat="1">
      <c r="A603" s="87"/>
      <c r="B603" s="30"/>
      <c r="C603" s="70"/>
      <c r="G603" s="30"/>
      <c r="H603" s="77"/>
      <c r="I603" s="77"/>
      <c r="J603" s="58"/>
      <c r="K603" s="58"/>
    </row>
    <row r="604" spans="1:11" s="71" customFormat="1">
      <c r="A604" s="87"/>
      <c r="B604" s="30"/>
      <c r="C604" s="70"/>
      <c r="G604" s="30"/>
      <c r="H604" s="77"/>
      <c r="I604" s="77"/>
      <c r="J604" s="58"/>
      <c r="K604" s="58"/>
    </row>
    <row r="605" spans="1:11" s="71" customFormat="1">
      <c r="A605" s="87"/>
      <c r="B605" s="30"/>
      <c r="C605" s="70"/>
      <c r="G605" s="30"/>
      <c r="H605" s="77"/>
      <c r="I605" s="77"/>
      <c r="J605" s="58"/>
      <c r="K605" s="58"/>
    </row>
    <row r="606" spans="1:11" s="71" customFormat="1">
      <c r="A606" s="87"/>
      <c r="B606" s="30"/>
      <c r="C606" s="70"/>
      <c r="G606" s="30"/>
      <c r="H606" s="77"/>
      <c r="I606" s="77"/>
      <c r="J606" s="58"/>
      <c r="K606" s="58"/>
    </row>
    <row r="607" spans="1:11" s="71" customFormat="1">
      <c r="A607" s="87"/>
      <c r="B607" s="30"/>
      <c r="C607" s="70"/>
      <c r="G607" s="30"/>
      <c r="H607" s="77"/>
      <c r="I607" s="77"/>
      <c r="J607" s="58"/>
      <c r="K607" s="58"/>
    </row>
    <row r="608" spans="1:11" s="71" customFormat="1">
      <c r="A608" s="87"/>
      <c r="B608" s="30"/>
      <c r="C608" s="70"/>
      <c r="G608" s="30"/>
      <c r="H608" s="77"/>
      <c r="I608" s="77"/>
      <c r="J608" s="58"/>
      <c r="K608" s="58"/>
    </row>
    <row r="609" spans="1:11" s="71" customFormat="1">
      <c r="A609" s="87"/>
      <c r="B609" s="30"/>
      <c r="C609" s="70"/>
      <c r="G609" s="30"/>
      <c r="H609" s="77"/>
      <c r="I609" s="77"/>
      <c r="J609" s="58"/>
      <c r="K609" s="58"/>
    </row>
    <row r="610" spans="1:11" s="71" customFormat="1">
      <c r="A610" s="87"/>
      <c r="B610" s="30"/>
      <c r="C610" s="70"/>
      <c r="G610" s="30"/>
      <c r="H610" s="77"/>
      <c r="I610" s="77"/>
      <c r="J610" s="58"/>
      <c r="K610" s="58"/>
    </row>
    <row r="611" spans="1:11" s="71" customFormat="1">
      <c r="A611" s="87"/>
      <c r="B611" s="30"/>
      <c r="C611" s="70"/>
      <c r="G611" s="30"/>
      <c r="H611" s="77"/>
      <c r="I611" s="77"/>
      <c r="J611" s="58"/>
      <c r="K611" s="58"/>
    </row>
    <row r="612" spans="1:11" s="71" customFormat="1">
      <c r="A612" s="87"/>
      <c r="B612" s="30"/>
      <c r="C612" s="70"/>
      <c r="G612" s="30"/>
      <c r="H612" s="77"/>
      <c r="I612" s="77"/>
      <c r="J612" s="58"/>
      <c r="K612" s="58"/>
    </row>
    <row r="613" spans="1:11" s="71" customFormat="1">
      <c r="A613" s="87"/>
      <c r="B613" s="30"/>
      <c r="C613" s="70"/>
      <c r="G613" s="30"/>
      <c r="H613" s="77"/>
      <c r="I613" s="77"/>
      <c r="J613" s="58"/>
      <c r="K613" s="58"/>
    </row>
    <row r="614" spans="1:11" s="71" customFormat="1">
      <c r="A614" s="87"/>
      <c r="B614" s="30"/>
      <c r="C614" s="70"/>
      <c r="G614" s="30"/>
      <c r="H614" s="77"/>
      <c r="I614" s="77"/>
      <c r="J614" s="58"/>
      <c r="K614" s="58"/>
    </row>
    <row r="615" spans="1:11" s="71" customFormat="1">
      <c r="A615" s="87"/>
      <c r="B615" s="30"/>
      <c r="C615" s="70"/>
      <c r="G615" s="30"/>
      <c r="H615" s="77"/>
      <c r="I615" s="77"/>
      <c r="J615" s="58"/>
      <c r="K615" s="58"/>
    </row>
    <row r="616" spans="1:11" s="71" customFormat="1">
      <c r="A616" s="87"/>
      <c r="B616" s="30"/>
      <c r="C616" s="70"/>
      <c r="G616" s="30"/>
      <c r="H616" s="77"/>
      <c r="I616" s="77"/>
      <c r="J616" s="58"/>
      <c r="K616" s="58"/>
    </row>
    <row r="617" spans="1:11" s="71" customFormat="1">
      <c r="A617" s="87"/>
      <c r="B617" s="30"/>
      <c r="C617" s="70"/>
      <c r="G617" s="30"/>
      <c r="H617" s="77"/>
      <c r="I617" s="77"/>
      <c r="J617" s="58"/>
      <c r="K617" s="58"/>
    </row>
    <row r="618" spans="1:11" s="71" customFormat="1">
      <c r="A618" s="87"/>
      <c r="B618" s="30"/>
      <c r="C618" s="70"/>
      <c r="G618" s="30"/>
      <c r="H618" s="77"/>
      <c r="I618" s="77"/>
      <c r="J618" s="58"/>
      <c r="K618" s="58"/>
    </row>
    <row r="619" spans="1:11" s="71" customFormat="1">
      <c r="A619" s="87"/>
      <c r="B619" s="30"/>
      <c r="C619" s="70"/>
      <c r="G619" s="30"/>
      <c r="H619" s="77"/>
      <c r="I619" s="77"/>
      <c r="J619" s="58"/>
      <c r="K619" s="58"/>
    </row>
    <row r="620" spans="1:11" s="71" customFormat="1">
      <c r="A620" s="87"/>
      <c r="B620" s="30"/>
      <c r="C620" s="70"/>
      <c r="G620" s="30"/>
      <c r="H620" s="77"/>
      <c r="I620" s="77"/>
      <c r="J620" s="58"/>
      <c r="K620" s="58"/>
    </row>
    <row r="621" spans="1:11" s="71" customFormat="1">
      <c r="A621" s="87"/>
      <c r="B621" s="30"/>
      <c r="C621" s="70"/>
      <c r="G621" s="30"/>
      <c r="H621" s="77"/>
      <c r="I621" s="77"/>
      <c r="J621" s="58"/>
      <c r="K621" s="58"/>
    </row>
    <row r="622" spans="1:11" s="71" customFormat="1">
      <c r="A622" s="87"/>
      <c r="B622" s="30"/>
      <c r="C622" s="70"/>
      <c r="G622" s="30"/>
      <c r="H622" s="77"/>
      <c r="I622" s="77"/>
      <c r="J622" s="58"/>
      <c r="K622" s="58"/>
    </row>
    <row r="623" spans="1:11" s="71" customFormat="1">
      <c r="A623" s="87"/>
      <c r="B623" s="30"/>
      <c r="C623" s="70"/>
      <c r="G623" s="30"/>
      <c r="H623" s="77"/>
      <c r="I623" s="77"/>
      <c r="J623" s="58"/>
      <c r="K623" s="58"/>
    </row>
    <row r="624" spans="1:11" s="71" customFormat="1">
      <c r="A624" s="87"/>
      <c r="B624" s="30"/>
      <c r="C624" s="70"/>
      <c r="G624" s="30"/>
      <c r="H624" s="77"/>
      <c r="I624" s="77"/>
      <c r="J624" s="58"/>
      <c r="K624" s="58"/>
    </row>
    <row r="625" spans="1:11" s="71" customFormat="1">
      <c r="A625" s="87"/>
      <c r="B625" s="30"/>
      <c r="C625" s="70"/>
      <c r="G625" s="30"/>
      <c r="H625" s="77"/>
      <c r="I625" s="77"/>
      <c r="J625" s="58"/>
      <c r="K625" s="58"/>
    </row>
    <row r="626" spans="1:11" s="71" customFormat="1">
      <c r="A626" s="87"/>
      <c r="B626" s="30"/>
      <c r="C626" s="70"/>
      <c r="G626" s="30"/>
      <c r="H626" s="77"/>
      <c r="I626" s="77"/>
      <c r="J626" s="58"/>
      <c r="K626" s="58"/>
    </row>
    <row r="627" spans="1:11" s="71" customFormat="1">
      <c r="A627" s="87"/>
      <c r="B627" s="30"/>
      <c r="C627" s="70"/>
      <c r="G627" s="30"/>
      <c r="H627" s="77"/>
      <c r="I627" s="77"/>
      <c r="J627" s="58"/>
      <c r="K627" s="58"/>
    </row>
    <row r="628" spans="1:11" s="71" customFormat="1">
      <c r="A628" s="87"/>
      <c r="B628" s="30"/>
      <c r="C628" s="70"/>
      <c r="G628" s="30"/>
      <c r="H628" s="77"/>
      <c r="I628" s="77"/>
      <c r="J628" s="58"/>
      <c r="K628" s="58"/>
    </row>
    <row r="629" spans="1:11" s="71" customFormat="1">
      <c r="A629" s="87"/>
      <c r="B629" s="30"/>
      <c r="C629" s="70"/>
      <c r="G629" s="30"/>
      <c r="H629" s="77"/>
      <c r="I629" s="77"/>
      <c r="J629" s="58"/>
      <c r="K629" s="58"/>
    </row>
    <row r="630" spans="1:11" s="71" customFormat="1">
      <c r="A630" s="87"/>
      <c r="B630" s="30"/>
      <c r="C630" s="70"/>
      <c r="G630" s="30"/>
      <c r="H630" s="77"/>
      <c r="I630" s="77"/>
      <c r="J630" s="58"/>
      <c r="K630" s="58"/>
    </row>
    <row r="631" spans="1:11" s="71" customFormat="1">
      <c r="A631" s="87"/>
      <c r="B631" s="30"/>
      <c r="C631" s="70"/>
      <c r="G631" s="30"/>
      <c r="H631" s="77"/>
      <c r="I631" s="77"/>
      <c r="J631" s="58"/>
      <c r="K631" s="58"/>
    </row>
    <row r="632" spans="1:11" s="71" customFormat="1">
      <c r="A632" s="87"/>
      <c r="B632" s="30"/>
      <c r="C632" s="70"/>
      <c r="G632" s="30"/>
      <c r="H632" s="77"/>
      <c r="I632" s="77"/>
      <c r="J632" s="58"/>
      <c r="K632" s="58"/>
    </row>
    <row r="633" spans="1:11" s="71" customFormat="1">
      <c r="A633" s="87"/>
      <c r="B633" s="30"/>
      <c r="C633" s="70"/>
      <c r="G633" s="30"/>
      <c r="H633" s="77"/>
      <c r="I633" s="77"/>
      <c r="J633" s="58"/>
      <c r="K633" s="58"/>
    </row>
    <row r="634" spans="1:11" s="71" customFormat="1">
      <c r="A634" s="87"/>
      <c r="B634" s="30"/>
      <c r="C634" s="70"/>
      <c r="G634" s="30"/>
      <c r="H634" s="77"/>
      <c r="I634" s="77"/>
      <c r="J634" s="58"/>
      <c r="K634" s="58"/>
    </row>
    <row r="635" spans="1:11" s="71" customFormat="1">
      <c r="A635" s="87"/>
      <c r="B635" s="30"/>
      <c r="C635" s="70"/>
      <c r="G635" s="30"/>
      <c r="H635" s="77"/>
      <c r="I635" s="77"/>
      <c r="J635" s="58"/>
      <c r="K635" s="58"/>
    </row>
    <row r="636" spans="1:11" s="71" customFormat="1">
      <c r="A636" s="87"/>
      <c r="B636" s="30"/>
      <c r="C636" s="70"/>
      <c r="G636" s="30"/>
      <c r="H636" s="77"/>
      <c r="I636" s="77"/>
      <c r="J636" s="58"/>
      <c r="K636" s="58"/>
    </row>
    <row r="637" spans="1:11" s="71" customFormat="1">
      <c r="A637" s="87"/>
      <c r="B637" s="30"/>
      <c r="C637" s="70"/>
      <c r="G637" s="30"/>
      <c r="H637" s="77"/>
      <c r="I637" s="77"/>
      <c r="J637" s="58"/>
      <c r="K637" s="58"/>
    </row>
    <row r="638" spans="1:11" s="71" customFormat="1">
      <c r="A638" s="87"/>
      <c r="B638" s="30"/>
      <c r="C638" s="70"/>
      <c r="G638" s="30"/>
      <c r="H638" s="77"/>
      <c r="I638" s="77"/>
      <c r="J638" s="58"/>
      <c r="K638" s="58"/>
    </row>
    <row r="639" spans="1:11" s="71" customFormat="1">
      <c r="A639" s="87"/>
      <c r="B639" s="30"/>
      <c r="C639" s="70"/>
      <c r="G639" s="30"/>
      <c r="H639" s="77"/>
      <c r="I639" s="77"/>
      <c r="J639" s="58"/>
      <c r="K639" s="58"/>
    </row>
    <row r="640" spans="1:11" s="71" customFormat="1">
      <c r="A640" s="87"/>
      <c r="B640" s="30"/>
      <c r="C640" s="70"/>
      <c r="G640" s="30"/>
      <c r="H640" s="77"/>
      <c r="I640" s="77"/>
      <c r="J640" s="58"/>
      <c r="K640" s="58"/>
    </row>
    <row r="641" spans="1:11" s="71" customFormat="1">
      <c r="A641" s="87"/>
      <c r="B641" s="30"/>
      <c r="C641" s="70"/>
      <c r="G641" s="30"/>
      <c r="H641" s="77"/>
      <c r="I641" s="77"/>
      <c r="J641" s="58"/>
      <c r="K641" s="58"/>
    </row>
    <row r="642" spans="1:11" s="71" customFormat="1">
      <c r="A642" s="87"/>
      <c r="B642" s="30"/>
      <c r="C642" s="70"/>
      <c r="G642" s="30"/>
      <c r="H642" s="77"/>
      <c r="I642" s="77"/>
      <c r="J642" s="58"/>
      <c r="K642" s="58"/>
    </row>
    <row r="643" spans="1:11" s="71" customFormat="1">
      <c r="A643" s="87"/>
      <c r="B643" s="30"/>
      <c r="C643" s="70"/>
      <c r="G643" s="30"/>
      <c r="H643" s="77"/>
      <c r="I643" s="77"/>
      <c r="J643" s="58"/>
      <c r="K643" s="58"/>
    </row>
    <row r="644" spans="1:11" s="71" customFormat="1">
      <c r="A644" s="87"/>
      <c r="B644" s="30"/>
      <c r="C644" s="70"/>
      <c r="G644" s="30"/>
      <c r="H644" s="77"/>
      <c r="I644" s="77"/>
      <c r="J644" s="58"/>
      <c r="K644" s="58"/>
    </row>
    <row r="645" spans="1:11" s="71" customFormat="1">
      <c r="A645" s="87"/>
      <c r="B645" s="30"/>
      <c r="C645" s="70"/>
      <c r="G645" s="30"/>
      <c r="H645" s="77"/>
      <c r="I645" s="77"/>
      <c r="J645" s="58"/>
      <c r="K645" s="58"/>
    </row>
    <row r="646" spans="1:11" s="71" customFormat="1">
      <c r="A646" s="87"/>
      <c r="B646" s="30"/>
      <c r="C646" s="70"/>
      <c r="G646" s="30"/>
      <c r="H646" s="77"/>
      <c r="I646" s="77"/>
      <c r="J646" s="58"/>
      <c r="K646" s="58"/>
    </row>
    <row r="647" spans="1:11" s="71" customFormat="1">
      <c r="A647" s="87"/>
      <c r="B647" s="30"/>
      <c r="C647" s="70"/>
      <c r="G647" s="30"/>
      <c r="H647" s="77"/>
      <c r="I647" s="77"/>
      <c r="J647" s="58"/>
      <c r="K647" s="58"/>
    </row>
    <row r="648" spans="1:11" s="71" customFormat="1">
      <c r="A648" s="87"/>
      <c r="B648" s="30"/>
      <c r="C648" s="70"/>
      <c r="G648" s="30"/>
      <c r="H648" s="77"/>
      <c r="I648" s="77"/>
      <c r="J648" s="58"/>
      <c r="K648" s="58"/>
    </row>
    <row r="649" spans="1:11" s="71" customFormat="1">
      <c r="A649" s="87"/>
      <c r="B649" s="30"/>
      <c r="C649" s="70"/>
      <c r="G649" s="30"/>
      <c r="H649" s="77"/>
      <c r="I649" s="77"/>
      <c r="J649" s="58"/>
      <c r="K649" s="58"/>
    </row>
    <row r="650" spans="1:11" s="71" customFormat="1">
      <c r="A650" s="87"/>
      <c r="B650" s="30"/>
      <c r="C650" s="70"/>
      <c r="G650" s="30"/>
      <c r="H650" s="77"/>
      <c r="I650" s="77"/>
      <c r="J650" s="58"/>
      <c r="K650" s="58"/>
    </row>
    <row r="651" spans="1:11" s="71" customFormat="1">
      <c r="A651" s="87"/>
      <c r="B651" s="30"/>
      <c r="C651" s="70"/>
      <c r="G651" s="30"/>
      <c r="H651" s="77"/>
      <c r="I651" s="77"/>
      <c r="J651" s="58"/>
      <c r="K651" s="58"/>
    </row>
    <row r="652" spans="1:11" s="71" customFormat="1">
      <c r="A652" s="87"/>
      <c r="B652" s="30"/>
      <c r="C652" s="70"/>
      <c r="G652" s="30"/>
      <c r="H652" s="77"/>
      <c r="I652" s="77"/>
      <c r="J652" s="58"/>
      <c r="K652" s="58"/>
    </row>
    <row r="653" spans="1:11" s="71" customFormat="1">
      <c r="A653" s="87"/>
      <c r="B653" s="30"/>
      <c r="C653" s="70"/>
      <c r="G653" s="30"/>
      <c r="H653" s="77"/>
      <c r="I653" s="77"/>
      <c r="J653" s="58"/>
      <c r="K653" s="58"/>
    </row>
    <row r="654" spans="1:11" s="71" customFormat="1">
      <c r="A654" s="87"/>
      <c r="B654" s="30"/>
      <c r="C654" s="70"/>
      <c r="G654" s="30"/>
      <c r="H654" s="77"/>
      <c r="I654" s="77"/>
      <c r="J654" s="58"/>
      <c r="K654" s="58"/>
    </row>
    <row r="655" spans="1:11" s="71" customFormat="1">
      <c r="A655" s="87"/>
      <c r="B655" s="30"/>
      <c r="C655" s="70"/>
      <c r="G655" s="30"/>
      <c r="H655" s="77"/>
      <c r="I655" s="77"/>
      <c r="J655" s="58"/>
      <c r="K655" s="58"/>
    </row>
    <row r="656" spans="1:11" s="71" customFormat="1">
      <c r="A656" s="87"/>
      <c r="B656" s="30"/>
      <c r="C656" s="70"/>
      <c r="G656" s="30"/>
      <c r="H656" s="77"/>
      <c r="I656" s="77"/>
      <c r="J656" s="58"/>
      <c r="K656" s="58"/>
    </row>
    <row r="657" spans="1:11" s="71" customFormat="1">
      <c r="A657" s="87"/>
      <c r="B657" s="30"/>
      <c r="C657" s="70"/>
      <c r="G657" s="30"/>
      <c r="H657" s="77"/>
      <c r="I657" s="77"/>
      <c r="J657" s="58"/>
      <c r="K657" s="58"/>
    </row>
    <row r="658" spans="1:11" s="71" customFormat="1">
      <c r="A658" s="87"/>
      <c r="B658" s="30"/>
      <c r="C658" s="70"/>
      <c r="G658" s="30"/>
      <c r="H658" s="77"/>
      <c r="I658" s="77"/>
      <c r="J658" s="58"/>
      <c r="K658" s="58"/>
    </row>
    <row r="659" spans="1:11" s="71" customFormat="1">
      <c r="A659" s="87"/>
      <c r="B659" s="30"/>
      <c r="C659" s="70"/>
      <c r="G659" s="30"/>
      <c r="H659" s="77"/>
      <c r="I659" s="77"/>
      <c r="J659" s="58"/>
      <c r="K659" s="58"/>
    </row>
    <row r="660" spans="1:11" s="71" customFormat="1">
      <c r="A660" s="87"/>
      <c r="B660" s="30"/>
      <c r="C660" s="70"/>
      <c r="G660" s="30"/>
      <c r="H660" s="77"/>
      <c r="I660" s="77"/>
      <c r="J660" s="58"/>
      <c r="K660" s="58"/>
    </row>
    <row r="661" spans="1:11" s="71" customFormat="1">
      <c r="A661" s="87"/>
      <c r="B661" s="30"/>
      <c r="C661" s="70"/>
      <c r="G661" s="30"/>
      <c r="H661" s="77"/>
      <c r="I661" s="77"/>
      <c r="J661" s="58"/>
      <c r="K661" s="58"/>
    </row>
    <row r="662" spans="1:11" s="71" customFormat="1">
      <c r="A662" s="87"/>
      <c r="B662" s="30"/>
      <c r="C662" s="70"/>
      <c r="G662" s="30"/>
      <c r="H662" s="77"/>
      <c r="I662" s="77"/>
      <c r="J662" s="58"/>
      <c r="K662" s="58"/>
    </row>
    <row r="663" spans="1:11" s="71" customFormat="1">
      <c r="A663" s="87"/>
      <c r="B663" s="30"/>
      <c r="C663" s="70"/>
      <c r="G663" s="30"/>
      <c r="H663" s="77"/>
      <c r="I663" s="77"/>
      <c r="J663" s="58"/>
      <c r="K663" s="58"/>
    </row>
    <row r="664" spans="1:11" s="71" customFormat="1">
      <c r="A664" s="87"/>
      <c r="B664" s="30"/>
      <c r="C664" s="70"/>
      <c r="G664" s="30"/>
      <c r="H664" s="77"/>
      <c r="I664" s="77"/>
      <c r="J664" s="58"/>
      <c r="K664" s="58"/>
    </row>
    <row r="665" spans="1:11" s="71" customFormat="1">
      <c r="A665" s="87"/>
      <c r="B665" s="30"/>
      <c r="C665" s="70"/>
      <c r="G665" s="30"/>
      <c r="H665" s="77"/>
      <c r="I665" s="77"/>
      <c r="J665" s="58"/>
      <c r="K665" s="58"/>
    </row>
    <row r="666" spans="1:11" s="71" customFormat="1">
      <c r="A666" s="87"/>
      <c r="B666" s="30"/>
      <c r="C666" s="70"/>
      <c r="G666" s="30"/>
      <c r="H666" s="77"/>
      <c r="I666" s="77"/>
      <c r="J666" s="58"/>
      <c r="K666" s="58"/>
    </row>
    <row r="667" spans="1:11" s="71" customFormat="1">
      <c r="A667" s="87"/>
      <c r="B667" s="30"/>
      <c r="C667" s="70"/>
      <c r="G667" s="30"/>
      <c r="H667" s="77"/>
      <c r="I667" s="77"/>
      <c r="J667" s="58"/>
      <c r="K667" s="58"/>
    </row>
    <row r="668" spans="1:11" s="71" customFormat="1">
      <c r="A668" s="87"/>
      <c r="B668" s="30"/>
      <c r="C668" s="70"/>
      <c r="G668" s="30"/>
      <c r="H668" s="77"/>
      <c r="I668" s="77"/>
      <c r="J668" s="58"/>
      <c r="K668" s="58"/>
    </row>
    <row r="669" spans="1:11" s="71" customFormat="1">
      <c r="A669" s="87"/>
      <c r="B669" s="30"/>
      <c r="C669" s="70"/>
      <c r="G669" s="30"/>
      <c r="H669" s="77"/>
      <c r="I669" s="77"/>
      <c r="J669" s="58"/>
      <c r="K669" s="58"/>
    </row>
    <row r="670" spans="1:11" s="71" customFormat="1">
      <c r="A670" s="87"/>
      <c r="B670" s="30"/>
      <c r="C670" s="70"/>
      <c r="G670" s="30"/>
      <c r="H670" s="77"/>
      <c r="I670" s="77"/>
      <c r="J670" s="58"/>
      <c r="K670" s="58"/>
    </row>
    <row r="671" spans="1:11" s="71" customFormat="1">
      <c r="A671" s="87"/>
      <c r="B671" s="30"/>
      <c r="C671" s="70"/>
      <c r="G671" s="30"/>
      <c r="H671" s="77"/>
      <c r="I671" s="77"/>
      <c r="J671" s="58"/>
      <c r="K671" s="58"/>
    </row>
    <row r="672" spans="1:11" s="71" customFormat="1">
      <c r="A672" s="87"/>
      <c r="B672" s="30"/>
      <c r="C672" s="70"/>
      <c r="G672" s="30"/>
      <c r="H672" s="77"/>
      <c r="I672" s="77"/>
      <c r="J672" s="58"/>
      <c r="K672" s="58"/>
    </row>
    <row r="673" spans="1:11" s="71" customFormat="1">
      <c r="A673" s="87"/>
      <c r="B673" s="30"/>
      <c r="C673" s="70"/>
      <c r="G673" s="30"/>
      <c r="H673" s="77"/>
      <c r="I673" s="77"/>
      <c r="J673" s="58"/>
      <c r="K673" s="58"/>
    </row>
    <row r="674" spans="1:11" s="71" customFormat="1">
      <c r="A674" s="87"/>
      <c r="B674" s="30"/>
      <c r="C674" s="70"/>
      <c r="G674" s="30"/>
      <c r="H674" s="77"/>
      <c r="I674" s="77"/>
      <c r="J674" s="58"/>
      <c r="K674" s="58"/>
    </row>
    <row r="675" spans="1:11" s="71" customFormat="1">
      <c r="A675" s="87"/>
      <c r="B675" s="30"/>
      <c r="C675" s="70"/>
      <c r="G675" s="30"/>
      <c r="H675" s="77"/>
      <c r="I675" s="77"/>
      <c r="J675" s="58"/>
      <c r="K675" s="58"/>
    </row>
    <row r="676" spans="1:11" s="71" customFormat="1">
      <c r="A676" s="87"/>
      <c r="B676" s="30"/>
      <c r="C676" s="70"/>
      <c r="G676" s="30"/>
      <c r="H676" s="77"/>
      <c r="I676" s="77"/>
      <c r="J676" s="58"/>
      <c r="K676" s="58"/>
    </row>
    <row r="677" spans="1:11" s="71" customFormat="1">
      <c r="A677" s="87"/>
      <c r="B677" s="30"/>
      <c r="C677" s="70"/>
      <c r="G677" s="30"/>
      <c r="H677" s="77"/>
      <c r="I677" s="77"/>
      <c r="J677" s="58"/>
      <c r="K677" s="58"/>
    </row>
    <row r="678" spans="1:11" s="71" customFormat="1">
      <c r="A678" s="87"/>
      <c r="B678" s="30"/>
      <c r="C678" s="70"/>
      <c r="G678" s="30"/>
      <c r="H678" s="77"/>
      <c r="I678" s="77"/>
      <c r="J678" s="58"/>
      <c r="K678" s="58"/>
    </row>
    <row r="679" spans="1:11" s="71" customFormat="1">
      <c r="A679" s="87"/>
      <c r="B679" s="30"/>
      <c r="C679" s="70"/>
      <c r="G679" s="30"/>
      <c r="H679" s="77"/>
      <c r="I679" s="77"/>
      <c r="J679" s="58"/>
      <c r="K679" s="58"/>
    </row>
    <row r="680" spans="1:11" s="71" customFormat="1">
      <c r="A680" s="87"/>
      <c r="B680" s="30"/>
      <c r="C680" s="70"/>
      <c r="G680" s="30"/>
      <c r="H680" s="77"/>
      <c r="I680" s="77"/>
      <c r="J680" s="58"/>
      <c r="K680" s="58"/>
    </row>
    <row r="681" spans="1:11" s="71" customFormat="1">
      <c r="A681" s="87"/>
      <c r="B681" s="30"/>
      <c r="C681" s="70"/>
      <c r="G681" s="30"/>
      <c r="H681" s="77"/>
      <c r="I681" s="77"/>
      <c r="J681" s="58"/>
      <c r="K681" s="58"/>
    </row>
    <row r="682" spans="1:11" s="71" customFormat="1">
      <c r="A682" s="87"/>
      <c r="B682" s="30"/>
      <c r="C682" s="70"/>
      <c r="G682" s="30"/>
      <c r="H682" s="77"/>
      <c r="I682" s="77"/>
      <c r="J682" s="58"/>
      <c r="K682" s="58"/>
    </row>
    <row r="683" spans="1:11" s="71" customFormat="1">
      <c r="A683" s="87"/>
      <c r="B683" s="30"/>
      <c r="C683" s="70"/>
      <c r="G683" s="30"/>
      <c r="H683" s="77"/>
      <c r="I683" s="77"/>
      <c r="J683" s="58"/>
      <c r="K683" s="58"/>
    </row>
    <row r="684" spans="1:11" s="71" customFormat="1">
      <c r="A684" s="87"/>
      <c r="B684" s="30"/>
      <c r="C684" s="70"/>
      <c r="G684" s="30"/>
      <c r="H684" s="77"/>
      <c r="I684" s="77"/>
      <c r="J684" s="58"/>
      <c r="K684" s="58"/>
    </row>
    <row r="685" spans="1:11" s="71" customFormat="1">
      <c r="A685" s="87"/>
      <c r="B685" s="30"/>
      <c r="C685" s="70"/>
      <c r="G685" s="30"/>
      <c r="H685" s="77"/>
      <c r="I685" s="77"/>
      <c r="J685" s="58"/>
      <c r="K685" s="58"/>
    </row>
    <row r="686" spans="1:11" s="71" customFormat="1">
      <c r="A686" s="87"/>
      <c r="B686" s="30"/>
      <c r="C686" s="70"/>
      <c r="G686" s="30"/>
      <c r="H686" s="77"/>
      <c r="I686" s="77"/>
      <c r="J686" s="58"/>
      <c r="K686" s="58"/>
    </row>
    <row r="687" spans="1:11" s="71" customFormat="1">
      <c r="A687" s="87"/>
      <c r="B687" s="30"/>
      <c r="C687" s="70"/>
      <c r="G687" s="30"/>
      <c r="H687" s="77"/>
      <c r="I687" s="77"/>
      <c r="J687" s="58"/>
      <c r="K687" s="58"/>
    </row>
    <row r="688" spans="1:11" s="71" customFormat="1">
      <c r="A688" s="87"/>
      <c r="B688" s="30"/>
      <c r="C688" s="70"/>
      <c r="G688" s="30"/>
      <c r="H688" s="77"/>
      <c r="I688" s="77"/>
      <c r="J688" s="58"/>
      <c r="K688" s="58"/>
    </row>
    <row r="689" spans="1:11" s="71" customFormat="1">
      <c r="A689" s="87"/>
      <c r="B689" s="30"/>
      <c r="C689" s="70"/>
      <c r="G689" s="30"/>
      <c r="H689" s="77"/>
      <c r="I689" s="77"/>
      <c r="J689" s="58"/>
      <c r="K689" s="58"/>
    </row>
    <row r="690" spans="1:11" s="71" customFormat="1">
      <c r="A690" s="87"/>
      <c r="B690" s="30"/>
      <c r="C690" s="70"/>
      <c r="G690" s="30"/>
      <c r="H690" s="77"/>
      <c r="I690" s="77"/>
      <c r="J690" s="58"/>
      <c r="K690" s="58"/>
    </row>
    <row r="691" spans="1:11" s="71" customFormat="1">
      <c r="A691" s="87"/>
      <c r="B691" s="30"/>
      <c r="C691" s="70"/>
      <c r="G691" s="30"/>
      <c r="H691" s="77"/>
      <c r="I691" s="77"/>
      <c r="J691" s="58"/>
      <c r="K691" s="58"/>
    </row>
    <row r="692" spans="1:11" s="71" customFormat="1">
      <c r="A692" s="87"/>
      <c r="B692" s="30"/>
      <c r="C692" s="70"/>
      <c r="G692" s="30"/>
      <c r="H692" s="77"/>
      <c r="I692" s="77"/>
      <c r="J692" s="58"/>
      <c r="K692" s="58"/>
    </row>
    <row r="693" spans="1:11" s="71" customFormat="1">
      <c r="A693" s="87"/>
      <c r="B693" s="30"/>
      <c r="C693" s="70"/>
      <c r="G693" s="30"/>
      <c r="H693" s="77"/>
      <c r="I693" s="77"/>
      <c r="J693" s="58"/>
      <c r="K693" s="58"/>
    </row>
    <row r="694" spans="1:11" s="71" customFormat="1">
      <c r="A694" s="87"/>
      <c r="B694" s="30"/>
      <c r="C694" s="70"/>
      <c r="G694" s="30"/>
      <c r="H694" s="77"/>
      <c r="I694" s="77"/>
      <c r="J694" s="58"/>
      <c r="K694" s="58"/>
    </row>
    <row r="695" spans="1:11" s="71" customFormat="1">
      <c r="A695" s="87"/>
      <c r="B695" s="30"/>
      <c r="C695" s="70"/>
      <c r="G695" s="30"/>
      <c r="H695" s="77"/>
      <c r="I695" s="77"/>
      <c r="J695" s="58"/>
      <c r="K695" s="58"/>
    </row>
    <row r="696" spans="1:11" s="71" customFormat="1">
      <c r="A696" s="87"/>
      <c r="B696" s="30"/>
      <c r="C696" s="70"/>
      <c r="G696" s="30"/>
      <c r="H696" s="77"/>
      <c r="I696" s="77"/>
      <c r="J696" s="58"/>
      <c r="K696" s="58"/>
    </row>
    <row r="697" spans="1:11" s="71" customFormat="1">
      <c r="A697" s="87"/>
      <c r="B697" s="30"/>
      <c r="C697" s="70"/>
      <c r="G697" s="30"/>
      <c r="H697" s="77"/>
      <c r="I697" s="77"/>
      <c r="J697" s="58"/>
      <c r="K697" s="58"/>
    </row>
    <row r="698" spans="1:11" s="71" customFormat="1">
      <c r="A698" s="87"/>
      <c r="B698" s="30"/>
      <c r="C698" s="70"/>
      <c r="G698" s="30"/>
      <c r="H698" s="77"/>
      <c r="I698" s="77"/>
      <c r="J698" s="58"/>
      <c r="K698" s="58"/>
    </row>
    <row r="699" spans="1:11" s="71" customFormat="1">
      <c r="A699" s="87"/>
      <c r="B699" s="30"/>
      <c r="C699" s="70"/>
      <c r="G699" s="30"/>
      <c r="H699" s="77"/>
      <c r="I699" s="77"/>
      <c r="J699" s="58"/>
      <c r="K699" s="58"/>
    </row>
    <row r="700" spans="1:11" s="71" customFormat="1">
      <c r="A700" s="87"/>
      <c r="B700" s="30"/>
      <c r="C700" s="70"/>
      <c r="G700" s="30"/>
      <c r="H700" s="77"/>
      <c r="I700" s="77"/>
      <c r="J700" s="58"/>
      <c r="K700" s="58"/>
    </row>
    <row r="701" spans="1:11" s="71" customFormat="1">
      <c r="A701" s="87"/>
      <c r="B701" s="30"/>
      <c r="C701" s="70"/>
      <c r="G701" s="30"/>
      <c r="H701" s="77"/>
      <c r="I701" s="77"/>
      <c r="J701" s="58"/>
      <c r="K701" s="58"/>
    </row>
    <row r="702" spans="1:11" s="71" customFormat="1">
      <c r="A702" s="87"/>
      <c r="B702" s="30"/>
      <c r="C702" s="70"/>
      <c r="G702" s="30"/>
      <c r="H702" s="77"/>
      <c r="I702" s="77"/>
      <c r="J702" s="58"/>
      <c r="K702" s="58"/>
    </row>
    <row r="703" spans="1:11" s="71" customFormat="1">
      <c r="A703" s="87"/>
      <c r="B703" s="30"/>
      <c r="C703" s="70"/>
      <c r="G703" s="30"/>
      <c r="H703" s="77"/>
      <c r="I703" s="77"/>
      <c r="J703" s="58"/>
      <c r="K703" s="58"/>
    </row>
    <row r="704" spans="1:11" s="71" customFormat="1">
      <c r="A704" s="87"/>
      <c r="B704" s="30"/>
      <c r="C704" s="70"/>
      <c r="G704" s="30"/>
      <c r="H704" s="77"/>
      <c r="I704" s="77"/>
      <c r="J704" s="58"/>
      <c r="K704" s="58"/>
    </row>
    <row r="705" spans="1:11" s="71" customFormat="1">
      <c r="A705" s="87"/>
      <c r="B705" s="30"/>
      <c r="C705" s="70"/>
      <c r="G705" s="30"/>
      <c r="H705" s="77"/>
      <c r="I705" s="77"/>
      <c r="J705" s="58"/>
      <c r="K705" s="58"/>
    </row>
    <row r="706" spans="1:11" s="71" customFormat="1">
      <c r="A706" s="87"/>
      <c r="B706" s="30"/>
      <c r="C706" s="70"/>
      <c r="G706" s="30"/>
      <c r="H706" s="77"/>
      <c r="I706" s="77"/>
      <c r="J706" s="58"/>
      <c r="K706" s="58"/>
    </row>
    <row r="707" spans="1:11" s="71" customFormat="1">
      <c r="A707" s="87"/>
      <c r="B707" s="30"/>
      <c r="C707" s="70"/>
      <c r="G707" s="30"/>
      <c r="H707" s="77"/>
      <c r="I707" s="77"/>
      <c r="J707" s="58"/>
      <c r="K707" s="58"/>
    </row>
    <row r="708" spans="1:11" s="71" customFormat="1">
      <c r="A708" s="87"/>
      <c r="B708" s="30"/>
      <c r="C708" s="70"/>
      <c r="G708" s="30"/>
      <c r="H708" s="77"/>
      <c r="I708" s="77"/>
      <c r="J708" s="58"/>
      <c r="K708" s="58"/>
    </row>
    <row r="709" spans="1:11" s="71" customFormat="1">
      <c r="A709" s="87"/>
      <c r="B709" s="30"/>
      <c r="C709" s="70"/>
      <c r="G709" s="30"/>
      <c r="H709" s="77"/>
      <c r="I709" s="77"/>
      <c r="J709" s="58"/>
      <c r="K709" s="58"/>
    </row>
    <row r="710" spans="1:11" s="71" customFormat="1">
      <c r="A710" s="87"/>
      <c r="B710" s="30"/>
      <c r="C710" s="70"/>
      <c r="G710" s="30"/>
      <c r="H710" s="77"/>
      <c r="I710" s="77"/>
      <c r="J710" s="58"/>
      <c r="K710" s="58"/>
    </row>
    <row r="711" spans="1:11" s="71" customFormat="1">
      <c r="A711" s="87"/>
      <c r="B711" s="30"/>
      <c r="C711" s="70"/>
      <c r="G711" s="30"/>
      <c r="H711" s="77"/>
      <c r="I711" s="77"/>
      <c r="J711" s="58"/>
      <c r="K711" s="58"/>
    </row>
    <row r="712" spans="1:11" s="71" customFormat="1">
      <c r="A712" s="87"/>
      <c r="B712" s="30"/>
      <c r="C712" s="70"/>
      <c r="G712" s="30"/>
      <c r="H712" s="77"/>
      <c r="I712" s="77"/>
      <c r="J712" s="58"/>
      <c r="K712" s="58"/>
    </row>
    <row r="713" spans="1:11" s="71" customFormat="1">
      <c r="A713" s="87"/>
      <c r="B713" s="30"/>
      <c r="C713" s="70"/>
      <c r="G713" s="30"/>
      <c r="H713" s="77"/>
      <c r="I713" s="77"/>
      <c r="J713" s="58"/>
      <c r="K713" s="58"/>
    </row>
    <row r="714" spans="1:11" s="71" customFormat="1">
      <c r="A714" s="87"/>
      <c r="B714" s="30"/>
      <c r="C714" s="70"/>
      <c r="G714" s="30"/>
      <c r="H714" s="77"/>
      <c r="I714" s="77"/>
      <c r="J714" s="58"/>
      <c r="K714" s="58"/>
    </row>
    <row r="715" spans="1:11" s="71" customFormat="1">
      <c r="A715" s="87"/>
      <c r="B715" s="30"/>
      <c r="C715" s="70"/>
      <c r="G715" s="30"/>
      <c r="H715" s="77"/>
      <c r="I715" s="77"/>
      <c r="J715" s="58"/>
      <c r="K715" s="58"/>
    </row>
    <row r="716" spans="1:11" s="71" customFormat="1">
      <c r="A716" s="87"/>
      <c r="B716" s="30"/>
      <c r="C716" s="70"/>
      <c r="G716" s="30"/>
      <c r="H716" s="77"/>
      <c r="I716" s="77"/>
      <c r="J716" s="58"/>
      <c r="K716" s="58"/>
    </row>
    <row r="717" spans="1:11" s="71" customFormat="1">
      <c r="A717" s="87"/>
      <c r="B717" s="30"/>
      <c r="C717" s="70"/>
      <c r="G717" s="30"/>
      <c r="H717" s="77"/>
      <c r="I717" s="77"/>
      <c r="J717" s="58"/>
      <c r="K717" s="58"/>
    </row>
    <row r="718" spans="1:11" s="71" customFormat="1">
      <c r="A718" s="87"/>
      <c r="B718" s="30"/>
      <c r="C718" s="70"/>
      <c r="G718" s="30"/>
      <c r="H718" s="77"/>
      <c r="I718" s="77"/>
      <c r="J718" s="58"/>
      <c r="K718" s="58"/>
    </row>
    <row r="719" spans="1:11" s="71" customFormat="1">
      <c r="A719" s="87"/>
      <c r="B719" s="30"/>
      <c r="C719" s="70"/>
      <c r="G719" s="30"/>
      <c r="H719" s="77"/>
      <c r="I719" s="77"/>
      <c r="J719" s="58"/>
      <c r="K719" s="58"/>
    </row>
    <row r="720" spans="1:11" s="71" customFormat="1">
      <c r="A720" s="87"/>
      <c r="B720" s="30"/>
      <c r="C720" s="70"/>
      <c r="G720" s="30"/>
      <c r="H720" s="77"/>
      <c r="I720" s="77"/>
      <c r="J720" s="58"/>
      <c r="K720" s="58"/>
    </row>
    <row r="721" spans="1:11" s="71" customFormat="1">
      <c r="A721" s="87"/>
      <c r="B721" s="30"/>
      <c r="C721" s="70"/>
      <c r="G721" s="30"/>
      <c r="H721" s="77"/>
      <c r="I721" s="77"/>
      <c r="J721" s="58"/>
      <c r="K721" s="58"/>
    </row>
    <row r="722" spans="1:11" s="71" customFormat="1">
      <c r="A722" s="87"/>
      <c r="B722" s="30"/>
      <c r="C722" s="70"/>
      <c r="G722" s="30"/>
      <c r="H722" s="77"/>
      <c r="I722" s="77"/>
      <c r="J722" s="58"/>
      <c r="K722" s="58"/>
    </row>
    <row r="723" spans="1:11" s="71" customFormat="1">
      <c r="A723" s="87"/>
      <c r="B723" s="30"/>
      <c r="C723" s="70"/>
      <c r="G723" s="30"/>
      <c r="H723" s="77"/>
      <c r="I723" s="77"/>
      <c r="J723" s="58"/>
      <c r="K723" s="58"/>
    </row>
    <row r="724" spans="1:11" s="71" customFormat="1">
      <c r="A724" s="87"/>
      <c r="B724" s="30"/>
      <c r="C724" s="70"/>
      <c r="G724" s="30"/>
      <c r="H724" s="77"/>
      <c r="I724" s="77"/>
      <c r="J724" s="58"/>
      <c r="K724" s="58"/>
    </row>
    <row r="725" spans="1:11" s="71" customFormat="1">
      <c r="A725" s="87"/>
      <c r="B725" s="30"/>
      <c r="C725" s="70"/>
      <c r="G725" s="30"/>
      <c r="H725" s="77"/>
      <c r="I725" s="77"/>
      <c r="J725" s="58"/>
      <c r="K725" s="58"/>
    </row>
    <row r="726" spans="1:11" s="71" customFormat="1">
      <c r="A726" s="87"/>
      <c r="B726" s="30"/>
      <c r="C726" s="70"/>
      <c r="G726" s="30"/>
      <c r="H726" s="77"/>
      <c r="I726" s="77"/>
      <c r="J726" s="58"/>
      <c r="K726" s="58"/>
    </row>
    <row r="727" spans="1:11" s="71" customFormat="1">
      <c r="A727" s="87"/>
      <c r="B727" s="30"/>
      <c r="C727" s="70"/>
      <c r="G727" s="30"/>
      <c r="H727" s="77"/>
      <c r="I727" s="77"/>
      <c r="J727" s="58"/>
      <c r="K727" s="58"/>
    </row>
    <row r="728" spans="1:11" s="71" customFormat="1">
      <c r="A728" s="87"/>
      <c r="B728" s="30"/>
      <c r="C728" s="70"/>
      <c r="G728" s="30"/>
      <c r="H728" s="77"/>
      <c r="I728" s="77"/>
      <c r="J728" s="58"/>
      <c r="K728" s="58"/>
    </row>
    <row r="729" spans="1:11" s="71" customFormat="1">
      <c r="A729" s="87"/>
      <c r="B729" s="30"/>
      <c r="C729" s="70"/>
      <c r="G729" s="30"/>
      <c r="H729" s="77"/>
      <c r="I729" s="77"/>
      <c r="J729" s="58"/>
      <c r="K729" s="58"/>
    </row>
    <row r="730" spans="1:11" s="71" customFormat="1">
      <c r="A730" s="87"/>
      <c r="B730" s="30"/>
      <c r="C730" s="70"/>
      <c r="G730" s="30"/>
      <c r="H730" s="77"/>
      <c r="I730" s="77"/>
      <c r="J730" s="58"/>
      <c r="K730" s="58"/>
    </row>
    <row r="731" spans="1:11" s="71" customFormat="1">
      <c r="A731" s="87"/>
      <c r="B731" s="30"/>
      <c r="C731" s="70"/>
      <c r="G731" s="30"/>
      <c r="H731" s="77"/>
      <c r="I731" s="77"/>
      <c r="J731" s="58"/>
      <c r="K731" s="58"/>
    </row>
    <row r="732" spans="1:11" s="71" customFormat="1">
      <c r="A732" s="87"/>
      <c r="B732" s="30"/>
      <c r="C732" s="70"/>
      <c r="G732" s="30"/>
      <c r="H732" s="77"/>
      <c r="I732" s="77"/>
      <c r="J732" s="58"/>
      <c r="K732" s="58"/>
    </row>
    <row r="733" spans="1:11" s="71" customFormat="1">
      <c r="A733" s="87"/>
      <c r="B733" s="30"/>
      <c r="C733" s="70"/>
      <c r="G733" s="30"/>
      <c r="H733" s="77"/>
      <c r="I733" s="77"/>
      <c r="J733" s="58"/>
      <c r="K733" s="58"/>
    </row>
    <row r="734" spans="1:11" s="71" customFormat="1">
      <c r="A734" s="87"/>
      <c r="B734" s="30"/>
      <c r="C734" s="70"/>
      <c r="G734" s="30"/>
      <c r="H734" s="77"/>
      <c r="I734" s="77"/>
      <c r="J734" s="58"/>
      <c r="K734" s="58"/>
    </row>
    <row r="735" spans="1:11" s="71" customFormat="1">
      <c r="A735" s="87"/>
      <c r="B735" s="30"/>
      <c r="C735" s="70"/>
      <c r="G735" s="30"/>
      <c r="H735" s="77"/>
      <c r="I735" s="77"/>
      <c r="J735" s="58"/>
      <c r="K735" s="58"/>
    </row>
    <row r="736" spans="1:11" s="71" customFormat="1">
      <c r="A736" s="87"/>
      <c r="B736" s="30"/>
      <c r="C736" s="70"/>
      <c r="G736" s="30"/>
      <c r="H736" s="77"/>
      <c r="I736" s="77"/>
      <c r="J736" s="58"/>
      <c r="K736" s="58"/>
    </row>
    <row r="737" spans="1:11" s="71" customFormat="1">
      <c r="A737" s="87"/>
      <c r="B737" s="30"/>
      <c r="C737" s="70"/>
      <c r="G737" s="30"/>
      <c r="H737" s="77"/>
      <c r="I737" s="77"/>
      <c r="J737" s="58"/>
      <c r="K737" s="58"/>
    </row>
    <row r="738" spans="1:11" s="71" customFormat="1">
      <c r="A738" s="87"/>
      <c r="B738" s="30"/>
      <c r="C738" s="70"/>
      <c r="G738" s="30"/>
      <c r="H738" s="77"/>
      <c r="I738" s="77"/>
      <c r="J738" s="58"/>
      <c r="K738" s="58"/>
    </row>
    <row r="739" spans="1:11" s="71" customFormat="1">
      <c r="A739" s="87"/>
      <c r="B739" s="30"/>
      <c r="C739" s="70"/>
      <c r="G739" s="30"/>
      <c r="H739" s="77"/>
      <c r="I739" s="77"/>
      <c r="J739" s="58"/>
      <c r="K739" s="58"/>
    </row>
    <row r="740" spans="1:11" s="71" customFormat="1">
      <c r="A740" s="87"/>
      <c r="B740" s="30"/>
      <c r="C740" s="70"/>
      <c r="G740" s="30"/>
      <c r="H740" s="77"/>
      <c r="I740" s="77"/>
      <c r="J740" s="58"/>
      <c r="K740" s="58"/>
    </row>
    <row r="741" spans="1:11" s="71" customFormat="1">
      <c r="A741" s="87"/>
      <c r="B741" s="30"/>
      <c r="C741" s="70"/>
      <c r="G741" s="30"/>
      <c r="H741" s="77"/>
      <c r="I741" s="77"/>
      <c r="J741" s="58"/>
      <c r="K741" s="58"/>
    </row>
    <row r="742" spans="1:11" s="71" customFormat="1">
      <c r="A742" s="87"/>
      <c r="B742" s="30"/>
      <c r="C742" s="70"/>
      <c r="G742" s="30"/>
      <c r="H742" s="77"/>
      <c r="I742" s="77"/>
      <c r="J742" s="58"/>
      <c r="K742" s="58"/>
    </row>
    <row r="743" spans="1:11" s="71" customFormat="1">
      <c r="A743" s="87"/>
      <c r="B743" s="30"/>
      <c r="C743" s="70"/>
      <c r="G743" s="30"/>
      <c r="H743" s="77"/>
      <c r="I743" s="77"/>
      <c r="J743" s="58"/>
      <c r="K743" s="58"/>
    </row>
    <row r="744" spans="1:11" s="71" customFormat="1">
      <c r="A744" s="87"/>
      <c r="B744" s="30"/>
      <c r="C744" s="70"/>
      <c r="G744" s="30"/>
      <c r="H744" s="77"/>
      <c r="I744" s="77"/>
      <c r="J744" s="58"/>
      <c r="K744" s="58"/>
    </row>
    <row r="745" spans="1:11" s="71" customFormat="1">
      <c r="A745" s="87"/>
      <c r="B745" s="30"/>
      <c r="C745" s="70"/>
      <c r="G745" s="30"/>
      <c r="H745" s="77"/>
      <c r="I745" s="77"/>
      <c r="J745" s="58"/>
      <c r="K745" s="58"/>
    </row>
    <row r="746" spans="1:11" s="71" customFormat="1">
      <c r="A746" s="87"/>
      <c r="B746" s="30"/>
      <c r="C746" s="70"/>
      <c r="G746" s="30"/>
      <c r="H746" s="77"/>
      <c r="I746" s="77"/>
      <c r="J746" s="58"/>
      <c r="K746" s="58"/>
    </row>
    <row r="747" spans="1:11" s="71" customFormat="1">
      <c r="A747" s="87"/>
      <c r="B747" s="30"/>
      <c r="C747" s="70"/>
      <c r="G747" s="30"/>
      <c r="H747" s="77"/>
      <c r="I747" s="77"/>
      <c r="J747" s="58"/>
      <c r="K747" s="58"/>
    </row>
    <row r="748" spans="1:11" s="71" customFormat="1">
      <c r="A748" s="87"/>
      <c r="B748" s="30"/>
      <c r="C748" s="70"/>
      <c r="G748" s="30"/>
      <c r="H748" s="77"/>
      <c r="I748" s="77"/>
      <c r="J748" s="58"/>
      <c r="K748" s="58"/>
    </row>
    <row r="749" spans="1:11" s="71" customFormat="1">
      <c r="A749" s="87"/>
      <c r="B749" s="30"/>
      <c r="C749" s="70"/>
      <c r="G749" s="30"/>
      <c r="H749" s="77"/>
      <c r="I749" s="77"/>
      <c r="J749" s="58"/>
      <c r="K749" s="58"/>
    </row>
    <row r="750" spans="1:11" s="71" customFormat="1">
      <c r="A750" s="87"/>
      <c r="B750" s="30"/>
      <c r="C750" s="70"/>
      <c r="G750" s="30"/>
      <c r="H750" s="77"/>
      <c r="I750" s="77"/>
      <c r="J750" s="58"/>
      <c r="K750" s="58"/>
    </row>
    <row r="751" spans="1:11" s="71" customFormat="1">
      <c r="A751" s="87"/>
      <c r="B751" s="30"/>
      <c r="C751" s="70"/>
      <c r="G751" s="30"/>
      <c r="H751" s="77"/>
      <c r="I751" s="77"/>
      <c r="J751" s="58"/>
      <c r="K751" s="58"/>
    </row>
    <row r="752" spans="1:11" s="71" customFormat="1">
      <c r="A752" s="87"/>
      <c r="B752" s="30"/>
      <c r="C752" s="70"/>
      <c r="G752" s="30"/>
      <c r="H752" s="77"/>
      <c r="I752" s="77"/>
      <c r="J752" s="58"/>
      <c r="K752" s="58"/>
    </row>
    <row r="753" spans="1:11" s="71" customFormat="1">
      <c r="A753" s="87"/>
      <c r="B753" s="30"/>
      <c r="C753" s="70"/>
      <c r="G753" s="30"/>
      <c r="H753" s="77"/>
      <c r="I753" s="77"/>
      <c r="J753" s="58"/>
      <c r="K753" s="58"/>
    </row>
    <row r="754" spans="1:11" s="71" customFormat="1">
      <c r="A754" s="87"/>
      <c r="B754" s="30"/>
      <c r="C754" s="70"/>
      <c r="G754" s="30"/>
      <c r="H754" s="77"/>
      <c r="I754" s="77"/>
      <c r="J754" s="58"/>
      <c r="K754" s="58"/>
    </row>
    <row r="755" spans="1:11" s="71" customFormat="1">
      <c r="A755" s="87"/>
      <c r="B755" s="30"/>
      <c r="C755" s="70"/>
      <c r="G755" s="30"/>
      <c r="H755" s="77"/>
      <c r="I755" s="77"/>
      <c r="J755" s="58"/>
      <c r="K755" s="58"/>
    </row>
    <row r="756" spans="1:11" s="71" customFormat="1">
      <c r="A756" s="87"/>
      <c r="B756" s="30"/>
      <c r="C756" s="70"/>
      <c r="G756" s="30"/>
      <c r="H756" s="77"/>
      <c r="I756" s="77"/>
      <c r="J756" s="58"/>
      <c r="K756" s="58"/>
    </row>
    <row r="757" spans="1:11" s="71" customFormat="1">
      <c r="A757" s="87"/>
      <c r="B757" s="30"/>
      <c r="C757" s="70"/>
      <c r="G757" s="30"/>
      <c r="H757" s="77"/>
      <c r="I757" s="77"/>
      <c r="J757" s="58"/>
      <c r="K757" s="58"/>
    </row>
    <row r="758" spans="1:11" s="71" customFormat="1">
      <c r="A758" s="87"/>
      <c r="B758" s="30"/>
      <c r="C758" s="70"/>
      <c r="G758" s="30"/>
      <c r="H758" s="77"/>
      <c r="I758" s="77"/>
      <c r="J758" s="58"/>
      <c r="K758" s="58"/>
    </row>
    <row r="759" spans="1:11" s="71" customFormat="1">
      <c r="A759" s="87"/>
      <c r="B759" s="30"/>
      <c r="C759" s="70"/>
      <c r="G759" s="30"/>
      <c r="H759" s="77"/>
      <c r="I759" s="77"/>
      <c r="J759" s="58"/>
      <c r="K759" s="58"/>
    </row>
    <row r="760" spans="1:11" s="71" customFormat="1">
      <c r="A760" s="87"/>
      <c r="B760" s="30"/>
      <c r="C760" s="70"/>
      <c r="G760" s="30"/>
      <c r="H760" s="77"/>
      <c r="I760" s="77"/>
      <c r="J760" s="58"/>
      <c r="K760" s="58"/>
    </row>
    <row r="761" spans="1:11" s="71" customFormat="1">
      <c r="A761" s="87"/>
      <c r="B761" s="30"/>
      <c r="C761" s="70"/>
      <c r="G761" s="30"/>
      <c r="H761" s="77"/>
      <c r="I761" s="77"/>
      <c r="J761" s="58"/>
      <c r="K761" s="58"/>
    </row>
    <row r="762" spans="1:11" s="71" customFormat="1">
      <c r="A762" s="87"/>
      <c r="B762" s="30"/>
      <c r="C762" s="70"/>
      <c r="G762" s="30"/>
      <c r="H762" s="77"/>
      <c r="I762" s="77"/>
      <c r="J762" s="58"/>
      <c r="K762" s="58"/>
    </row>
    <row r="763" spans="1:11" s="71" customFormat="1">
      <c r="A763" s="87"/>
      <c r="B763" s="30"/>
      <c r="C763" s="70"/>
      <c r="G763" s="30"/>
      <c r="H763" s="77"/>
      <c r="I763" s="77"/>
      <c r="J763" s="58"/>
      <c r="K763" s="58"/>
    </row>
    <row r="764" spans="1:11" s="71" customFormat="1">
      <c r="A764" s="87"/>
      <c r="B764" s="30"/>
      <c r="C764" s="70"/>
      <c r="G764" s="30"/>
      <c r="H764" s="77"/>
      <c r="I764" s="77"/>
      <c r="J764" s="58"/>
      <c r="K764" s="58"/>
    </row>
    <row r="765" spans="1:11" s="71" customFormat="1">
      <c r="A765" s="87"/>
      <c r="B765" s="30"/>
      <c r="C765" s="70"/>
      <c r="G765" s="30"/>
      <c r="H765" s="77"/>
      <c r="I765" s="77"/>
      <c r="J765" s="58"/>
      <c r="K765" s="58"/>
    </row>
    <row r="766" spans="1:11" s="71" customFormat="1">
      <c r="A766" s="87"/>
      <c r="B766" s="30"/>
      <c r="C766" s="70"/>
      <c r="G766" s="30"/>
      <c r="H766" s="77"/>
      <c r="I766" s="77"/>
      <c r="J766" s="58"/>
      <c r="K766" s="58"/>
    </row>
    <row r="767" spans="1:11" s="71" customFormat="1">
      <c r="A767" s="87"/>
      <c r="B767" s="30"/>
      <c r="C767" s="70"/>
      <c r="G767" s="30"/>
      <c r="H767" s="77"/>
      <c r="I767" s="77"/>
      <c r="J767" s="58"/>
      <c r="K767" s="58"/>
    </row>
    <row r="768" spans="1:11" s="71" customFormat="1">
      <c r="A768" s="87"/>
      <c r="B768" s="30"/>
      <c r="C768" s="70"/>
      <c r="G768" s="30"/>
      <c r="H768" s="77"/>
      <c r="I768" s="77"/>
      <c r="J768" s="58"/>
      <c r="K768" s="58"/>
    </row>
    <row r="769" spans="1:11" s="71" customFormat="1">
      <c r="A769" s="87"/>
      <c r="B769" s="30"/>
      <c r="C769" s="70"/>
      <c r="G769" s="30"/>
      <c r="H769" s="77"/>
      <c r="I769" s="77"/>
      <c r="J769" s="58"/>
      <c r="K769" s="58"/>
    </row>
    <row r="770" spans="1:11" s="71" customFormat="1">
      <c r="A770" s="87"/>
      <c r="B770" s="30"/>
      <c r="C770" s="70"/>
      <c r="G770" s="30"/>
      <c r="H770" s="77"/>
      <c r="I770" s="77"/>
      <c r="J770" s="58"/>
      <c r="K770" s="58"/>
    </row>
    <row r="771" spans="1:11" s="71" customFormat="1">
      <c r="A771" s="87"/>
      <c r="B771" s="30"/>
      <c r="C771" s="70"/>
      <c r="G771" s="30"/>
      <c r="H771" s="77"/>
      <c r="I771" s="77"/>
      <c r="J771" s="58"/>
      <c r="K771" s="58"/>
    </row>
    <row r="772" spans="1:11" s="71" customFormat="1">
      <c r="A772" s="87"/>
      <c r="B772" s="30"/>
      <c r="C772" s="70"/>
      <c r="G772" s="30"/>
      <c r="H772" s="77"/>
      <c r="I772" s="77"/>
      <c r="J772" s="58"/>
      <c r="K772" s="58"/>
    </row>
    <row r="773" spans="1:11" s="71" customFormat="1">
      <c r="A773" s="87"/>
      <c r="B773" s="30"/>
      <c r="C773" s="70"/>
      <c r="G773" s="30"/>
      <c r="H773" s="77"/>
      <c r="I773" s="77"/>
      <c r="J773" s="58"/>
      <c r="K773" s="58"/>
    </row>
    <row r="774" spans="1:11" s="71" customFormat="1">
      <c r="A774" s="87"/>
      <c r="B774" s="30"/>
      <c r="C774" s="70"/>
      <c r="G774" s="30"/>
      <c r="H774" s="77"/>
      <c r="I774" s="77"/>
      <c r="J774" s="58"/>
      <c r="K774" s="58"/>
    </row>
    <row r="775" spans="1:11" s="71" customFormat="1">
      <c r="A775" s="87"/>
      <c r="B775" s="30"/>
      <c r="C775" s="70"/>
      <c r="G775" s="30"/>
      <c r="H775" s="77"/>
      <c r="I775" s="77"/>
      <c r="J775" s="58"/>
      <c r="K775" s="58"/>
    </row>
    <row r="776" spans="1:11" s="71" customFormat="1">
      <c r="A776" s="87"/>
      <c r="B776" s="30"/>
      <c r="C776" s="70"/>
      <c r="G776" s="30"/>
      <c r="H776" s="77"/>
      <c r="I776" s="77"/>
      <c r="J776" s="58"/>
      <c r="K776" s="58"/>
    </row>
    <row r="777" spans="1:11" s="71" customFormat="1">
      <c r="A777" s="87"/>
      <c r="B777" s="30"/>
      <c r="C777" s="70"/>
      <c r="G777" s="30"/>
      <c r="H777" s="77"/>
      <c r="I777" s="77"/>
      <c r="J777" s="58"/>
      <c r="K777" s="58"/>
    </row>
    <row r="778" spans="1:11" s="71" customFormat="1">
      <c r="A778" s="87"/>
      <c r="B778" s="30"/>
      <c r="C778" s="70"/>
      <c r="G778" s="30"/>
      <c r="H778" s="77"/>
      <c r="I778" s="77"/>
      <c r="J778" s="58"/>
      <c r="K778" s="58"/>
    </row>
    <row r="779" spans="1:11" s="71" customFormat="1">
      <c r="A779" s="87"/>
      <c r="B779" s="30"/>
      <c r="C779" s="70"/>
      <c r="G779" s="30"/>
      <c r="H779" s="77"/>
      <c r="I779" s="77"/>
      <c r="J779" s="58"/>
      <c r="K779" s="58"/>
    </row>
    <row r="780" spans="1:11" s="71" customFormat="1">
      <c r="A780" s="87"/>
      <c r="B780" s="30"/>
      <c r="C780" s="70"/>
      <c r="G780" s="30"/>
      <c r="H780" s="77"/>
      <c r="I780" s="77"/>
      <c r="J780" s="58"/>
      <c r="K780" s="58"/>
    </row>
    <row r="781" spans="1:11" s="71" customFormat="1">
      <c r="A781" s="87"/>
      <c r="B781" s="30"/>
      <c r="C781" s="70"/>
      <c r="G781" s="30"/>
      <c r="H781" s="77"/>
      <c r="I781" s="77"/>
      <c r="J781" s="58"/>
      <c r="K781" s="58"/>
    </row>
    <row r="782" spans="1:11" s="71" customFormat="1">
      <c r="A782" s="87"/>
      <c r="B782" s="30"/>
      <c r="C782" s="70"/>
      <c r="G782" s="30"/>
      <c r="H782" s="77"/>
      <c r="I782" s="77"/>
      <c r="J782" s="58"/>
      <c r="K782" s="58"/>
    </row>
    <row r="783" spans="1:11" s="71" customFormat="1">
      <c r="A783" s="87"/>
      <c r="B783" s="30"/>
      <c r="C783" s="70"/>
      <c r="G783" s="30"/>
      <c r="H783" s="77"/>
      <c r="I783" s="77"/>
      <c r="J783" s="58"/>
      <c r="K783" s="58"/>
    </row>
    <row r="784" spans="1:11" s="71" customFormat="1">
      <c r="A784" s="87"/>
      <c r="B784" s="30"/>
      <c r="C784" s="70"/>
      <c r="G784" s="30"/>
      <c r="H784" s="77"/>
      <c r="I784" s="77"/>
      <c r="J784" s="58"/>
      <c r="K784" s="58"/>
    </row>
    <row r="785" spans="1:11" s="71" customFormat="1">
      <c r="A785" s="87"/>
      <c r="B785" s="30"/>
      <c r="C785" s="70"/>
      <c r="G785" s="30"/>
      <c r="H785" s="77"/>
      <c r="I785" s="77"/>
      <c r="J785" s="58"/>
      <c r="K785" s="58"/>
    </row>
    <row r="786" spans="1:11" s="71" customFormat="1">
      <c r="A786" s="87"/>
      <c r="B786" s="30"/>
      <c r="C786" s="70"/>
      <c r="G786" s="30"/>
      <c r="H786" s="77"/>
      <c r="I786" s="77"/>
      <c r="J786" s="58"/>
      <c r="K786" s="58"/>
    </row>
    <row r="787" spans="1:11" s="71" customFormat="1">
      <c r="A787" s="87"/>
      <c r="B787" s="30"/>
      <c r="C787" s="70"/>
      <c r="G787" s="30"/>
      <c r="H787" s="77"/>
      <c r="I787" s="77"/>
      <c r="J787" s="58"/>
      <c r="K787" s="58"/>
    </row>
    <row r="788" spans="1:11" s="71" customFormat="1">
      <c r="A788" s="87"/>
      <c r="B788" s="30"/>
      <c r="C788" s="70"/>
      <c r="G788" s="30"/>
      <c r="H788" s="77"/>
      <c r="I788" s="77"/>
      <c r="J788" s="58"/>
      <c r="K788" s="58"/>
    </row>
    <row r="789" spans="1:11" s="71" customFormat="1">
      <c r="A789" s="87"/>
      <c r="B789" s="30"/>
      <c r="C789" s="70"/>
      <c r="G789" s="30"/>
      <c r="H789" s="77"/>
      <c r="I789" s="77"/>
      <c r="J789" s="58"/>
      <c r="K789" s="58"/>
    </row>
    <row r="790" spans="1:11" s="71" customFormat="1">
      <c r="A790" s="87"/>
      <c r="B790" s="30"/>
      <c r="C790" s="70"/>
      <c r="G790" s="30"/>
      <c r="H790" s="77"/>
      <c r="I790" s="77"/>
      <c r="J790" s="58"/>
      <c r="K790" s="58"/>
    </row>
    <row r="791" spans="1:11" s="71" customFormat="1">
      <c r="A791" s="87"/>
      <c r="B791" s="30"/>
      <c r="C791" s="70"/>
      <c r="G791" s="30"/>
      <c r="H791" s="77"/>
      <c r="I791" s="77"/>
      <c r="J791" s="58"/>
      <c r="K791" s="58"/>
    </row>
    <row r="792" spans="1:11" s="71" customFormat="1">
      <c r="A792" s="87"/>
      <c r="B792" s="30"/>
      <c r="C792" s="70"/>
      <c r="G792" s="30"/>
      <c r="H792" s="77"/>
      <c r="I792" s="77"/>
      <c r="J792" s="58"/>
      <c r="K792" s="58"/>
    </row>
    <row r="793" spans="1:11" s="71" customFormat="1">
      <c r="A793" s="87"/>
      <c r="B793" s="30"/>
      <c r="C793" s="70"/>
      <c r="G793" s="30"/>
      <c r="H793" s="77"/>
      <c r="I793" s="77"/>
      <c r="J793" s="58"/>
      <c r="K793" s="58"/>
    </row>
    <row r="794" spans="1:11" s="71" customFormat="1">
      <c r="A794" s="87"/>
      <c r="B794" s="30"/>
      <c r="C794" s="70"/>
      <c r="G794" s="30"/>
      <c r="H794" s="77"/>
      <c r="I794" s="77"/>
      <c r="J794" s="58"/>
      <c r="K794" s="58"/>
    </row>
    <row r="795" spans="1:11" s="71" customFormat="1">
      <c r="A795" s="87"/>
      <c r="B795" s="30"/>
      <c r="C795" s="70"/>
      <c r="G795" s="30"/>
      <c r="H795" s="77"/>
      <c r="I795" s="77"/>
      <c r="J795" s="58"/>
      <c r="K795" s="58"/>
    </row>
    <row r="796" spans="1:11" s="71" customFormat="1">
      <c r="A796" s="87"/>
      <c r="B796" s="30"/>
      <c r="C796" s="70"/>
      <c r="G796" s="30"/>
      <c r="H796" s="77"/>
      <c r="I796" s="77"/>
      <c r="J796" s="58"/>
      <c r="K796" s="58"/>
    </row>
    <row r="797" spans="1:11" s="71" customFormat="1">
      <c r="A797" s="87"/>
      <c r="B797" s="30"/>
      <c r="C797" s="70"/>
      <c r="G797" s="30"/>
      <c r="H797" s="77"/>
      <c r="I797" s="77"/>
      <c r="J797" s="58"/>
      <c r="K797" s="58"/>
    </row>
    <row r="798" spans="1:11" s="71" customFormat="1">
      <c r="A798" s="87"/>
      <c r="B798" s="30"/>
      <c r="C798" s="70"/>
      <c r="G798" s="30"/>
      <c r="H798" s="77"/>
      <c r="I798" s="77"/>
      <c r="J798" s="58"/>
      <c r="K798" s="58"/>
    </row>
    <row r="799" spans="1:11" s="71" customFormat="1">
      <c r="A799" s="87"/>
      <c r="B799" s="30"/>
      <c r="C799" s="70"/>
      <c r="G799" s="30"/>
      <c r="H799" s="77"/>
      <c r="I799" s="77"/>
      <c r="J799" s="58"/>
      <c r="K799" s="58"/>
    </row>
    <row r="800" spans="1:11" s="71" customFormat="1">
      <c r="A800" s="87"/>
      <c r="B800" s="30"/>
      <c r="C800" s="70"/>
      <c r="G800" s="30"/>
      <c r="H800" s="77"/>
      <c r="I800" s="77"/>
      <c r="J800" s="58"/>
      <c r="K800" s="58"/>
    </row>
    <row r="801" spans="1:11" s="71" customFormat="1">
      <c r="A801" s="87"/>
      <c r="B801" s="30"/>
      <c r="C801" s="70"/>
      <c r="G801" s="30"/>
      <c r="H801" s="77"/>
      <c r="I801" s="77"/>
      <c r="J801" s="58"/>
      <c r="K801" s="58"/>
    </row>
    <row r="802" spans="1:11" s="71" customFormat="1">
      <c r="A802" s="87"/>
      <c r="B802" s="30"/>
      <c r="C802" s="70"/>
      <c r="G802" s="30"/>
      <c r="H802" s="77"/>
      <c r="I802" s="77"/>
      <c r="J802" s="58"/>
      <c r="K802" s="58"/>
    </row>
    <row r="803" spans="1:11" s="71" customFormat="1">
      <c r="A803" s="87"/>
      <c r="B803" s="30"/>
      <c r="C803" s="70"/>
      <c r="G803" s="30"/>
      <c r="H803" s="77"/>
      <c r="I803" s="77"/>
      <c r="J803" s="58"/>
      <c r="K803" s="58"/>
    </row>
    <row r="804" spans="1:11" s="71" customFormat="1">
      <c r="A804" s="87"/>
      <c r="B804" s="30"/>
      <c r="C804" s="70"/>
      <c r="G804" s="30"/>
      <c r="H804" s="77"/>
      <c r="I804" s="77"/>
      <c r="J804" s="58"/>
      <c r="K804" s="58"/>
    </row>
    <row r="805" spans="1:11" s="71" customFormat="1">
      <c r="A805" s="87"/>
      <c r="B805" s="30"/>
      <c r="C805" s="70"/>
      <c r="G805" s="30"/>
      <c r="H805" s="77"/>
      <c r="I805" s="77"/>
      <c r="J805" s="58"/>
      <c r="K805" s="58"/>
    </row>
    <row r="806" spans="1:11" s="71" customFormat="1">
      <c r="A806" s="87"/>
      <c r="B806" s="30"/>
      <c r="C806" s="70"/>
      <c r="G806" s="30"/>
      <c r="H806" s="77"/>
      <c r="I806" s="77"/>
      <c r="J806" s="58"/>
      <c r="K806" s="58"/>
    </row>
    <row r="807" spans="1:11" s="71" customFormat="1">
      <c r="A807" s="87"/>
      <c r="B807" s="30"/>
      <c r="C807" s="70"/>
      <c r="G807" s="30"/>
      <c r="H807" s="77"/>
      <c r="I807" s="77"/>
      <c r="J807" s="58"/>
      <c r="K807" s="58"/>
    </row>
    <row r="808" spans="1:11" s="71" customFormat="1">
      <c r="A808" s="87"/>
      <c r="B808" s="30"/>
      <c r="C808" s="70"/>
      <c r="G808" s="30"/>
      <c r="H808" s="77"/>
      <c r="I808" s="77"/>
      <c r="J808" s="58"/>
      <c r="K808" s="58"/>
    </row>
    <row r="809" spans="1:11" s="71" customFormat="1">
      <c r="A809" s="87"/>
      <c r="B809" s="30"/>
      <c r="C809" s="70"/>
      <c r="G809" s="30"/>
      <c r="H809" s="77"/>
      <c r="I809" s="77"/>
      <c r="J809" s="58"/>
      <c r="K809" s="58"/>
    </row>
    <row r="810" spans="1:11" s="71" customFormat="1">
      <c r="A810" s="87"/>
      <c r="B810" s="30"/>
      <c r="C810" s="70"/>
      <c r="G810" s="30"/>
      <c r="H810" s="77"/>
      <c r="I810" s="77"/>
      <c r="J810" s="58"/>
      <c r="K810" s="58"/>
    </row>
    <row r="811" spans="1:11" s="71" customFormat="1">
      <c r="A811" s="87"/>
      <c r="B811" s="30"/>
      <c r="C811" s="70"/>
      <c r="G811" s="30"/>
      <c r="H811" s="77"/>
      <c r="I811" s="77"/>
      <c r="J811" s="58"/>
      <c r="K811" s="58"/>
    </row>
    <row r="812" spans="1:11" s="71" customFormat="1">
      <c r="A812" s="87"/>
      <c r="B812" s="30"/>
      <c r="C812" s="70"/>
      <c r="G812" s="30"/>
      <c r="H812" s="77"/>
      <c r="I812" s="77"/>
      <c r="J812" s="58"/>
      <c r="K812" s="58"/>
    </row>
    <row r="813" spans="1:11" s="71" customFormat="1">
      <c r="A813" s="87"/>
      <c r="B813" s="30"/>
      <c r="C813" s="70"/>
      <c r="G813" s="30"/>
      <c r="H813" s="77"/>
      <c r="I813" s="77"/>
      <c r="J813" s="58"/>
      <c r="K813" s="58"/>
    </row>
    <row r="814" spans="1:11" s="71" customFormat="1">
      <c r="A814" s="87"/>
      <c r="B814" s="30"/>
      <c r="C814" s="70"/>
      <c r="G814" s="30"/>
      <c r="H814" s="77"/>
      <c r="I814" s="77"/>
      <c r="J814" s="58"/>
      <c r="K814" s="58"/>
    </row>
    <row r="815" spans="1:11" s="71" customFormat="1">
      <c r="A815" s="87"/>
      <c r="B815" s="30"/>
      <c r="C815" s="70"/>
      <c r="G815" s="30"/>
      <c r="H815" s="77"/>
      <c r="I815" s="77"/>
      <c r="J815" s="58"/>
      <c r="K815" s="58"/>
    </row>
    <row r="816" spans="1:11" s="71" customFormat="1">
      <c r="A816" s="87"/>
      <c r="B816" s="30"/>
      <c r="C816" s="70"/>
      <c r="G816" s="30"/>
      <c r="H816" s="77"/>
      <c r="I816" s="77"/>
      <c r="J816" s="58"/>
      <c r="K816" s="58"/>
    </row>
    <row r="817" spans="1:11" s="71" customFormat="1">
      <c r="A817" s="87"/>
      <c r="B817" s="30"/>
      <c r="C817" s="70"/>
      <c r="G817" s="30"/>
      <c r="H817" s="77"/>
      <c r="I817" s="77"/>
      <c r="J817" s="58"/>
      <c r="K817" s="58"/>
    </row>
    <row r="818" spans="1:11" s="71" customFormat="1">
      <c r="A818" s="87"/>
      <c r="B818" s="30"/>
      <c r="C818" s="70"/>
      <c r="G818" s="30"/>
      <c r="H818" s="77"/>
      <c r="I818" s="77"/>
      <c r="J818" s="58"/>
      <c r="K818" s="58"/>
    </row>
    <row r="819" spans="1:11" s="71" customFormat="1">
      <c r="A819" s="87"/>
      <c r="B819" s="30"/>
      <c r="C819" s="70"/>
      <c r="G819" s="30"/>
      <c r="H819" s="77"/>
      <c r="I819" s="77"/>
      <c r="J819" s="58"/>
      <c r="K819" s="58"/>
    </row>
    <row r="820" spans="1:11" s="71" customFormat="1">
      <c r="A820" s="87"/>
      <c r="B820" s="30"/>
      <c r="C820" s="70"/>
      <c r="G820" s="30"/>
      <c r="H820" s="77"/>
      <c r="I820" s="77"/>
      <c r="J820" s="58"/>
      <c r="K820" s="58"/>
    </row>
    <row r="821" spans="1:11" s="71" customFormat="1">
      <c r="A821" s="87"/>
      <c r="B821" s="30"/>
      <c r="C821" s="70"/>
      <c r="G821" s="30"/>
      <c r="H821" s="77"/>
      <c r="I821" s="77"/>
      <c r="J821" s="58"/>
      <c r="K821" s="58"/>
    </row>
    <row r="822" spans="1:11" s="71" customFormat="1">
      <c r="A822" s="87"/>
      <c r="B822" s="30"/>
      <c r="C822" s="70"/>
      <c r="G822" s="30"/>
      <c r="H822" s="77"/>
      <c r="I822" s="77"/>
      <c r="J822" s="58"/>
      <c r="K822" s="58"/>
    </row>
    <row r="823" spans="1:11" s="71" customFormat="1">
      <c r="A823" s="87"/>
      <c r="B823" s="30"/>
      <c r="C823" s="70"/>
      <c r="G823" s="30"/>
      <c r="H823" s="77"/>
      <c r="I823" s="77"/>
      <c r="J823" s="58"/>
      <c r="K823" s="58"/>
    </row>
    <row r="824" spans="1:11" s="71" customFormat="1">
      <c r="A824" s="87"/>
      <c r="B824" s="30"/>
      <c r="C824" s="70"/>
      <c r="G824" s="30"/>
      <c r="H824" s="77"/>
      <c r="I824" s="77"/>
      <c r="J824" s="58"/>
      <c r="K824" s="58"/>
    </row>
    <row r="825" spans="1:11" s="71" customFormat="1">
      <c r="A825" s="87"/>
      <c r="B825" s="30"/>
      <c r="C825" s="70"/>
      <c r="G825" s="30"/>
      <c r="H825" s="77"/>
      <c r="I825" s="77"/>
      <c r="J825" s="58"/>
      <c r="K825" s="58"/>
    </row>
    <row r="826" spans="1:11" s="71" customFormat="1">
      <c r="A826" s="87"/>
      <c r="B826" s="30"/>
      <c r="C826" s="70"/>
      <c r="G826" s="30"/>
      <c r="H826" s="77"/>
      <c r="I826" s="77"/>
      <c r="J826" s="58"/>
      <c r="K826" s="58"/>
    </row>
    <row r="827" spans="1:11" s="71" customFormat="1">
      <c r="A827" s="87"/>
      <c r="B827" s="30"/>
      <c r="C827" s="70"/>
      <c r="G827" s="30"/>
      <c r="H827" s="77"/>
      <c r="I827" s="77"/>
      <c r="J827" s="58"/>
      <c r="K827" s="58"/>
    </row>
    <row r="828" spans="1:11" s="71" customFormat="1">
      <c r="A828" s="87"/>
      <c r="B828" s="30"/>
      <c r="C828" s="70"/>
      <c r="G828" s="30"/>
      <c r="H828" s="77"/>
      <c r="I828" s="77"/>
      <c r="J828" s="58"/>
      <c r="K828" s="58"/>
    </row>
    <row r="829" spans="1:11" s="71" customFormat="1">
      <c r="A829" s="87"/>
      <c r="B829" s="30"/>
      <c r="C829" s="70"/>
      <c r="G829" s="30"/>
      <c r="H829" s="77"/>
      <c r="I829" s="77"/>
      <c r="J829" s="58"/>
      <c r="K829" s="58"/>
    </row>
    <row r="830" spans="1:11" s="71" customFormat="1">
      <c r="A830" s="87"/>
      <c r="B830" s="30"/>
      <c r="C830" s="70"/>
      <c r="G830" s="30"/>
      <c r="H830" s="77"/>
      <c r="I830" s="77"/>
      <c r="J830" s="58"/>
      <c r="K830" s="58"/>
    </row>
    <row r="831" spans="1:11" s="71" customFormat="1">
      <c r="A831" s="87"/>
      <c r="B831" s="30"/>
      <c r="C831" s="70"/>
      <c r="G831" s="30"/>
      <c r="H831" s="77"/>
      <c r="I831" s="77"/>
      <c r="J831" s="58"/>
      <c r="K831" s="58"/>
    </row>
    <row r="832" spans="1:11" s="71" customFormat="1">
      <c r="A832" s="87"/>
      <c r="B832" s="30"/>
      <c r="C832" s="70"/>
      <c r="G832" s="30"/>
      <c r="H832" s="77"/>
      <c r="I832" s="77"/>
      <c r="J832" s="58"/>
      <c r="K832" s="58"/>
    </row>
    <row r="833" spans="1:11" s="71" customFormat="1">
      <c r="A833" s="87"/>
      <c r="B833" s="30"/>
      <c r="C833" s="70"/>
      <c r="G833" s="30"/>
      <c r="H833" s="77"/>
      <c r="I833" s="77"/>
      <c r="J833" s="58"/>
      <c r="K833" s="58"/>
    </row>
    <row r="834" spans="1:11" s="71" customFormat="1">
      <c r="A834" s="87"/>
      <c r="B834" s="30"/>
      <c r="C834" s="70"/>
      <c r="G834" s="30"/>
      <c r="H834" s="77"/>
      <c r="I834" s="77"/>
      <c r="J834" s="58"/>
      <c r="K834" s="58"/>
    </row>
    <row r="835" spans="1:11" s="71" customFormat="1">
      <c r="A835" s="87"/>
      <c r="B835" s="30"/>
      <c r="C835" s="70"/>
      <c r="G835" s="30"/>
      <c r="H835" s="77"/>
      <c r="I835" s="77"/>
      <c r="J835" s="58"/>
      <c r="K835" s="58"/>
    </row>
    <row r="836" spans="1:11" s="71" customFormat="1">
      <c r="A836" s="87"/>
      <c r="B836" s="30"/>
      <c r="C836" s="70"/>
      <c r="G836" s="30"/>
      <c r="H836" s="77"/>
      <c r="I836" s="77"/>
      <c r="J836" s="58"/>
      <c r="K836" s="58"/>
    </row>
    <row r="837" spans="1:11" s="71" customFormat="1">
      <c r="A837" s="87"/>
      <c r="B837" s="30"/>
      <c r="C837" s="70"/>
      <c r="G837" s="30"/>
      <c r="H837" s="77"/>
      <c r="I837" s="77"/>
      <c r="J837" s="58"/>
      <c r="K837" s="58"/>
    </row>
    <row r="838" spans="1:11" s="71" customFormat="1">
      <c r="A838" s="87"/>
      <c r="B838" s="30"/>
      <c r="C838" s="70"/>
      <c r="G838" s="30"/>
      <c r="H838" s="77"/>
      <c r="I838" s="77"/>
      <c r="J838" s="58"/>
      <c r="K838" s="58"/>
    </row>
    <row r="839" spans="1:11" s="71" customFormat="1">
      <c r="A839" s="87"/>
      <c r="B839" s="30"/>
      <c r="C839" s="70"/>
      <c r="G839" s="30"/>
      <c r="H839" s="77"/>
      <c r="I839" s="77"/>
      <c r="J839" s="58"/>
      <c r="K839" s="58"/>
    </row>
    <row r="840" spans="1:11" s="71" customFormat="1">
      <c r="A840" s="87"/>
      <c r="B840" s="30"/>
      <c r="C840" s="70"/>
      <c r="G840" s="30"/>
      <c r="H840" s="77"/>
      <c r="I840" s="77"/>
      <c r="J840" s="58"/>
      <c r="K840" s="58"/>
    </row>
    <row r="841" spans="1:11" s="71" customFormat="1">
      <c r="A841" s="87"/>
      <c r="B841" s="30"/>
      <c r="C841" s="70"/>
      <c r="G841" s="30"/>
      <c r="H841" s="77"/>
      <c r="I841" s="77"/>
      <c r="J841" s="58"/>
      <c r="K841" s="58"/>
    </row>
    <row r="842" spans="1:11" s="71" customFormat="1">
      <c r="A842" s="87"/>
      <c r="B842" s="30"/>
      <c r="C842" s="70"/>
      <c r="G842" s="30"/>
      <c r="H842" s="77"/>
      <c r="I842" s="77"/>
      <c r="J842" s="58"/>
      <c r="K842" s="58"/>
    </row>
    <row r="843" spans="1:11" s="71" customFormat="1">
      <c r="A843" s="87"/>
      <c r="B843" s="30"/>
      <c r="C843" s="70"/>
      <c r="G843" s="30"/>
      <c r="H843" s="77"/>
      <c r="I843" s="77"/>
      <c r="J843" s="58"/>
      <c r="K843" s="58"/>
    </row>
    <row r="844" spans="1:11" s="71" customFormat="1">
      <c r="A844" s="87"/>
      <c r="B844" s="30"/>
      <c r="C844" s="70"/>
      <c r="G844" s="30"/>
      <c r="H844" s="77"/>
      <c r="I844" s="77"/>
      <c r="J844" s="58"/>
      <c r="K844" s="58"/>
    </row>
    <row r="845" spans="1:11" s="71" customFormat="1">
      <c r="A845" s="87"/>
      <c r="B845" s="30"/>
      <c r="C845" s="70"/>
      <c r="G845" s="30"/>
      <c r="H845" s="77"/>
      <c r="I845" s="77"/>
      <c r="J845" s="58"/>
      <c r="K845" s="58"/>
    </row>
    <row r="846" spans="1:11" s="71" customFormat="1">
      <c r="A846" s="87"/>
      <c r="B846" s="30"/>
      <c r="C846" s="70"/>
      <c r="G846" s="30"/>
      <c r="H846" s="77"/>
      <c r="I846" s="77"/>
      <c r="J846" s="58"/>
      <c r="K846" s="58"/>
    </row>
    <row r="847" spans="1:11" s="71" customFormat="1">
      <c r="A847" s="87"/>
      <c r="B847" s="30"/>
      <c r="C847" s="70"/>
      <c r="G847" s="30"/>
      <c r="H847" s="77"/>
      <c r="I847" s="77"/>
      <c r="J847" s="58"/>
      <c r="K847" s="58"/>
    </row>
    <row r="848" spans="1:11" s="71" customFormat="1">
      <c r="A848" s="87"/>
      <c r="B848" s="30"/>
      <c r="C848" s="70"/>
      <c r="G848" s="30"/>
      <c r="H848" s="77"/>
      <c r="I848" s="77"/>
      <c r="J848" s="58"/>
      <c r="K848" s="58"/>
    </row>
    <row r="849" spans="1:11" s="71" customFormat="1">
      <c r="A849" s="87"/>
      <c r="B849" s="30"/>
      <c r="C849" s="70"/>
      <c r="G849" s="30"/>
      <c r="H849" s="77"/>
      <c r="I849" s="77"/>
      <c r="J849" s="58"/>
      <c r="K849" s="58"/>
    </row>
    <row r="850" spans="1:11" s="71" customFormat="1">
      <c r="A850" s="87"/>
      <c r="B850" s="30"/>
      <c r="C850" s="70"/>
      <c r="G850" s="30"/>
      <c r="H850" s="77"/>
      <c r="I850" s="77"/>
      <c r="J850" s="58"/>
      <c r="K850" s="58"/>
    </row>
    <row r="851" spans="1:11" s="71" customFormat="1">
      <c r="A851" s="87"/>
      <c r="B851" s="30"/>
      <c r="C851" s="70"/>
      <c r="G851" s="30"/>
      <c r="H851" s="77"/>
      <c r="I851" s="77"/>
      <c r="J851" s="58"/>
      <c r="K851" s="58"/>
    </row>
    <row r="852" spans="1:11" s="71" customFormat="1">
      <c r="A852" s="87"/>
      <c r="B852" s="30"/>
      <c r="C852" s="70"/>
      <c r="G852" s="30"/>
      <c r="H852" s="77"/>
      <c r="I852" s="77"/>
      <c r="J852" s="58"/>
      <c r="K852" s="58"/>
    </row>
    <row r="853" spans="1:11" s="71" customFormat="1">
      <c r="A853" s="87"/>
      <c r="B853" s="30"/>
      <c r="C853" s="70"/>
      <c r="G853" s="30"/>
      <c r="H853" s="77"/>
      <c r="I853" s="77"/>
      <c r="J853" s="58"/>
      <c r="K853" s="58"/>
    </row>
    <row r="854" spans="1:11" s="71" customFormat="1">
      <c r="A854" s="87"/>
      <c r="B854" s="30"/>
      <c r="C854" s="70"/>
      <c r="G854" s="30"/>
      <c r="H854" s="77"/>
      <c r="I854" s="77"/>
      <c r="J854" s="58"/>
      <c r="K854" s="58"/>
    </row>
    <row r="855" spans="1:11" s="71" customFormat="1">
      <c r="A855" s="87"/>
      <c r="B855" s="30"/>
      <c r="C855" s="70"/>
      <c r="G855" s="30"/>
      <c r="H855" s="77"/>
      <c r="I855" s="77"/>
      <c r="J855" s="58"/>
      <c r="K855" s="58"/>
    </row>
    <row r="856" spans="1:11" s="71" customFormat="1">
      <c r="A856" s="87"/>
      <c r="B856" s="30"/>
      <c r="C856" s="70"/>
      <c r="G856" s="30"/>
      <c r="H856" s="77"/>
      <c r="I856" s="77"/>
      <c r="J856" s="58"/>
      <c r="K856" s="58"/>
    </row>
    <row r="857" spans="1:11" s="71" customFormat="1">
      <c r="A857" s="87"/>
      <c r="B857" s="30"/>
      <c r="C857" s="70"/>
      <c r="G857" s="30"/>
      <c r="H857" s="77"/>
      <c r="I857" s="77"/>
      <c r="J857" s="58"/>
      <c r="K857" s="58"/>
    </row>
    <row r="858" spans="1:11" s="71" customFormat="1">
      <c r="A858" s="87"/>
      <c r="B858" s="30"/>
      <c r="C858" s="70"/>
      <c r="G858" s="30"/>
      <c r="H858" s="77"/>
      <c r="I858" s="77"/>
      <c r="J858" s="58"/>
      <c r="K858" s="58"/>
    </row>
    <row r="859" spans="1:11" s="71" customFormat="1">
      <c r="A859" s="87"/>
      <c r="B859" s="30"/>
      <c r="C859" s="70"/>
      <c r="G859" s="30"/>
      <c r="H859" s="77"/>
      <c r="I859" s="77"/>
      <c r="J859" s="58"/>
      <c r="K859" s="58"/>
    </row>
    <row r="860" spans="1:11" s="71" customFormat="1">
      <c r="A860" s="87"/>
      <c r="B860" s="30"/>
      <c r="C860" s="70"/>
      <c r="G860" s="30"/>
      <c r="H860" s="77"/>
      <c r="I860" s="77"/>
      <c r="J860" s="58"/>
      <c r="K860" s="58"/>
    </row>
    <row r="861" spans="1:11" s="71" customFormat="1">
      <c r="A861" s="87"/>
      <c r="B861" s="30"/>
      <c r="C861" s="70"/>
      <c r="G861" s="30"/>
      <c r="H861" s="77"/>
      <c r="I861" s="77"/>
      <c r="J861" s="58"/>
      <c r="K861" s="58"/>
    </row>
    <row r="862" spans="1:11" s="71" customFormat="1">
      <c r="A862" s="87"/>
      <c r="B862" s="30"/>
      <c r="C862" s="70"/>
      <c r="G862" s="30"/>
      <c r="H862" s="77"/>
      <c r="I862" s="77"/>
      <c r="J862" s="58"/>
      <c r="K862" s="58"/>
    </row>
    <row r="863" spans="1:11" s="71" customFormat="1">
      <c r="A863" s="87"/>
      <c r="B863" s="30"/>
      <c r="C863" s="70"/>
      <c r="G863" s="30"/>
      <c r="H863" s="77"/>
      <c r="I863" s="77"/>
      <c r="J863" s="58"/>
      <c r="K863" s="58"/>
    </row>
    <row r="864" spans="1:11" s="71" customFormat="1">
      <c r="A864" s="87"/>
      <c r="B864" s="30"/>
      <c r="C864" s="70"/>
      <c r="G864" s="30"/>
      <c r="H864" s="77"/>
      <c r="I864" s="77"/>
      <c r="J864" s="58"/>
      <c r="K864" s="58"/>
    </row>
    <row r="865" spans="1:11" s="71" customFormat="1">
      <c r="A865" s="87"/>
      <c r="B865" s="30"/>
      <c r="C865" s="70"/>
      <c r="G865" s="30"/>
      <c r="H865" s="77"/>
      <c r="I865" s="77"/>
      <c r="J865" s="58"/>
      <c r="K865" s="58"/>
    </row>
    <row r="866" spans="1:11" s="71" customFormat="1">
      <c r="A866" s="87"/>
      <c r="B866" s="30"/>
      <c r="C866" s="70"/>
      <c r="G866" s="30"/>
      <c r="H866" s="77"/>
      <c r="I866" s="77"/>
      <c r="J866" s="58"/>
      <c r="K866" s="58"/>
    </row>
    <row r="867" spans="1:11" s="71" customFormat="1">
      <c r="A867" s="87"/>
      <c r="B867" s="30"/>
      <c r="C867" s="70"/>
      <c r="G867" s="30"/>
      <c r="H867" s="77"/>
      <c r="I867" s="77"/>
      <c r="J867" s="58"/>
      <c r="K867" s="58"/>
    </row>
    <row r="868" spans="1:11" s="71" customFormat="1">
      <c r="A868" s="87"/>
      <c r="B868" s="30"/>
      <c r="C868" s="70"/>
      <c r="G868" s="30"/>
      <c r="H868" s="77"/>
      <c r="I868" s="77"/>
      <c r="J868" s="58"/>
      <c r="K868" s="58"/>
    </row>
    <row r="869" spans="1:11" s="71" customFormat="1">
      <c r="A869" s="87"/>
      <c r="B869" s="30"/>
      <c r="C869" s="70"/>
      <c r="G869" s="30"/>
      <c r="H869" s="77"/>
      <c r="I869" s="77"/>
      <c r="J869" s="58"/>
      <c r="K869" s="58"/>
    </row>
    <row r="870" spans="1:11" s="71" customFormat="1">
      <c r="A870" s="87"/>
      <c r="B870" s="30"/>
      <c r="C870" s="70"/>
      <c r="G870" s="30"/>
      <c r="H870" s="77"/>
      <c r="I870" s="77"/>
      <c r="J870" s="58"/>
      <c r="K870" s="58"/>
    </row>
    <row r="871" spans="1:11" s="71" customFormat="1">
      <c r="A871" s="87"/>
      <c r="B871" s="30"/>
      <c r="C871" s="70"/>
      <c r="G871" s="30"/>
      <c r="H871" s="77"/>
      <c r="I871" s="77"/>
      <c r="J871" s="58"/>
      <c r="K871" s="58"/>
    </row>
    <row r="872" spans="1:11" s="71" customFormat="1">
      <c r="A872" s="87"/>
      <c r="B872" s="30"/>
      <c r="C872" s="70"/>
      <c r="G872" s="30"/>
      <c r="H872" s="77"/>
      <c r="I872" s="77"/>
      <c r="J872" s="58"/>
      <c r="K872" s="58"/>
    </row>
    <row r="873" spans="1:11" s="71" customFormat="1">
      <c r="A873" s="87"/>
      <c r="B873" s="30"/>
      <c r="C873" s="70"/>
      <c r="G873" s="30"/>
      <c r="H873" s="77"/>
      <c r="I873" s="77"/>
      <c r="J873" s="58"/>
      <c r="K873" s="58"/>
    </row>
    <row r="874" spans="1:11" s="71" customFormat="1">
      <c r="A874" s="87"/>
      <c r="B874" s="30"/>
      <c r="C874" s="70"/>
      <c r="G874" s="30"/>
      <c r="H874" s="77"/>
      <c r="I874" s="77"/>
      <c r="J874" s="58"/>
      <c r="K874" s="58"/>
    </row>
    <row r="875" spans="1:11" s="71" customFormat="1">
      <c r="A875" s="87"/>
      <c r="B875" s="30"/>
      <c r="C875" s="70"/>
      <c r="G875" s="30"/>
      <c r="H875" s="77"/>
      <c r="I875" s="77"/>
      <c r="J875" s="58"/>
      <c r="K875" s="58"/>
    </row>
    <row r="876" spans="1:11" s="71" customFormat="1">
      <c r="A876" s="87"/>
      <c r="B876" s="30"/>
      <c r="C876" s="70"/>
      <c r="G876" s="30"/>
      <c r="H876" s="77"/>
      <c r="I876" s="77"/>
      <c r="J876" s="58"/>
      <c r="K876" s="58"/>
    </row>
    <row r="877" spans="1:11" s="71" customFormat="1">
      <c r="A877" s="87"/>
      <c r="B877" s="30"/>
      <c r="C877" s="70"/>
      <c r="G877" s="30"/>
      <c r="H877" s="77"/>
      <c r="I877" s="77"/>
      <c r="J877" s="58"/>
      <c r="K877" s="58"/>
    </row>
    <row r="878" spans="1:11" s="71" customFormat="1">
      <c r="A878" s="87"/>
      <c r="B878" s="30"/>
      <c r="C878" s="70"/>
      <c r="G878" s="30"/>
      <c r="H878" s="77"/>
      <c r="I878" s="77"/>
      <c r="J878" s="58"/>
      <c r="K878" s="58"/>
    </row>
    <row r="879" spans="1:11" s="71" customFormat="1">
      <c r="A879" s="87"/>
      <c r="B879" s="30"/>
      <c r="C879" s="70"/>
      <c r="G879" s="30"/>
      <c r="H879" s="77"/>
      <c r="I879" s="77"/>
      <c r="J879" s="58"/>
      <c r="K879" s="58"/>
    </row>
    <row r="880" spans="1:11" s="71" customFormat="1">
      <c r="A880" s="87"/>
      <c r="B880" s="30"/>
      <c r="C880" s="70"/>
      <c r="G880" s="30"/>
      <c r="H880" s="77"/>
      <c r="I880" s="77"/>
      <c r="J880" s="58"/>
      <c r="K880" s="58"/>
    </row>
    <row r="881" spans="1:11" s="71" customFormat="1">
      <c r="A881" s="87"/>
      <c r="B881" s="30"/>
      <c r="C881" s="70"/>
      <c r="G881" s="30"/>
      <c r="H881" s="77"/>
      <c r="I881" s="77"/>
      <c r="J881" s="58"/>
      <c r="K881" s="58"/>
    </row>
    <row r="882" spans="1:11" s="71" customFormat="1">
      <c r="A882" s="87"/>
      <c r="B882" s="30"/>
      <c r="C882" s="70"/>
      <c r="G882" s="30"/>
      <c r="H882" s="77"/>
      <c r="I882" s="77"/>
      <c r="J882" s="58"/>
      <c r="K882" s="58"/>
    </row>
    <row r="883" spans="1:11" s="71" customFormat="1">
      <c r="A883" s="87"/>
      <c r="B883" s="30"/>
      <c r="C883" s="70"/>
      <c r="G883" s="30"/>
      <c r="H883" s="77"/>
      <c r="I883" s="77"/>
      <c r="J883" s="58"/>
      <c r="K883" s="58"/>
    </row>
    <row r="884" spans="1:11" s="71" customFormat="1">
      <c r="A884" s="87"/>
      <c r="B884" s="30"/>
      <c r="C884" s="70"/>
      <c r="G884" s="30"/>
      <c r="H884" s="77"/>
      <c r="I884" s="77"/>
      <c r="J884" s="58"/>
      <c r="K884" s="58"/>
    </row>
    <row r="885" spans="1:11" s="71" customFormat="1">
      <c r="A885" s="87"/>
      <c r="B885" s="30"/>
      <c r="C885" s="70"/>
      <c r="G885" s="30"/>
      <c r="H885" s="77"/>
      <c r="I885" s="77"/>
      <c r="J885" s="58"/>
      <c r="K885" s="58"/>
    </row>
    <row r="886" spans="1:11" s="71" customFormat="1">
      <c r="A886" s="87"/>
      <c r="B886" s="30"/>
      <c r="C886" s="70"/>
      <c r="G886" s="30"/>
      <c r="H886" s="77"/>
      <c r="I886" s="77"/>
      <c r="J886" s="58"/>
      <c r="K886" s="58"/>
    </row>
    <row r="887" spans="1:11" s="71" customFormat="1">
      <c r="A887" s="87"/>
      <c r="B887" s="30"/>
      <c r="C887" s="70"/>
      <c r="G887" s="30"/>
      <c r="H887" s="77"/>
      <c r="I887" s="77"/>
      <c r="J887" s="58"/>
      <c r="K887" s="58"/>
    </row>
    <row r="888" spans="1:11" s="71" customFormat="1">
      <c r="A888" s="87"/>
      <c r="B888" s="30"/>
      <c r="C888" s="70"/>
      <c r="G888" s="30"/>
      <c r="H888" s="77"/>
      <c r="I888" s="77"/>
      <c r="J888" s="58"/>
      <c r="K888" s="58"/>
    </row>
    <row r="889" spans="1:11" s="71" customFormat="1">
      <c r="A889" s="87"/>
      <c r="B889" s="30"/>
      <c r="C889" s="70"/>
      <c r="G889" s="30"/>
      <c r="H889" s="77"/>
      <c r="I889" s="77"/>
      <c r="J889" s="58"/>
      <c r="K889" s="58"/>
    </row>
    <row r="890" spans="1:11" s="71" customFormat="1">
      <c r="A890" s="87"/>
      <c r="B890" s="30"/>
      <c r="C890" s="70"/>
      <c r="G890" s="30"/>
      <c r="H890" s="77"/>
      <c r="I890" s="77"/>
      <c r="J890" s="58"/>
      <c r="K890" s="58"/>
    </row>
    <row r="891" spans="1:11" s="71" customFormat="1">
      <c r="A891" s="87"/>
      <c r="B891" s="30"/>
      <c r="C891" s="70"/>
      <c r="G891" s="30"/>
      <c r="H891" s="77"/>
      <c r="I891" s="77"/>
      <c r="J891" s="58"/>
      <c r="K891" s="58"/>
    </row>
    <row r="892" spans="1:11" s="71" customFormat="1">
      <c r="A892" s="87"/>
      <c r="B892" s="30"/>
      <c r="C892" s="70"/>
      <c r="G892" s="30"/>
      <c r="H892" s="77"/>
      <c r="I892" s="77"/>
      <c r="J892" s="58"/>
      <c r="K892" s="58"/>
    </row>
    <row r="893" spans="1:11" s="71" customFormat="1">
      <c r="A893" s="87"/>
      <c r="B893" s="30"/>
      <c r="C893" s="70"/>
      <c r="G893" s="30"/>
      <c r="H893" s="77"/>
      <c r="I893" s="77"/>
      <c r="J893" s="58"/>
      <c r="K893" s="58"/>
    </row>
    <row r="894" spans="1:11" s="71" customFormat="1">
      <c r="A894" s="87"/>
      <c r="B894" s="30"/>
      <c r="C894" s="70"/>
      <c r="G894" s="30"/>
      <c r="H894" s="77"/>
      <c r="I894" s="77"/>
      <c r="J894" s="58"/>
      <c r="K894" s="58"/>
    </row>
    <row r="895" spans="1:11" s="71" customFormat="1">
      <c r="A895" s="87"/>
      <c r="B895" s="30"/>
      <c r="C895" s="70"/>
      <c r="G895" s="30"/>
      <c r="H895" s="77"/>
      <c r="I895" s="77"/>
      <c r="J895" s="58"/>
      <c r="K895" s="58"/>
    </row>
    <row r="896" spans="1:11" s="71" customFormat="1">
      <c r="A896" s="87"/>
      <c r="B896" s="30"/>
      <c r="C896" s="70"/>
      <c r="G896" s="30"/>
      <c r="H896" s="77"/>
      <c r="I896" s="77"/>
      <c r="J896" s="58"/>
      <c r="K896" s="58"/>
    </row>
    <row r="897" spans="1:11" s="71" customFormat="1">
      <c r="A897" s="87"/>
      <c r="B897" s="30"/>
      <c r="C897" s="70"/>
      <c r="G897" s="30"/>
      <c r="H897" s="77"/>
      <c r="I897" s="77"/>
      <c r="J897" s="58"/>
      <c r="K897" s="58"/>
    </row>
    <row r="898" spans="1:11" s="71" customFormat="1">
      <c r="A898" s="87"/>
      <c r="B898" s="30"/>
      <c r="C898" s="70"/>
      <c r="G898" s="30"/>
      <c r="H898" s="77"/>
      <c r="I898" s="77"/>
      <c r="J898" s="58"/>
      <c r="K898" s="58"/>
    </row>
    <row r="899" spans="1:11" s="71" customFormat="1">
      <c r="A899" s="87"/>
      <c r="B899" s="30"/>
      <c r="C899" s="70"/>
      <c r="G899" s="30"/>
      <c r="H899" s="77"/>
      <c r="I899" s="77"/>
      <c r="J899" s="58"/>
      <c r="K899" s="58"/>
    </row>
    <row r="900" spans="1:11" s="71" customFormat="1">
      <c r="A900" s="87"/>
      <c r="B900" s="30"/>
      <c r="C900" s="70"/>
      <c r="G900" s="30"/>
      <c r="H900" s="77"/>
      <c r="I900" s="77"/>
      <c r="J900" s="58"/>
      <c r="K900" s="58"/>
    </row>
    <row r="901" spans="1:11" s="71" customFormat="1">
      <c r="A901" s="87"/>
      <c r="B901" s="30"/>
      <c r="C901" s="70"/>
      <c r="G901" s="30"/>
      <c r="H901" s="77"/>
      <c r="I901" s="77"/>
      <c r="J901" s="58"/>
      <c r="K901" s="58"/>
    </row>
    <row r="902" spans="1:11" s="71" customFormat="1">
      <c r="A902" s="87"/>
      <c r="B902" s="30"/>
      <c r="C902" s="70"/>
      <c r="G902" s="30"/>
      <c r="H902" s="77"/>
      <c r="I902" s="77"/>
      <c r="J902" s="58"/>
      <c r="K902" s="58"/>
    </row>
    <row r="903" spans="1:11" s="71" customFormat="1">
      <c r="A903" s="87"/>
      <c r="B903" s="30"/>
      <c r="C903" s="70"/>
      <c r="G903" s="30"/>
      <c r="H903" s="77"/>
      <c r="I903" s="77"/>
      <c r="J903" s="58"/>
      <c r="K903" s="58"/>
    </row>
    <row r="904" spans="1:11" s="71" customFormat="1">
      <c r="A904" s="87"/>
      <c r="B904" s="30"/>
      <c r="C904" s="70"/>
      <c r="G904" s="30"/>
      <c r="H904" s="77"/>
      <c r="I904" s="77"/>
      <c r="J904" s="58"/>
      <c r="K904" s="58"/>
    </row>
    <row r="905" spans="1:11" s="71" customFormat="1">
      <c r="A905" s="87"/>
      <c r="B905" s="30"/>
      <c r="C905" s="70"/>
      <c r="G905" s="30"/>
      <c r="H905" s="77"/>
      <c r="I905" s="77"/>
      <c r="J905" s="58"/>
      <c r="K905" s="58"/>
    </row>
    <row r="906" spans="1:11" s="71" customFormat="1">
      <c r="A906" s="87"/>
      <c r="B906" s="30"/>
      <c r="C906" s="70"/>
      <c r="G906" s="30"/>
      <c r="H906" s="77"/>
      <c r="I906" s="77"/>
      <c r="J906" s="58"/>
      <c r="K906" s="58"/>
    </row>
    <row r="907" spans="1:11" s="71" customFormat="1">
      <c r="A907" s="87"/>
      <c r="B907" s="30"/>
      <c r="C907" s="70"/>
      <c r="G907" s="30"/>
      <c r="H907" s="77"/>
      <c r="I907" s="77"/>
      <c r="J907" s="58"/>
      <c r="K907" s="58"/>
    </row>
    <row r="908" spans="1:11" s="71" customFormat="1">
      <c r="A908" s="87"/>
      <c r="B908" s="30"/>
      <c r="C908" s="70"/>
      <c r="G908" s="30"/>
      <c r="H908" s="77"/>
      <c r="I908" s="77"/>
      <c r="J908" s="58"/>
      <c r="K908" s="58"/>
    </row>
    <row r="909" spans="1:11" s="71" customFormat="1">
      <c r="A909" s="87"/>
      <c r="B909" s="30"/>
      <c r="C909" s="70"/>
      <c r="G909" s="30"/>
      <c r="H909" s="77"/>
      <c r="I909" s="77"/>
      <c r="J909" s="58"/>
      <c r="K909" s="58"/>
    </row>
    <row r="910" spans="1:11" s="71" customFormat="1">
      <c r="A910" s="87"/>
      <c r="B910" s="30"/>
      <c r="C910" s="70"/>
      <c r="G910" s="30"/>
      <c r="H910" s="77"/>
      <c r="I910" s="77"/>
      <c r="J910" s="58"/>
      <c r="K910" s="58"/>
    </row>
    <row r="911" spans="1:11" s="71" customFormat="1">
      <c r="A911" s="87"/>
      <c r="B911" s="30"/>
      <c r="C911" s="70"/>
      <c r="G911" s="30"/>
      <c r="H911" s="77"/>
      <c r="I911" s="77"/>
      <c r="J911" s="58"/>
      <c r="K911" s="58"/>
    </row>
    <row r="912" spans="1:11" s="71" customFormat="1">
      <c r="A912" s="87"/>
      <c r="B912" s="30"/>
      <c r="C912" s="70"/>
      <c r="G912" s="30"/>
      <c r="H912" s="77"/>
      <c r="I912" s="77"/>
      <c r="J912" s="58"/>
      <c r="K912" s="58"/>
    </row>
    <row r="913" spans="1:11" s="71" customFormat="1">
      <c r="A913" s="87"/>
      <c r="B913" s="30"/>
      <c r="C913" s="70"/>
      <c r="G913" s="30"/>
      <c r="H913" s="77"/>
      <c r="I913" s="77"/>
      <c r="J913" s="58"/>
      <c r="K913" s="58"/>
    </row>
    <row r="914" spans="1:11" s="71" customFormat="1">
      <c r="A914" s="87"/>
      <c r="B914" s="30"/>
      <c r="C914" s="70"/>
      <c r="G914" s="30"/>
      <c r="H914" s="77"/>
      <c r="I914" s="77"/>
      <c r="J914" s="58"/>
      <c r="K914" s="58"/>
    </row>
    <row r="915" spans="1:11" s="71" customFormat="1">
      <c r="A915" s="87"/>
      <c r="B915" s="30"/>
      <c r="C915" s="70"/>
      <c r="G915" s="30"/>
      <c r="H915" s="77"/>
      <c r="I915" s="77"/>
      <c r="J915" s="58"/>
      <c r="K915" s="58"/>
    </row>
    <row r="916" spans="1:11" s="71" customFormat="1">
      <c r="A916" s="87"/>
      <c r="B916" s="30"/>
      <c r="C916" s="70"/>
      <c r="G916" s="30"/>
      <c r="H916" s="77"/>
      <c r="I916" s="77"/>
      <c r="J916" s="58"/>
      <c r="K916" s="58"/>
    </row>
    <row r="917" spans="1:11" s="71" customFormat="1">
      <c r="A917" s="87"/>
      <c r="B917" s="30"/>
      <c r="C917" s="70"/>
      <c r="G917" s="30"/>
      <c r="H917" s="77"/>
      <c r="I917" s="77"/>
      <c r="J917" s="58"/>
      <c r="K917" s="58"/>
    </row>
    <row r="918" spans="1:11" s="71" customFormat="1">
      <c r="A918" s="87"/>
      <c r="B918" s="30"/>
      <c r="C918" s="70"/>
      <c r="G918" s="30"/>
      <c r="H918" s="77"/>
      <c r="I918" s="77"/>
      <c r="J918" s="58"/>
      <c r="K918" s="58"/>
    </row>
    <row r="919" spans="1:11" s="71" customFormat="1">
      <c r="A919" s="87"/>
      <c r="B919" s="30"/>
      <c r="C919" s="70"/>
      <c r="G919" s="30"/>
      <c r="H919" s="77"/>
      <c r="I919" s="77"/>
      <c r="J919" s="58"/>
      <c r="K919" s="58"/>
    </row>
    <row r="920" spans="1:11" s="71" customFormat="1">
      <c r="A920" s="87"/>
      <c r="B920" s="30"/>
      <c r="C920" s="70"/>
      <c r="G920" s="30"/>
      <c r="H920" s="77"/>
      <c r="I920" s="77"/>
      <c r="J920" s="58"/>
      <c r="K920" s="58"/>
    </row>
    <row r="921" spans="1:11" s="71" customFormat="1">
      <c r="A921" s="87"/>
      <c r="B921" s="30"/>
      <c r="C921" s="70"/>
      <c r="G921" s="30"/>
      <c r="H921" s="77"/>
      <c r="I921" s="77"/>
      <c r="J921" s="58"/>
      <c r="K921" s="58"/>
    </row>
    <row r="922" spans="1:11" s="71" customFormat="1">
      <c r="A922" s="87"/>
      <c r="B922" s="30"/>
      <c r="C922" s="70"/>
      <c r="G922" s="30"/>
      <c r="H922" s="77"/>
      <c r="I922" s="77"/>
      <c r="J922" s="58"/>
      <c r="K922" s="58"/>
    </row>
    <row r="923" spans="1:11" s="71" customFormat="1">
      <c r="A923" s="87"/>
      <c r="B923" s="30"/>
      <c r="C923" s="70"/>
      <c r="G923" s="30"/>
      <c r="H923" s="77"/>
      <c r="I923" s="77"/>
      <c r="J923" s="58"/>
      <c r="K923" s="58"/>
    </row>
    <row r="924" spans="1:11" s="71" customFormat="1">
      <c r="A924" s="87"/>
      <c r="B924" s="30"/>
      <c r="C924" s="70"/>
      <c r="G924" s="30"/>
      <c r="H924" s="77"/>
      <c r="I924" s="77"/>
      <c r="J924" s="58"/>
      <c r="K924" s="58"/>
    </row>
    <row r="925" spans="1:11" s="71" customFormat="1">
      <c r="A925" s="87"/>
      <c r="B925" s="30"/>
      <c r="C925" s="70"/>
      <c r="G925" s="30"/>
      <c r="H925" s="77"/>
      <c r="I925" s="77"/>
      <c r="J925" s="58"/>
      <c r="K925" s="58"/>
    </row>
    <row r="926" spans="1:11" s="71" customFormat="1">
      <c r="A926" s="87"/>
      <c r="B926" s="30"/>
      <c r="C926" s="70"/>
      <c r="G926" s="30"/>
      <c r="H926" s="77"/>
      <c r="I926" s="77"/>
      <c r="J926" s="58"/>
      <c r="K926" s="58"/>
    </row>
    <row r="927" spans="1:11" s="71" customFormat="1">
      <c r="A927" s="87"/>
      <c r="B927" s="30"/>
      <c r="C927" s="70"/>
      <c r="G927" s="30"/>
      <c r="H927" s="77"/>
      <c r="I927" s="77"/>
      <c r="J927" s="58"/>
      <c r="K927" s="58"/>
    </row>
    <row r="928" spans="1:11" s="71" customFormat="1">
      <c r="A928" s="87"/>
      <c r="B928" s="30"/>
      <c r="C928" s="70"/>
      <c r="G928" s="30"/>
      <c r="H928" s="77"/>
      <c r="I928" s="77"/>
      <c r="J928" s="58"/>
      <c r="K928" s="58"/>
    </row>
    <row r="929" spans="1:11" s="71" customFormat="1">
      <c r="A929" s="87"/>
      <c r="B929" s="30"/>
      <c r="C929" s="70"/>
      <c r="G929" s="30"/>
      <c r="H929" s="77"/>
      <c r="I929" s="77"/>
      <c r="J929" s="58"/>
      <c r="K929" s="58"/>
    </row>
    <row r="930" spans="1:11" s="71" customFormat="1">
      <c r="A930" s="87"/>
      <c r="B930" s="30"/>
      <c r="C930" s="70"/>
      <c r="G930" s="30"/>
      <c r="H930" s="77"/>
      <c r="I930" s="77"/>
      <c r="J930" s="58"/>
      <c r="K930" s="58"/>
    </row>
    <row r="931" spans="1:11" s="71" customFormat="1">
      <c r="A931" s="87"/>
      <c r="B931" s="30"/>
      <c r="C931" s="70"/>
      <c r="G931" s="30"/>
      <c r="H931" s="77"/>
      <c r="I931" s="77"/>
      <c r="J931" s="58"/>
      <c r="K931" s="58"/>
    </row>
    <row r="932" spans="1:11" s="71" customFormat="1">
      <c r="A932" s="87"/>
      <c r="B932" s="30"/>
      <c r="C932" s="70"/>
      <c r="G932" s="30"/>
      <c r="H932" s="77"/>
      <c r="I932" s="77"/>
      <c r="J932" s="58"/>
      <c r="K932" s="58"/>
    </row>
    <row r="933" spans="1:11" s="71" customFormat="1">
      <c r="A933" s="87"/>
      <c r="B933" s="30"/>
      <c r="C933" s="70"/>
      <c r="G933" s="30"/>
      <c r="H933" s="77"/>
      <c r="I933" s="77"/>
      <c r="J933" s="58"/>
      <c r="K933" s="58"/>
    </row>
    <row r="934" spans="1:11" s="71" customFormat="1">
      <c r="A934" s="87"/>
      <c r="B934" s="30"/>
      <c r="C934" s="70"/>
      <c r="G934" s="30"/>
      <c r="H934" s="77"/>
      <c r="I934" s="77"/>
      <c r="J934" s="58"/>
      <c r="K934" s="58"/>
    </row>
    <row r="935" spans="1:11" s="71" customFormat="1">
      <c r="A935" s="87"/>
      <c r="B935" s="30"/>
      <c r="C935" s="70"/>
      <c r="G935" s="30"/>
      <c r="H935" s="77"/>
      <c r="I935" s="77"/>
      <c r="J935" s="58"/>
      <c r="K935" s="58"/>
    </row>
    <row r="936" spans="1:11" s="71" customFormat="1">
      <c r="A936" s="87"/>
      <c r="B936" s="30"/>
      <c r="C936" s="70"/>
      <c r="G936" s="30"/>
      <c r="H936" s="77"/>
      <c r="I936" s="77"/>
      <c r="J936" s="58"/>
      <c r="K936" s="58"/>
    </row>
    <row r="937" spans="1:11" s="71" customFormat="1">
      <c r="A937" s="87"/>
      <c r="B937" s="30"/>
      <c r="C937" s="70"/>
      <c r="G937" s="30"/>
      <c r="H937" s="77"/>
      <c r="I937" s="77"/>
      <c r="J937" s="58"/>
      <c r="K937" s="58"/>
    </row>
    <row r="938" spans="1:11" s="71" customFormat="1">
      <c r="A938" s="87"/>
      <c r="B938" s="30"/>
      <c r="C938" s="70"/>
      <c r="G938" s="30"/>
      <c r="H938" s="77"/>
      <c r="I938" s="77"/>
      <c r="J938" s="58"/>
      <c r="K938" s="58"/>
    </row>
    <row r="939" spans="1:11" s="71" customFormat="1">
      <c r="A939" s="87"/>
      <c r="B939" s="30"/>
      <c r="C939" s="70"/>
      <c r="G939" s="30"/>
      <c r="H939" s="77"/>
      <c r="I939" s="77"/>
      <c r="J939" s="58"/>
      <c r="K939" s="58"/>
    </row>
    <row r="940" spans="1:11" s="71" customFormat="1">
      <c r="A940" s="87"/>
      <c r="B940" s="30"/>
      <c r="C940" s="70"/>
      <c r="G940" s="30"/>
      <c r="H940" s="77"/>
      <c r="I940" s="77"/>
      <c r="J940" s="58"/>
      <c r="K940" s="58"/>
    </row>
    <row r="941" spans="1:11" s="71" customFormat="1">
      <c r="A941" s="87"/>
      <c r="B941" s="30"/>
      <c r="C941" s="70"/>
      <c r="G941" s="30"/>
      <c r="H941" s="77"/>
      <c r="I941" s="77"/>
      <c r="J941" s="58"/>
      <c r="K941" s="58"/>
    </row>
    <row r="942" spans="1:11" s="71" customFormat="1">
      <c r="A942" s="87"/>
      <c r="B942" s="30"/>
      <c r="C942" s="70"/>
      <c r="G942" s="30"/>
      <c r="H942" s="77"/>
      <c r="I942" s="77"/>
      <c r="J942" s="58"/>
      <c r="K942" s="58"/>
    </row>
    <row r="943" spans="1:11" s="71" customFormat="1">
      <c r="A943" s="87"/>
      <c r="B943" s="30"/>
      <c r="C943" s="70"/>
      <c r="G943" s="30"/>
      <c r="H943" s="77"/>
      <c r="I943" s="77"/>
      <c r="J943" s="58"/>
      <c r="K943" s="58"/>
    </row>
    <row r="944" spans="1:11" s="71" customFormat="1">
      <c r="A944" s="87"/>
      <c r="B944" s="30"/>
      <c r="C944" s="70"/>
      <c r="G944" s="30"/>
      <c r="H944" s="77"/>
      <c r="I944" s="77"/>
      <c r="J944" s="58"/>
      <c r="K944" s="58"/>
    </row>
    <row r="945" spans="1:11" s="71" customFormat="1">
      <c r="A945" s="87"/>
      <c r="B945" s="30"/>
      <c r="C945" s="70"/>
      <c r="G945" s="30"/>
      <c r="H945" s="77"/>
      <c r="I945" s="77"/>
      <c r="J945" s="58"/>
      <c r="K945" s="58"/>
    </row>
    <row r="946" spans="1:11" s="71" customFormat="1">
      <c r="A946" s="87"/>
      <c r="B946" s="30"/>
      <c r="C946" s="70"/>
      <c r="G946" s="30"/>
      <c r="H946" s="77"/>
      <c r="I946" s="77"/>
      <c r="J946" s="58"/>
      <c r="K946" s="58"/>
    </row>
    <row r="947" spans="1:11" s="71" customFormat="1">
      <c r="A947" s="87"/>
      <c r="B947" s="30"/>
      <c r="C947" s="70"/>
      <c r="G947" s="30"/>
      <c r="H947" s="77"/>
      <c r="I947" s="77"/>
      <c r="J947" s="58"/>
      <c r="K947" s="58"/>
    </row>
    <row r="948" spans="1:11" s="71" customFormat="1">
      <c r="A948" s="87"/>
      <c r="B948" s="30"/>
      <c r="C948" s="70"/>
      <c r="G948" s="30"/>
      <c r="H948" s="77"/>
      <c r="I948" s="77"/>
      <c r="J948" s="58"/>
      <c r="K948" s="58"/>
    </row>
    <row r="949" spans="1:11" s="71" customFormat="1">
      <c r="A949" s="87"/>
      <c r="B949" s="30"/>
      <c r="C949" s="70"/>
      <c r="G949" s="30"/>
      <c r="H949" s="77"/>
      <c r="I949" s="77"/>
      <c r="J949" s="58"/>
      <c r="K949" s="58"/>
    </row>
    <row r="950" spans="1:11" s="71" customFormat="1">
      <c r="A950" s="87"/>
      <c r="B950" s="30"/>
      <c r="C950" s="70"/>
      <c r="G950" s="30"/>
      <c r="H950" s="77"/>
      <c r="I950" s="77"/>
      <c r="J950" s="58"/>
      <c r="K950" s="58"/>
    </row>
    <row r="951" spans="1:11" s="71" customFormat="1">
      <c r="A951" s="87"/>
      <c r="B951" s="30"/>
      <c r="C951" s="70"/>
      <c r="G951" s="30"/>
      <c r="H951" s="77"/>
      <c r="I951" s="77"/>
      <c r="J951" s="58"/>
      <c r="K951" s="58"/>
    </row>
    <row r="952" spans="1:11" s="71" customFormat="1">
      <c r="A952" s="87"/>
      <c r="B952" s="30"/>
      <c r="C952" s="70"/>
      <c r="G952" s="30"/>
      <c r="H952" s="77"/>
      <c r="I952" s="77"/>
      <c r="J952" s="58"/>
      <c r="K952" s="58"/>
    </row>
    <row r="953" spans="1:11" s="71" customFormat="1">
      <c r="A953" s="87"/>
      <c r="B953" s="30"/>
      <c r="C953" s="70"/>
      <c r="G953" s="30"/>
      <c r="H953" s="77"/>
      <c r="I953" s="77"/>
      <c r="J953" s="58"/>
      <c r="K953" s="58"/>
    </row>
    <row r="954" spans="1:11" s="71" customFormat="1">
      <c r="A954" s="87"/>
      <c r="B954" s="30"/>
      <c r="C954" s="70"/>
      <c r="G954" s="30"/>
      <c r="H954" s="77"/>
      <c r="I954" s="77"/>
      <c r="J954" s="58"/>
      <c r="K954" s="58"/>
    </row>
    <row r="955" spans="1:11" s="71" customFormat="1">
      <c r="A955" s="87"/>
      <c r="B955" s="30"/>
      <c r="C955" s="70"/>
      <c r="G955" s="30"/>
      <c r="H955" s="77"/>
      <c r="I955" s="77"/>
      <c r="J955" s="58"/>
      <c r="K955" s="58"/>
    </row>
    <row r="956" spans="1:11" s="71" customFormat="1">
      <c r="A956" s="87"/>
      <c r="B956" s="30"/>
      <c r="C956" s="70"/>
      <c r="G956" s="30"/>
      <c r="H956" s="77"/>
      <c r="I956" s="77"/>
      <c r="J956" s="58"/>
      <c r="K956" s="58"/>
    </row>
    <row r="957" spans="1:11" s="71" customFormat="1">
      <c r="A957" s="87"/>
      <c r="B957" s="30"/>
      <c r="C957" s="70"/>
      <c r="G957" s="30"/>
      <c r="H957" s="77"/>
      <c r="I957" s="77"/>
      <c r="J957" s="58"/>
      <c r="K957" s="58"/>
    </row>
    <row r="958" spans="1:11" s="71" customFormat="1">
      <c r="A958" s="87"/>
      <c r="B958" s="30"/>
      <c r="C958" s="70"/>
      <c r="G958" s="30"/>
      <c r="H958" s="77"/>
      <c r="I958" s="77"/>
      <c r="J958" s="58"/>
      <c r="K958" s="58"/>
    </row>
    <row r="959" spans="1:11" s="71" customFormat="1">
      <c r="A959" s="87"/>
      <c r="B959" s="30"/>
      <c r="C959" s="70"/>
      <c r="G959" s="30"/>
      <c r="H959" s="77"/>
      <c r="I959" s="77"/>
      <c r="J959" s="58"/>
      <c r="K959" s="58"/>
    </row>
    <row r="960" spans="1:11" s="71" customFormat="1">
      <c r="A960" s="87"/>
      <c r="B960" s="30"/>
      <c r="C960" s="70"/>
      <c r="G960" s="30"/>
      <c r="H960" s="77"/>
      <c r="I960" s="77"/>
      <c r="J960" s="58"/>
      <c r="K960" s="58"/>
    </row>
    <row r="961" spans="1:11" s="71" customFormat="1">
      <c r="A961" s="87"/>
      <c r="B961" s="30"/>
      <c r="C961" s="70"/>
      <c r="G961" s="30"/>
      <c r="H961" s="77"/>
      <c r="I961" s="77"/>
      <c r="J961" s="58"/>
      <c r="K961" s="58"/>
    </row>
    <row r="962" spans="1:11" s="71" customFormat="1">
      <c r="A962" s="87"/>
      <c r="B962" s="30"/>
      <c r="C962" s="70"/>
      <c r="G962" s="30"/>
      <c r="H962" s="77"/>
      <c r="I962" s="77"/>
      <c r="J962" s="58"/>
      <c r="K962" s="58"/>
    </row>
    <row r="963" spans="1:11" s="71" customFormat="1">
      <c r="A963" s="87"/>
      <c r="B963" s="30"/>
      <c r="C963" s="70"/>
      <c r="G963" s="30"/>
      <c r="H963" s="77"/>
      <c r="I963" s="77"/>
      <c r="J963" s="58"/>
      <c r="K963" s="58"/>
    </row>
    <row r="964" spans="1:11" s="71" customFormat="1">
      <c r="A964" s="87"/>
      <c r="B964" s="30"/>
      <c r="C964" s="70"/>
      <c r="G964" s="30"/>
      <c r="H964" s="77"/>
      <c r="I964" s="77"/>
      <c r="J964" s="58"/>
      <c r="K964" s="58"/>
    </row>
    <row r="965" spans="1:11" s="71" customFormat="1">
      <c r="A965" s="87"/>
      <c r="B965" s="30"/>
      <c r="C965" s="70"/>
      <c r="G965" s="30"/>
      <c r="H965" s="77"/>
      <c r="I965" s="77"/>
      <c r="J965" s="58"/>
      <c r="K965" s="58"/>
    </row>
    <row r="966" spans="1:11" s="71" customFormat="1">
      <c r="A966" s="87"/>
      <c r="B966" s="30"/>
      <c r="C966" s="70"/>
      <c r="G966" s="30"/>
      <c r="H966" s="77"/>
      <c r="I966" s="77"/>
      <c r="J966" s="58"/>
      <c r="K966" s="58"/>
    </row>
    <row r="967" spans="1:11" s="71" customFormat="1">
      <c r="A967" s="87"/>
      <c r="B967" s="30"/>
      <c r="C967" s="70"/>
      <c r="G967" s="30"/>
      <c r="H967" s="77"/>
      <c r="I967" s="77"/>
      <c r="J967" s="58"/>
      <c r="K967" s="58"/>
    </row>
    <row r="968" spans="1:11" s="71" customFormat="1">
      <c r="A968" s="87"/>
      <c r="B968" s="30"/>
      <c r="C968" s="70"/>
      <c r="G968" s="30"/>
      <c r="H968" s="77"/>
      <c r="I968" s="77"/>
      <c r="J968" s="58"/>
      <c r="K968" s="58"/>
    </row>
    <row r="969" spans="1:11" s="71" customFormat="1">
      <c r="A969" s="87"/>
      <c r="B969" s="30"/>
      <c r="C969" s="70"/>
      <c r="G969" s="30"/>
      <c r="H969" s="77"/>
      <c r="I969" s="77"/>
      <c r="J969" s="58"/>
      <c r="K969" s="58"/>
    </row>
    <row r="970" spans="1:11" s="71" customFormat="1">
      <c r="A970" s="87"/>
      <c r="B970" s="30"/>
      <c r="C970" s="70"/>
      <c r="G970" s="30"/>
      <c r="H970" s="77"/>
      <c r="I970" s="77"/>
      <c r="J970" s="58"/>
      <c r="K970" s="58"/>
    </row>
    <row r="971" spans="1:11" s="71" customFormat="1">
      <c r="A971" s="87"/>
      <c r="B971" s="30"/>
      <c r="C971" s="70"/>
      <c r="G971" s="30"/>
      <c r="H971" s="77"/>
      <c r="I971" s="77"/>
      <c r="J971" s="58"/>
      <c r="K971" s="58"/>
    </row>
    <row r="972" spans="1:11" s="71" customFormat="1">
      <c r="A972" s="87"/>
      <c r="B972" s="30"/>
      <c r="C972" s="70"/>
      <c r="G972" s="30"/>
      <c r="H972" s="77"/>
      <c r="I972" s="77"/>
      <c r="J972" s="58"/>
      <c r="K972" s="58"/>
    </row>
    <row r="973" spans="1:11" s="71" customFormat="1">
      <c r="A973" s="87"/>
      <c r="B973" s="30"/>
      <c r="C973" s="70"/>
      <c r="G973" s="30"/>
      <c r="H973" s="77"/>
      <c r="I973" s="77"/>
      <c r="J973" s="58"/>
      <c r="K973" s="58"/>
    </row>
    <row r="974" spans="1:11" s="71" customFormat="1">
      <c r="A974" s="87"/>
      <c r="B974" s="30"/>
      <c r="C974" s="70"/>
      <c r="G974" s="30"/>
      <c r="H974" s="77"/>
      <c r="I974" s="77"/>
      <c r="J974" s="58"/>
      <c r="K974" s="58"/>
    </row>
    <row r="975" spans="1:11" s="71" customFormat="1">
      <c r="A975" s="87"/>
      <c r="B975" s="30"/>
      <c r="C975" s="70"/>
      <c r="G975" s="30"/>
      <c r="H975" s="77"/>
      <c r="I975" s="77"/>
      <c r="J975" s="58"/>
      <c r="K975" s="58"/>
    </row>
    <row r="976" spans="1:11" s="71" customFormat="1">
      <c r="A976" s="87"/>
      <c r="B976" s="30"/>
      <c r="C976" s="70"/>
      <c r="G976" s="30"/>
      <c r="H976" s="77"/>
      <c r="I976" s="77"/>
      <c r="J976" s="58"/>
      <c r="K976" s="58"/>
    </row>
    <row r="977" spans="1:11" s="71" customFormat="1">
      <c r="A977" s="87"/>
      <c r="B977" s="30"/>
      <c r="C977" s="70"/>
      <c r="G977" s="30"/>
      <c r="H977" s="77"/>
      <c r="I977" s="77"/>
      <c r="J977" s="58"/>
      <c r="K977" s="58"/>
    </row>
    <row r="978" spans="1:11" s="71" customFormat="1">
      <c r="A978" s="87"/>
      <c r="B978" s="30"/>
      <c r="C978" s="70"/>
      <c r="G978" s="30"/>
      <c r="H978" s="77"/>
      <c r="I978" s="77"/>
      <c r="J978" s="58"/>
      <c r="K978" s="58"/>
    </row>
    <row r="979" spans="1:11" s="71" customFormat="1">
      <c r="A979" s="87"/>
      <c r="B979" s="30"/>
      <c r="C979" s="70"/>
      <c r="G979" s="30"/>
      <c r="H979" s="77"/>
      <c r="I979" s="77"/>
      <c r="J979" s="58"/>
      <c r="K979" s="58"/>
    </row>
    <row r="980" spans="1:11" s="71" customFormat="1">
      <c r="A980" s="87"/>
      <c r="B980" s="30"/>
      <c r="C980" s="70"/>
      <c r="G980" s="30"/>
      <c r="H980" s="77"/>
      <c r="I980" s="77"/>
      <c r="J980" s="58"/>
      <c r="K980" s="58"/>
    </row>
    <row r="981" spans="1:11" s="71" customFormat="1">
      <c r="A981" s="87"/>
      <c r="B981" s="30"/>
      <c r="C981" s="70"/>
      <c r="G981" s="30"/>
      <c r="H981" s="77"/>
      <c r="I981" s="77"/>
      <c r="J981" s="58"/>
      <c r="K981" s="58"/>
    </row>
    <row r="982" spans="1:11" s="71" customFormat="1">
      <c r="A982" s="87"/>
      <c r="B982" s="30"/>
      <c r="C982" s="70"/>
      <c r="G982" s="30"/>
      <c r="H982" s="77"/>
      <c r="I982" s="77"/>
      <c r="J982" s="58"/>
      <c r="K982" s="58"/>
    </row>
    <row r="983" spans="1:11" s="71" customFormat="1">
      <c r="A983" s="87"/>
      <c r="B983" s="30"/>
      <c r="C983" s="70"/>
      <c r="G983" s="30"/>
      <c r="H983" s="77"/>
      <c r="I983" s="77"/>
      <c r="J983" s="58"/>
      <c r="K983" s="58"/>
    </row>
    <row r="984" spans="1:11" s="71" customFormat="1">
      <c r="A984" s="87"/>
      <c r="B984" s="30"/>
      <c r="C984" s="70"/>
      <c r="G984" s="30"/>
      <c r="H984" s="77"/>
      <c r="I984" s="77"/>
      <c r="J984" s="58"/>
      <c r="K984" s="58"/>
    </row>
    <row r="985" spans="1:11" s="71" customFormat="1">
      <c r="A985" s="87"/>
      <c r="B985" s="30"/>
      <c r="C985" s="70"/>
      <c r="G985" s="30"/>
      <c r="H985" s="77"/>
      <c r="I985" s="77"/>
      <c r="J985" s="58"/>
      <c r="K985" s="58"/>
    </row>
    <row r="986" spans="1:11" s="71" customFormat="1">
      <c r="A986" s="87"/>
      <c r="B986" s="30"/>
      <c r="C986" s="70"/>
      <c r="G986" s="30"/>
      <c r="H986" s="77"/>
      <c r="I986" s="77"/>
      <c r="J986" s="58"/>
      <c r="K986" s="58"/>
    </row>
    <row r="987" spans="1:11" s="71" customFormat="1">
      <c r="A987" s="87"/>
      <c r="B987" s="30"/>
      <c r="C987" s="70"/>
      <c r="G987" s="30"/>
      <c r="H987" s="77"/>
      <c r="I987" s="77"/>
      <c r="J987" s="58"/>
      <c r="K987" s="58"/>
    </row>
    <row r="988" spans="1:11" s="71" customFormat="1">
      <c r="A988" s="87"/>
      <c r="B988" s="30"/>
      <c r="C988" s="70"/>
      <c r="G988" s="30"/>
      <c r="H988" s="77"/>
      <c r="I988" s="77"/>
      <c r="J988" s="58"/>
      <c r="K988" s="58"/>
    </row>
    <row r="989" spans="1:11" s="71" customFormat="1">
      <c r="A989" s="87"/>
      <c r="B989" s="30"/>
      <c r="C989" s="70"/>
      <c r="G989" s="30"/>
      <c r="H989" s="77"/>
      <c r="I989" s="77"/>
      <c r="J989" s="58"/>
      <c r="K989" s="58"/>
    </row>
    <row r="990" spans="1:11" s="71" customFormat="1">
      <c r="A990" s="87"/>
      <c r="B990" s="30"/>
      <c r="C990" s="70"/>
      <c r="G990" s="30"/>
      <c r="H990" s="77"/>
      <c r="I990" s="77"/>
      <c r="J990" s="58"/>
      <c r="K990" s="58"/>
    </row>
    <row r="991" spans="1:11" s="71" customFormat="1">
      <c r="A991" s="87"/>
      <c r="B991" s="30"/>
      <c r="C991" s="70"/>
      <c r="G991" s="30"/>
      <c r="H991" s="77"/>
      <c r="I991" s="77"/>
      <c r="J991" s="58"/>
      <c r="K991" s="58"/>
    </row>
    <row r="992" spans="1:11" s="71" customFormat="1">
      <c r="A992" s="87"/>
      <c r="B992" s="30"/>
      <c r="C992" s="70"/>
      <c r="G992" s="30"/>
      <c r="H992" s="77"/>
      <c r="I992" s="77"/>
      <c r="J992" s="58"/>
      <c r="K992" s="58"/>
    </row>
    <row r="993" spans="1:11" s="71" customFormat="1">
      <c r="A993" s="87"/>
      <c r="B993" s="30"/>
      <c r="C993" s="70"/>
      <c r="G993" s="30"/>
      <c r="H993" s="77"/>
      <c r="I993" s="77"/>
      <c r="J993" s="58"/>
      <c r="K993" s="58"/>
    </row>
    <row r="994" spans="1:11" s="71" customFormat="1">
      <c r="A994" s="87"/>
      <c r="B994" s="30"/>
      <c r="C994" s="70"/>
      <c r="G994" s="30"/>
      <c r="H994" s="77"/>
      <c r="I994" s="77"/>
      <c r="J994" s="58"/>
      <c r="K994" s="58"/>
    </row>
    <row r="995" spans="1:11" s="71" customFormat="1">
      <c r="A995" s="87"/>
      <c r="B995" s="30"/>
      <c r="C995" s="70"/>
      <c r="G995" s="30"/>
      <c r="H995" s="77"/>
      <c r="I995" s="77"/>
      <c r="J995" s="58"/>
      <c r="K995" s="58"/>
    </row>
    <row r="996" spans="1:11" s="71" customFormat="1">
      <c r="A996" s="87"/>
      <c r="B996" s="30"/>
      <c r="C996" s="70"/>
      <c r="G996" s="30"/>
      <c r="H996" s="77"/>
      <c r="I996" s="77"/>
      <c r="J996" s="58"/>
      <c r="K996" s="58"/>
    </row>
    <row r="997" spans="1:11" s="71" customFormat="1">
      <c r="A997" s="87"/>
      <c r="B997" s="30"/>
      <c r="C997" s="70"/>
      <c r="G997" s="30"/>
      <c r="H997" s="77"/>
      <c r="I997" s="77"/>
      <c r="J997" s="58"/>
      <c r="K997" s="58"/>
    </row>
    <row r="998" spans="1:11" s="71" customFormat="1">
      <c r="A998" s="87"/>
      <c r="B998" s="30"/>
      <c r="C998" s="70"/>
      <c r="G998" s="30"/>
      <c r="H998" s="77"/>
      <c r="I998" s="77"/>
      <c r="J998" s="58"/>
      <c r="K998" s="58"/>
    </row>
    <row r="999" spans="1:11" s="71" customFormat="1">
      <c r="A999" s="87"/>
      <c r="B999" s="30"/>
      <c r="C999" s="70"/>
      <c r="G999" s="30"/>
      <c r="H999" s="77"/>
      <c r="I999" s="77"/>
      <c r="J999" s="58"/>
      <c r="K999" s="58"/>
    </row>
    <row r="1000" spans="1:11" s="71" customFormat="1">
      <c r="A1000" s="87"/>
      <c r="B1000" s="30"/>
      <c r="C1000" s="70"/>
      <c r="G1000" s="30"/>
      <c r="H1000" s="77"/>
      <c r="I1000" s="77"/>
      <c r="J1000" s="58"/>
      <c r="K1000" s="58"/>
    </row>
    <row r="1001" spans="1:11" s="71" customFormat="1">
      <c r="A1001" s="87"/>
      <c r="B1001" s="30"/>
      <c r="C1001" s="70"/>
      <c r="G1001" s="30"/>
      <c r="H1001" s="77"/>
      <c r="I1001" s="77"/>
      <c r="J1001" s="58"/>
      <c r="K1001" s="58"/>
    </row>
    <row r="1002" spans="1:11" s="71" customFormat="1">
      <c r="A1002" s="87"/>
      <c r="B1002" s="30"/>
      <c r="C1002" s="70"/>
      <c r="G1002" s="30"/>
      <c r="H1002" s="77"/>
      <c r="I1002" s="77"/>
      <c r="J1002" s="58"/>
      <c r="K1002" s="58"/>
    </row>
    <row r="1003" spans="1:11" s="71" customFormat="1">
      <c r="A1003" s="87"/>
      <c r="B1003" s="30"/>
      <c r="C1003" s="70"/>
      <c r="G1003" s="30"/>
      <c r="H1003" s="77"/>
      <c r="I1003" s="77"/>
      <c r="J1003" s="58"/>
      <c r="K1003" s="58"/>
    </row>
    <row r="1004" spans="1:11" s="71" customFormat="1">
      <c r="A1004" s="87"/>
      <c r="B1004" s="30"/>
      <c r="C1004" s="70"/>
      <c r="G1004" s="30"/>
      <c r="H1004" s="77"/>
      <c r="I1004" s="77"/>
      <c r="J1004" s="58"/>
      <c r="K1004" s="58"/>
    </row>
    <row r="1005" spans="1:11" s="71" customFormat="1">
      <c r="A1005" s="87"/>
      <c r="B1005" s="30"/>
      <c r="C1005" s="70"/>
      <c r="G1005" s="30"/>
      <c r="H1005" s="77"/>
      <c r="I1005" s="77"/>
      <c r="J1005" s="58"/>
      <c r="K1005" s="58"/>
    </row>
    <row r="1006" spans="1:11" s="71" customFormat="1">
      <c r="A1006" s="87"/>
      <c r="B1006" s="30"/>
      <c r="C1006" s="70"/>
      <c r="G1006" s="30"/>
      <c r="H1006" s="77"/>
      <c r="I1006" s="77"/>
      <c r="J1006" s="58"/>
      <c r="K1006" s="58"/>
    </row>
    <row r="1007" spans="1:11" s="71" customFormat="1">
      <c r="A1007" s="87"/>
      <c r="B1007" s="30"/>
      <c r="C1007" s="70"/>
      <c r="G1007" s="30"/>
      <c r="H1007" s="77"/>
      <c r="I1007" s="77"/>
      <c r="J1007" s="58"/>
      <c r="K1007" s="58"/>
    </row>
    <row r="1008" spans="1:11" s="71" customFormat="1">
      <c r="A1008" s="87"/>
      <c r="B1008" s="30"/>
      <c r="C1008" s="70"/>
      <c r="G1008" s="30"/>
      <c r="H1008" s="77"/>
      <c r="I1008" s="77"/>
      <c r="J1008" s="58"/>
      <c r="K1008" s="58"/>
    </row>
    <row r="1009" spans="1:11" s="71" customFormat="1">
      <c r="A1009" s="87"/>
      <c r="B1009" s="30"/>
      <c r="C1009" s="70"/>
      <c r="G1009" s="30"/>
      <c r="H1009" s="77"/>
      <c r="I1009" s="77"/>
      <c r="J1009" s="58"/>
      <c r="K1009" s="58"/>
    </row>
    <row r="1010" spans="1:11" s="71" customFormat="1">
      <c r="A1010" s="87"/>
      <c r="B1010" s="30"/>
      <c r="C1010" s="70"/>
      <c r="G1010" s="30"/>
      <c r="H1010" s="77"/>
      <c r="I1010" s="77"/>
      <c r="J1010" s="58"/>
      <c r="K1010" s="58"/>
    </row>
    <row r="1011" spans="1:11" s="71" customFormat="1">
      <c r="A1011" s="87"/>
      <c r="B1011" s="30"/>
      <c r="C1011" s="70"/>
      <c r="G1011" s="30"/>
      <c r="H1011" s="77"/>
      <c r="I1011" s="77"/>
      <c r="J1011" s="58"/>
      <c r="K1011" s="58"/>
    </row>
    <row r="1012" spans="1:11" s="71" customFormat="1">
      <c r="A1012" s="87"/>
      <c r="B1012" s="30"/>
      <c r="C1012" s="70"/>
      <c r="G1012" s="30"/>
      <c r="H1012" s="77"/>
      <c r="I1012" s="77"/>
      <c r="J1012" s="58"/>
      <c r="K1012" s="58"/>
    </row>
    <row r="1013" spans="1:11" s="71" customFormat="1">
      <c r="A1013" s="87"/>
      <c r="B1013" s="30"/>
      <c r="C1013" s="70"/>
      <c r="G1013" s="30"/>
      <c r="H1013" s="77"/>
      <c r="I1013" s="77"/>
      <c r="J1013" s="58"/>
      <c r="K1013" s="58"/>
    </row>
    <row r="1014" spans="1:11" s="71" customFormat="1">
      <c r="A1014" s="87"/>
      <c r="B1014" s="30"/>
      <c r="C1014" s="70"/>
      <c r="G1014" s="30"/>
      <c r="H1014" s="77"/>
      <c r="I1014" s="77"/>
      <c r="J1014" s="58"/>
      <c r="K1014" s="58"/>
    </row>
    <row r="1015" spans="1:11" s="71" customFormat="1">
      <c r="A1015" s="87"/>
      <c r="B1015" s="30"/>
      <c r="C1015" s="70"/>
      <c r="G1015" s="30"/>
      <c r="H1015" s="77"/>
      <c r="I1015" s="77"/>
      <c r="J1015" s="58"/>
      <c r="K1015" s="58"/>
    </row>
    <row r="1016" spans="1:11" s="71" customFormat="1">
      <c r="A1016" s="87"/>
      <c r="B1016" s="30"/>
      <c r="C1016" s="70"/>
      <c r="G1016" s="30"/>
      <c r="H1016" s="77"/>
      <c r="I1016" s="77"/>
      <c r="J1016" s="58"/>
      <c r="K1016" s="58"/>
    </row>
    <row r="1017" spans="1:11" s="71" customFormat="1">
      <c r="A1017" s="87"/>
      <c r="B1017" s="30"/>
      <c r="C1017" s="70"/>
      <c r="G1017" s="30"/>
      <c r="H1017" s="77"/>
      <c r="I1017" s="77"/>
      <c r="J1017" s="58"/>
      <c r="K1017" s="58"/>
    </row>
    <row r="1018" spans="1:11" s="71" customFormat="1">
      <c r="A1018" s="87"/>
      <c r="B1018" s="30"/>
      <c r="C1018" s="70"/>
      <c r="G1018" s="30"/>
      <c r="H1018" s="77"/>
      <c r="I1018" s="77"/>
      <c r="J1018" s="58"/>
      <c r="K1018" s="58"/>
    </row>
    <row r="1019" spans="1:11" s="71" customFormat="1">
      <c r="A1019" s="87"/>
      <c r="B1019" s="30"/>
      <c r="C1019" s="70"/>
      <c r="G1019" s="30"/>
      <c r="H1019" s="77"/>
      <c r="I1019" s="77"/>
      <c r="J1019" s="58"/>
      <c r="K1019" s="58"/>
    </row>
    <row r="1020" spans="1:11" s="71" customFormat="1">
      <c r="A1020" s="87"/>
      <c r="B1020" s="30"/>
      <c r="C1020" s="70"/>
      <c r="G1020" s="30"/>
      <c r="H1020" s="77"/>
      <c r="I1020" s="77"/>
      <c r="J1020" s="58"/>
      <c r="K1020" s="58"/>
    </row>
    <row r="1021" spans="1:11" s="71" customFormat="1">
      <c r="A1021" s="87"/>
      <c r="B1021" s="30"/>
      <c r="C1021" s="70"/>
      <c r="G1021" s="30"/>
      <c r="H1021" s="77"/>
      <c r="I1021" s="77"/>
      <c r="J1021" s="58"/>
      <c r="K1021" s="58"/>
    </row>
    <row r="1022" spans="1:11" s="71" customFormat="1">
      <c r="A1022" s="87"/>
      <c r="B1022" s="30"/>
      <c r="C1022" s="70"/>
      <c r="G1022" s="30"/>
      <c r="H1022" s="77"/>
      <c r="I1022" s="77"/>
      <c r="J1022" s="58"/>
      <c r="K1022" s="58"/>
    </row>
    <row r="1023" spans="1:11" s="71" customFormat="1">
      <c r="A1023" s="87"/>
      <c r="B1023" s="30"/>
      <c r="C1023" s="70"/>
      <c r="G1023" s="30"/>
      <c r="H1023" s="77"/>
      <c r="I1023" s="77"/>
      <c r="J1023" s="58"/>
      <c r="K1023" s="58"/>
    </row>
    <row r="1024" spans="1:11" s="71" customFormat="1">
      <c r="A1024" s="87"/>
      <c r="B1024" s="30"/>
      <c r="C1024" s="70"/>
      <c r="G1024" s="30"/>
      <c r="H1024" s="77"/>
      <c r="I1024" s="77"/>
      <c r="J1024" s="58"/>
      <c r="K1024" s="58"/>
    </row>
    <row r="1025" spans="1:11" s="71" customFormat="1">
      <c r="A1025" s="87"/>
      <c r="B1025" s="30"/>
      <c r="C1025" s="70"/>
      <c r="G1025" s="30"/>
      <c r="H1025" s="77"/>
      <c r="I1025" s="77"/>
      <c r="J1025" s="58"/>
      <c r="K1025" s="58"/>
    </row>
    <row r="1026" spans="1:11" s="71" customFormat="1">
      <c r="A1026" s="87"/>
      <c r="B1026" s="30"/>
      <c r="C1026" s="70"/>
      <c r="G1026" s="30"/>
      <c r="H1026" s="77"/>
      <c r="I1026" s="77"/>
      <c r="J1026" s="58"/>
      <c r="K1026" s="58"/>
    </row>
    <row r="1027" spans="1:11" s="71" customFormat="1">
      <c r="A1027" s="87"/>
      <c r="B1027" s="30"/>
      <c r="C1027" s="70"/>
      <c r="G1027" s="30"/>
      <c r="H1027" s="77"/>
      <c r="I1027" s="77"/>
      <c r="J1027" s="58"/>
      <c r="K1027" s="58"/>
    </row>
    <row r="1028" spans="1:11" s="71" customFormat="1">
      <c r="A1028" s="87"/>
      <c r="B1028" s="30"/>
      <c r="C1028" s="70"/>
      <c r="G1028" s="30"/>
      <c r="H1028" s="77"/>
      <c r="I1028" s="77"/>
      <c r="J1028" s="58"/>
      <c r="K1028" s="58"/>
    </row>
    <row r="1029" spans="1:11" s="71" customFormat="1">
      <c r="A1029" s="87"/>
      <c r="B1029" s="30"/>
      <c r="C1029" s="70"/>
      <c r="G1029" s="30"/>
      <c r="H1029" s="77"/>
      <c r="I1029" s="77"/>
      <c r="J1029" s="58"/>
      <c r="K1029" s="58"/>
    </row>
    <row r="1030" spans="1:11" s="71" customFormat="1">
      <c r="A1030" s="87"/>
      <c r="B1030" s="30"/>
      <c r="C1030" s="70"/>
      <c r="G1030" s="30"/>
      <c r="H1030" s="77"/>
      <c r="I1030" s="77"/>
      <c r="J1030" s="58"/>
      <c r="K1030" s="58"/>
    </row>
    <row r="1031" spans="1:11" s="71" customFormat="1">
      <c r="A1031" s="87"/>
      <c r="B1031" s="30"/>
      <c r="C1031" s="70"/>
      <c r="G1031" s="30"/>
      <c r="H1031" s="77"/>
      <c r="I1031" s="77"/>
      <c r="J1031" s="58"/>
      <c r="K1031" s="58"/>
    </row>
    <row r="1032" spans="1:11" s="71" customFormat="1">
      <c r="A1032" s="87"/>
      <c r="B1032" s="30"/>
      <c r="C1032" s="70"/>
      <c r="G1032" s="30"/>
      <c r="H1032" s="77"/>
      <c r="I1032" s="77"/>
      <c r="J1032" s="58"/>
      <c r="K1032" s="58"/>
    </row>
    <row r="1033" spans="1:11" s="71" customFormat="1">
      <c r="A1033" s="87"/>
      <c r="B1033" s="30"/>
      <c r="C1033" s="70"/>
      <c r="G1033" s="30"/>
      <c r="H1033" s="77"/>
      <c r="I1033" s="77"/>
      <c r="J1033" s="58"/>
      <c r="K1033" s="58"/>
    </row>
    <row r="1034" spans="1:11" s="71" customFormat="1">
      <c r="A1034" s="87"/>
      <c r="B1034" s="30"/>
      <c r="C1034" s="70"/>
      <c r="G1034" s="30"/>
      <c r="H1034" s="77"/>
      <c r="I1034" s="77"/>
      <c r="J1034" s="58"/>
      <c r="K1034" s="58"/>
    </row>
    <row r="1035" spans="1:11" s="71" customFormat="1">
      <c r="A1035" s="87"/>
      <c r="B1035" s="30"/>
      <c r="C1035" s="70"/>
      <c r="G1035" s="30"/>
      <c r="H1035" s="77"/>
      <c r="I1035" s="77"/>
      <c r="J1035" s="58"/>
      <c r="K1035" s="58"/>
    </row>
    <row r="1036" spans="1:11" s="71" customFormat="1">
      <c r="A1036" s="87"/>
      <c r="B1036" s="30"/>
      <c r="C1036" s="70"/>
      <c r="G1036" s="30"/>
      <c r="H1036" s="77"/>
      <c r="I1036" s="77"/>
      <c r="J1036" s="58"/>
      <c r="K1036" s="58"/>
    </row>
    <row r="1037" spans="1:11" s="71" customFormat="1">
      <c r="A1037" s="87"/>
      <c r="B1037" s="30"/>
      <c r="C1037" s="70"/>
      <c r="G1037" s="30"/>
      <c r="H1037" s="77"/>
      <c r="I1037" s="77"/>
      <c r="J1037" s="58"/>
      <c r="K1037" s="58"/>
    </row>
    <row r="1038" spans="1:11" s="71" customFormat="1">
      <c r="A1038" s="87"/>
      <c r="B1038" s="30"/>
      <c r="C1038" s="70"/>
      <c r="G1038" s="30"/>
      <c r="H1038" s="77"/>
      <c r="I1038" s="77"/>
      <c r="J1038" s="58"/>
      <c r="K1038" s="58"/>
    </row>
    <row r="1039" spans="1:11" s="71" customFormat="1">
      <c r="A1039" s="87"/>
      <c r="B1039" s="30"/>
      <c r="C1039" s="70"/>
      <c r="G1039" s="30"/>
      <c r="H1039" s="77"/>
      <c r="I1039" s="77"/>
      <c r="J1039" s="58"/>
      <c r="K1039" s="58"/>
    </row>
    <row r="1040" spans="1:11" s="71" customFormat="1">
      <c r="A1040" s="87"/>
      <c r="B1040" s="30"/>
      <c r="C1040" s="70"/>
      <c r="G1040" s="30"/>
      <c r="H1040" s="77"/>
      <c r="I1040" s="77"/>
      <c r="J1040" s="58"/>
      <c r="K1040" s="58"/>
    </row>
    <row r="1041" spans="1:11" s="71" customFormat="1">
      <c r="A1041" s="87"/>
      <c r="B1041" s="30"/>
      <c r="C1041" s="70"/>
      <c r="G1041" s="30"/>
      <c r="H1041" s="77"/>
      <c r="I1041" s="77"/>
      <c r="J1041" s="58"/>
      <c r="K1041" s="58"/>
    </row>
    <row r="1042" spans="1:11" s="71" customFormat="1">
      <c r="A1042" s="87"/>
      <c r="B1042" s="30"/>
      <c r="C1042" s="70"/>
      <c r="G1042" s="30"/>
      <c r="H1042" s="77"/>
      <c r="I1042" s="77"/>
      <c r="J1042" s="58"/>
      <c r="K1042" s="58"/>
    </row>
    <row r="1043" spans="1:11" s="71" customFormat="1">
      <c r="A1043" s="87"/>
      <c r="B1043" s="30"/>
      <c r="C1043" s="70"/>
      <c r="G1043" s="30"/>
      <c r="H1043" s="77"/>
      <c r="I1043" s="77"/>
      <c r="J1043" s="58"/>
      <c r="K1043" s="58"/>
    </row>
    <row r="1044" spans="1:11" s="71" customFormat="1">
      <c r="A1044" s="87"/>
      <c r="B1044" s="30"/>
      <c r="C1044" s="70"/>
      <c r="G1044" s="30"/>
      <c r="H1044" s="77"/>
      <c r="I1044" s="77"/>
      <c r="J1044" s="58"/>
      <c r="K1044" s="58"/>
    </row>
    <row r="1045" spans="1:11" s="71" customFormat="1">
      <c r="A1045" s="87"/>
      <c r="B1045" s="30"/>
      <c r="C1045" s="70"/>
      <c r="G1045" s="30"/>
      <c r="H1045" s="77"/>
      <c r="I1045" s="77"/>
      <c r="J1045" s="58"/>
      <c r="K1045" s="58"/>
    </row>
    <row r="1046" spans="1:11" s="71" customFormat="1">
      <c r="A1046" s="87"/>
      <c r="B1046" s="30"/>
      <c r="C1046" s="70"/>
      <c r="G1046" s="30"/>
      <c r="H1046" s="77"/>
      <c r="I1046" s="77"/>
      <c r="J1046" s="58"/>
      <c r="K1046" s="58"/>
    </row>
    <row r="1047" spans="1:11" s="71" customFormat="1">
      <c r="A1047" s="87"/>
      <c r="B1047" s="30"/>
      <c r="C1047" s="70"/>
      <c r="G1047" s="30"/>
      <c r="H1047" s="77"/>
      <c r="I1047" s="77"/>
      <c r="J1047" s="58"/>
      <c r="K1047" s="58"/>
    </row>
    <row r="1048" spans="1:11" s="71" customFormat="1">
      <c r="A1048" s="87"/>
      <c r="B1048" s="30"/>
      <c r="C1048" s="70"/>
      <c r="G1048" s="30"/>
      <c r="H1048" s="77"/>
      <c r="I1048" s="77"/>
      <c r="J1048" s="58"/>
      <c r="K1048" s="58"/>
    </row>
    <row r="1049" spans="1:11" s="71" customFormat="1">
      <c r="A1049" s="87"/>
      <c r="B1049" s="30"/>
      <c r="C1049" s="70"/>
      <c r="G1049" s="30"/>
      <c r="H1049" s="77"/>
      <c r="I1049" s="77"/>
      <c r="J1049" s="58"/>
      <c r="K1049" s="58"/>
    </row>
    <row r="1050" spans="1:11" s="71" customFormat="1">
      <c r="A1050" s="87"/>
      <c r="B1050" s="30"/>
      <c r="C1050" s="70"/>
      <c r="G1050" s="30"/>
      <c r="H1050" s="77"/>
      <c r="I1050" s="77"/>
      <c r="J1050" s="58"/>
      <c r="K1050" s="58"/>
    </row>
    <row r="1051" spans="1:11" s="71" customFormat="1">
      <c r="A1051" s="87"/>
      <c r="B1051" s="30"/>
      <c r="C1051" s="70"/>
      <c r="G1051" s="30"/>
      <c r="H1051" s="77"/>
      <c r="I1051" s="77"/>
      <c r="J1051" s="58"/>
      <c r="K1051" s="58"/>
    </row>
    <row r="1052" spans="1:11" s="71" customFormat="1">
      <c r="A1052" s="87"/>
      <c r="B1052" s="30"/>
      <c r="C1052" s="70"/>
      <c r="G1052" s="30"/>
      <c r="H1052" s="77"/>
      <c r="I1052" s="77"/>
      <c r="J1052" s="58"/>
      <c r="K1052" s="58"/>
    </row>
    <row r="1053" spans="1:11" s="71" customFormat="1">
      <c r="A1053" s="87"/>
      <c r="B1053" s="30"/>
      <c r="C1053" s="70"/>
      <c r="G1053" s="30"/>
      <c r="H1053" s="77"/>
      <c r="I1053" s="77"/>
      <c r="J1053" s="58"/>
      <c r="K1053" s="58"/>
    </row>
    <row r="1054" spans="1:11" s="71" customFormat="1">
      <c r="A1054" s="87"/>
      <c r="B1054" s="30"/>
      <c r="C1054" s="70"/>
      <c r="G1054" s="30"/>
      <c r="H1054" s="77"/>
      <c r="I1054" s="77"/>
      <c r="J1054" s="58"/>
      <c r="K1054" s="58"/>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K1042"/>
  <sheetViews>
    <sheetView showZeros="0" zoomScale="80" zoomScaleNormal="80" workbookViewId="0">
      <selection activeCell="E27" sqref="E27"/>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6" style="77" customWidth="1"/>
    <col min="10" max="10" width="9.140625" style="58" customWidth="1"/>
    <col min="11" max="16384" width="8.85546875" style="3"/>
  </cols>
  <sheetData>
    <row r="1" spans="2:11" ht="15.75">
      <c r="B1" s="1" t="str">
        <f>'Drawings &amp; Data'!A1</f>
        <v>ESTATE NAME</v>
      </c>
      <c r="C1" s="1"/>
      <c r="D1" s="1"/>
      <c r="E1" s="1"/>
      <c r="F1" s="1"/>
      <c r="G1" s="1"/>
      <c r="H1" s="1"/>
      <c r="I1" s="1"/>
      <c r="J1" s="3"/>
    </row>
    <row r="2" spans="2:11" ht="15.75">
      <c r="B2" s="4" t="str">
        <f>'Drawings &amp; Data'!A2</f>
        <v>STAGE X</v>
      </c>
      <c r="C2" s="1"/>
      <c r="D2" s="1"/>
      <c r="E2" s="1"/>
      <c r="F2" s="1"/>
      <c r="G2" s="1"/>
      <c r="H2" s="1"/>
      <c r="I2" s="1"/>
      <c r="J2" s="3"/>
    </row>
    <row r="3" spans="2:11" ht="15.75">
      <c r="B3" s="1"/>
      <c r="C3" s="1"/>
      <c r="D3" s="1"/>
      <c r="E3" s="1"/>
      <c r="F3" s="1"/>
      <c r="G3" s="1"/>
      <c r="H3" s="1"/>
      <c r="I3" s="1"/>
      <c r="J3" s="3"/>
    </row>
    <row r="4" spans="2:11" ht="15.75">
      <c r="B4" s="5" t="s">
        <v>9</v>
      </c>
      <c r="C4" s="1"/>
      <c r="D4" s="1"/>
      <c r="E4" s="1"/>
      <c r="F4" s="1"/>
      <c r="G4" s="1"/>
      <c r="H4" s="1"/>
      <c r="I4" s="1"/>
      <c r="J4" s="3"/>
    </row>
    <row r="5" spans="2:11" ht="15.75">
      <c r="B5" s="6" t="str">
        <f>'Drawings &amp; Data'!A5</f>
        <v>Name and/or entity</v>
      </c>
      <c r="C5" s="1"/>
      <c r="D5" s="1"/>
      <c r="E5" s="1"/>
      <c r="F5" s="1"/>
      <c r="G5" s="1"/>
      <c r="H5" s="1"/>
      <c r="I5" s="1"/>
      <c r="J5" s="3"/>
    </row>
    <row r="6" spans="2:11" ht="15.75">
      <c r="B6" s="6" t="str">
        <f>'Drawings &amp; Data'!A6</f>
        <v>Address 1</v>
      </c>
      <c r="C6" s="1"/>
      <c r="D6" s="1"/>
      <c r="E6" s="1"/>
      <c r="F6" s="1"/>
      <c r="G6" s="1"/>
      <c r="H6" s="1"/>
      <c r="I6" s="1"/>
      <c r="J6" s="3"/>
    </row>
    <row r="7" spans="2:11" ht="15.75">
      <c r="B7" s="6" t="str">
        <f>'Drawings &amp; Data'!A7</f>
        <v>Address 2</v>
      </c>
      <c r="C7" s="1"/>
      <c r="D7" s="1"/>
      <c r="E7" s="1"/>
      <c r="F7" s="1"/>
      <c r="G7" s="1"/>
      <c r="H7" s="1"/>
      <c r="I7" s="1"/>
      <c r="J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c r="K10" s="58"/>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24</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0" ht="72" customHeight="1">
      <c r="B17" s="110" t="s">
        <v>182</v>
      </c>
      <c r="C17" s="110"/>
      <c r="D17" s="38"/>
      <c r="E17" s="38"/>
      <c r="F17" s="38"/>
      <c r="G17" s="39"/>
      <c r="H17" s="40"/>
      <c r="I17" s="40"/>
    </row>
    <row r="18" spans="1:10" ht="8.4499999999999993" customHeight="1">
      <c r="B18" s="42"/>
      <c r="C18" s="42"/>
      <c r="D18" s="38"/>
      <c r="E18" s="38"/>
      <c r="F18" s="38"/>
      <c r="G18" s="39"/>
      <c r="H18" s="40"/>
      <c r="I18" s="40"/>
    </row>
    <row r="19" spans="1:10" ht="72.599999999999994" customHeight="1">
      <c r="B19" s="110" t="s">
        <v>532</v>
      </c>
      <c r="C19" s="110"/>
      <c r="D19" s="38"/>
      <c r="E19" s="38"/>
      <c r="F19" s="38"/>
      <c r="G19" s="39"/>
      <c r="H19" s="40"/>
      <c r="I19" s="40"/>
    </row>
    <row r="20" spans="1:10" ht="8.4499999999999993" customHeight="1">
      <c r="B20" s="42"/>
      <c r="C20" s="42"/>
      <c r="D20" s="38"/>
      <c r="E20" s="38"/>
      <c r="F20" s="38"/>
      <c r="G20" s="39"/>
      <c r="H20" s="40"/>
      <c r="I20" s="40"/>
    </row>
    <row r="21" spans="1:10" ht="60.6" customHeight="1">
      <c r="B21" s="110" t="s">
        <v>183</v>
      </c>
      <c r="C21" s="110"/>
      <c r="D21" s="38"/>
      <c r="E21" s="38"/>
      <c r="F21" s="38"/>
      <c r="G21" s="39"/>
      <c r="H21" s="40"/>
      <c r="I21" s="40"/>
    </row>
    <row r="22" spans="1:10" s="41" customFormat="1" ht="15">
      <c r="A22" s="43" t="s">
        <v>513</v>
      </c>
      <c r="B22" s="94"/>
      <c r="C22" s="30"/>
      <c r="D22" s="38"/>
      <c r="E22" s="38"/>
      <c r="F22" s="38"/>
      <c r="G22" s="39"/>
      <c r="H22" s="40"/>
      <c r="I22" s="40"/>
      <c r="J22" s="58"/>
    </row>
    <row r="23" spans="1:10" s="41" customFormat="1" ht="15">
      <c r="A23" s="43" t="s">
        <v>514</v>
      </c>
      <c r="B23" s="46" t="s">
        <v>0</v>
      </c>
      <c r="C23" s="47" t="s">
        <v>1</v>
      </c>
      <c r="D23" s="48" t="s">
        <v>71</v>
      </c>
      <c r="E23" s="48" t="s">
        <v>72</v>
      </c>
      <c r="F23" s="48" t="s">
        <v>3</v>
      </c>
      <c r="G23" s="46" t="s">
        <v>2</v>
      </c>
      <c r="H23" s="49" t="s">
        <v>4</v>
      </c>
      <c r="I23" s="49" t="s">
        <v>5</v>
      </c>
    </row>
    <row r="24" spans="1:10" s="41" customFormat="1" ht="15">
      <c r="A24" s="43" t="s">
        <v>515</v>
      </c>
      <c r="B24" s="46"/>
      <c r="C24" s="47"/>
      <c r="D24" s="48"/>
      <c r="E24" s="48"/>
      <c r="F24" s="48"/>
      <c r="G24" s="46"/>
      <c r="H24" s="49"/>
      <c r="I24" s="49"/>
    </row>
    <row r="25" spans="1:10" s="41" customFormat="1" ht="75">
      <c r="A25" s="50">
        <v>1</v>
      </c>
      <c r="B25" s="51">
        <f ca="1">IF($A25="","",NumList())</f>
        <v>1</v>
      </c>
      <c r="C25" s="63" t="s">
        <v>610</v>
      </c>
      <c r="D25" s="48"/>
      <c r="E25" s="48"/>
      <c r="F25" s="48"/>
      <c r="G25" s="46"/>
      <c r="H25" s="53"/>
      <c r="I25" s="53">
        <f t="shared" ref="I25:I88" si="0">F25*H25</f>
        <v>0</v>
      </c>
    </row>
    <row r="26" spans="1:10" s="41" customFormat="1" ht="45">
      <c r="A26" s="50" t="s">
        <v>516</v>
      </c>
      <c r="B26" s="51" t="str">
        <f>IF($A26="","",NumList())</f>
        <v/>
      </c>
      <c r="C26" s="63" t="s">
        <v>496</v>
      </c>
      <c r="D26" s="48"/>
      <c r="E26" s="48"/>
      <c r="F26" s="48"/>
      <c r="G26" s="46"/>
      <c r="H26" s="53"/>
      <c r="I26" s="53">
        <f t="shared" si="0"/>
        <v>0</v>
      </c>
    </row>
    <row r="27" spans="1:10" s="41" customFormat="1" ht="15">
      <c r="A27" s="50">
        <v>2</v>
      </c>
      <c r="B27" s="51" t="str">
        <f ca="1">IF($A27="","",NumList())</f>
        <v>1.1</v>
      </c>
      <c r="C27" s="61" t="s">
        <v>66</v>
      </c>
      <c r="D27" s="55">
        <f ca="1">IF(ISTEXT(G27),RANDBETWEEN(1,1),0)</f>
        <v>1</v>
      </c>
      <c r="E27" s="55"/>
      <c r="F27" s="55">
        <f ca="1">IF(ISTEXT(G27),RANDBETWEEN(1,100),0)</f>
        <v>80</v>
      </c>
      <c r="G27" s="51" t="s">
        <v>6</v>
      </c>
      <c r="H27" s="78">
        <f ca="1">IF(ISTEXT(G27),RANDBETWEEN(1,100),0)</f>
        <v>15</v>
      </c>
      <c r="I27" s="53">
        <f t="shared" ca="1" si="0"/>
        <v>1200</v>
      </c>
      <c r="J27" s="58"/>
    </row>
    <row r="28" spans="1:10" s="41" customFormat="1" ht="15">
      <c r="A28" s="50">
        <v>2</v>
      </c>
      <c r="B28" s="51" t="str">
        <f ca="1">IF($A28="","",NumList())</f>
        <v>1.2</v>
      </c>
      <c r="C28" s="61" t="s">
        <v>25</v>
      </c>
      <c r="D28" s="55">
        <f t="shared" ref="D28:D91" ca="1" si="1">IF(ISTEXT(G28),RANDBETWEEN(1,1),0)</f>
        <v>1</v>
      </c>
      <c r="E28" s="55"/>
      <c r="F28" s="55">
        <f t="shared" ref="F28:F91" ca="1" si="2">IF(ISTEXT(G28),RANDBETWEEN(1,100),0)</f>
        <v>46</v>
      </c>
      <c r="G28" s="51" t="s">
        <v>6</v>
      </c>
      <c r="H28" s="78">
        <f t="shared" ref="H28:H91" ca="1" si="3">IF(ISTEXT(G28),RANDBETWEEN(1,100),0)</f>
        <v>53</v>
      </c>
      <c r="I28" s="53">
        <f t="shared" ca="1" si="0"/>
        <v>2438</v>
      </c>
      <c r="J28" s="58"/>
    </row>
    <row r="29" spans="1:10" s="41" customFormat="1" ht="15">
      <c r="A29" s="50">
        <v>2</v>
      </c>
      <c r="B29" s="51" t="str">
        <f ca="1">IF($A29="","",NumList())</f>
        <v>1.3</v>
      </c>
      <c r="C29" s="61" t="s">
        <v>41</v>
      </c>
      <c r="D29" s="55">
        <f t="shared" ca="1" si="1"/>
        <v>1</v>
      </c>
      <c r="E29" s="55"/>
      <c r="F29" s="55">
        <f t="shared" ca="1" si="2"/>
        <v>48</v>
      </c>
      <c r="G29" s="51" t="s">
        <v>6</v>
      </c>
      <c r="H29" s="78">
        <f t="shared" ca="1" si="3"/>
        <v>59</v>
      </c>
      <c r="I29" s="53">
        <f t="shared" ca="1" si="0"/>
        <v>2832</v>
      </c>
      <c r="J29" s="58"/>
    </row>
    <row r="30" spans="1:10" s="41" customFormat="1" ht="15">
      <c r="A30" s="50">
        <v>2</v>
      </c>
      <c r="B30" s="51" t="str">
        <f ca="1">IF($A30="","",NumList())</f>
        <v>1.4</v>
      </c>
      <c r="C30" s="61" t="s">
        <v>327</v>
      </c>
      <c r="D30" s="55">
        <f t="shared" ca="1" si="1"/>
        <v>1</v>
      </c>
      <c r="E30" s="55"/>
      <c r="F30" s="55">
        <f t="shared" ca="1" si="2"/>
        <v>66</v>
      </c>
      <c r="G30" s="51" t="s">
        <v>6</v>
      </c>
      <c r="H30" s="78">
        <f t="shared" ca="1" si="3"/>
        <v>20</v>
      </c>
      <c r="I30" s="53">
        <f t="shared" ca="1" si="0"/>
        <v>1320</v>
      </c>
      <c r="J30" s="58"/>
    </row>
    <row r="31" spans="1:10" s="41" customFormat="1" ht="15">
      <c r="A31" s="50">
        <v>2</v>
      </c>
      <c r="B31" s="51" t="str">
        <f ca="1">IF($A31="","",NumList())</f>
        <v>1.5</v>
      </c>
      <c r="C31" s="61" t="s">
        <v>328</v>
      </c>
      <c r="D31" s="55">
        <f t="shared" ca="1" si="1"/>
        <v>1</v>
      </c>
      <c r="E31" s="55"/>
      <c r="F31" s="55">
        <f t="shared" ca="1" si="2"/>
        <v>89</v>
      </c>
      <c r="G31" s="51" t="s">
        <v>6</v>
      </c>
      <c r="H31" s="78">
        <f t="shared" ca="1" si="3"/>
        <v>78</v>
      </c>
      <c r="I31" s="53">
        <f t="shared" ca="1" si="0"/>
        <v>6942</v>
      </c>
      <c r="J31" s="58"/>
    </row>
    <row r="32" spans="1:10" s="41" customFormat="1" ht="15">
      <c r="A32" s="50">
        <v>2</v>
      </c>
      <c r="B32" s="51" t="str">
        <f ca="1">IF($A32="","",NumList())</f>
        <v>1.6</v>
      </c>
      <c r="C32" s="61" t="s">
        <v>329</v>
      </c>
      <c r="D32" s="55">
        <f t="shared" ca="1" si="1"/>
        <v>1</v>
      </c>
      <c r="E32" s="55"/>
      <c r="F32" s="55">
        <f t="shared" ca="1" si="2"/>
        <v>30</v>
      </c>
      <c r="G32" s="51" t="s">
        <v>6</v>
      </c>
      <c r="H32" s="78">
        <f t="shared" ca="1" si="3"/>
        <v>50</v>
      </c>
      <c r="I32" s="53">
        <f t="shared" ca="1" si="0"/>
        <v>1500</v>
      </c>
      <c r="J32" s="58"/>
    </row>
    <row r="33" spans="1:11" s="41" customFormat="1" ht="15">
      <c r="A33" s="50">
        <v>2</v>
      </c>
      <c r="B33" s="51" t="str">
        <f ca="1">IF($A33="","",NumList())</f>
        <v>1.7</v>
      </c>
      <c r="C33" s="61" t="s">
        <v>13</v>
      </c>
      <c r="D33" s="55">
        <f t="shared" ca="1" si="1"/>
        <v>1</v>
      </c>
      <c r="E33" s="55"/>
      <c r="F33" s="55">
        <f t="shared" ca="1" si="2"/>
        <v>22</v>
      </c>
      <c r="G33" s="51" t="s">
        <v>6</v>
      </c>
      <c r="H33" s="78">
        <f t="shared" ca="1" si="3"/>
        <v>59</v>
      </c>
      <c r="I33" s="53">
        <f t="shared" ca="1" si="0"/>
        <v>1298</v>
      </c>
      <c r="J33" s="58"/>
    </row>
    <row r="34" spans="1:11" s="41" customFormat="1" ht="15">
      <c r="A34" s="50">
        <v>2</v>
      </c>
      <c r="B34" s="51" t="str">
        <f ca="1">IF($A34="","",NumList())</f>
        <v>1.8</v>
      </c>
      <c r="C34" s="62" t="s">
        <v>21</v>
      </c>
      <c r="D34" s="55">
        <f t="shared" ca="1" si="1"/>
        <v>1</v>
      </c>
      <c r="E34" s="55"/>
      <c r="F34" s="55">
        <f t="shared" ca="1" si="2"/>
        <v>6</v>
      </c>
      <c r="G34" s="51" t="s">
        <v>6</v>
      </c>
      <c r="H34" s="78">
        <f t="shared" ca="1" si="3"/>
        <v>56</v>
      </c>
      <c r="I34" s="53">
        <f t="shared" ca="1" si="0"/>
        <v>336</v>
      </c>
      <c r="J34" s="58"/>
    </row>
    <row r="35" spans="1:11" s="41" customFormat="1" ht="15">
      <c r="A35" s="50">
        <v>2</v>
      </c>
      <c r="B35" s="51" t="str">
        <f ca="1">IF($A35="","",NumList())</f>
        <v>1.9</v>
      </c>
      <c r="C35" s="61" t="s">
        <v>42</v>
      </c>
      <c r="D35" s="55">
        <f t="shared" ca="1" si="1"/>
        <v>1</v>
      </c>
      <c r="E35" s="55"/>
      <c r="F35" s="55">
        <f t="shared" ca="1" si="2"/>
        <v>13</v>
      </c>
      <c r="G35" s="51" t="s">
        <v>6</v>
      </c>
      <c r="H35" s="78">
        <f t="shared" ca="1" si="3"/>
        <v>34</v>
      </c>
      <c r="I35" s="53">
        <f t="shared" ca="1" si="0"/>
        <v>442</v>
      </c>
      <c r="J35" s="58"/>
    </row>
    <row r="36" spans="1:11" s="41" customFormat="1" ht="15">
      <c r="A36" s="50">
        <v>2</v>
      </c>
      <c r="B36" s="51" t="str">
        <f ca="1">IF($A36="","",NumList())</f>
        <v>1.10</v>
      </c>
      <c r="C36" s="61" t="s">
        <v>43</v>
      </c>
      <c r="D36" s="55">
        <f t="shared" ca="1" si="1"/>
        <v>1</v>
      </c>
      <c r="E36" s="55"/>
      <c r="F36" s="55">
        <f t="shared" ca="1" si="2"/>
        <v>68</v>
      </c>
      <c r="G36" s="51" t="s">
        <v>6</v>
      </c>
      <c r="H36" s="78">
        <f t="shared" ca="1" si="3"/>
        <v>87</v>
      </c>
      <c r="I36" s="53">
        <f t="shared" ca="1" si="0"/>
        <v>5916</v>
      </c>
      <c r="J36" s="58"/>
    </row>
    <row r="37" spans="1:11" s="41" customFormat="1" ht="15">
      <c r="A37" s="50">
        <v>2</v>
      </c>
      <c r="B37" s="51" t="str">
        <f ca="1">IF($A37="","",NumList())</f>
        <v>1.11</v>
      </c>
      <c r="C37" s="61" t="s">
        <v>292</v>
      </c>
      <c r="D37" s="55">
        <f t="shared" ca="1" si="1"/>
        <v>1</v>
      </c>
      <c r="E37" s="55"/>
      <c r="F37" s="55">
        <f t="shared" ca="1" si="2"/>
        <v>32</v>
      </c>
      <c r="G37" s="51" t="s">
        <v>6</v>
      </c>
      <c r="H37" s="78">
        <f t="shared" ca="1" si="3"/>
        <v>55</v>
      </c>
      <c r="I37" s="53">
        <f t="shared" ca="1" si="0"/>
        <v>1760</v>
      </c>
      <c r="J37" s="58"/>
    </row>
    <row r="38" spans="1:11" s="41" customFormat="1" ht="15">
      <c r="A38" s="50">
        <v>2</v>
      </c>
      <c r="B38" s="51" t="str">
        <f ca="1">IF($A38="","",NumList())</f>
        <v>1.12</v>
      </c>
      <c r="C38" s="62" t="s">
        <v>293</v>
      </c>
      <c r="D38" s="55">
        <f t="shared" ca="1" si="1"/>
        <v>1</v>
      </c>
      <c r="E38" s="55"/>
      <c r="F38" s="55">
        <f t="shared" ca="1" si="2"/>
        <v>83</v>
      </c>
      <c r="G38" s="51" t="s">
        <v>6</v>
      </c>
      <c r="H38" s="78">
        <f t="shared" ca="1" si="3"/>
        <v>61</v>
      </c>
      <c r="I38" s="53">
        <f t="shared" ca="1" si="0"/>
        <v>5063</v>
      </c>
      <c r="J38" s="58"/>
    </row>
    <row r="39" spans="1:11" s="41" customFormat="1" ht="15">
      <c r="A39" s="50">
        <v>2</v>
      </c>
      <c r="B39" s="51" t="str">
        <f ca="1">IF($A39="","",NumList())</f>
        <v>1.13</v>
      </c>
      <c r="C39" s="61" t="s">
        <v>294</v>
      </c>
      <c r="D39" s="55">
        <f t="shared" ca="1" si="1"/>
        <v>1</v>
      </c>
      <c r="E39" s="55"/>
      <c r="F39" s="55">
        <f t="shared" ca="1" si="2"/>
        <v>19</v>
      </c>
      <c r="G39" s="51" t="s">
        <v>6</v>
      </c>
      <c r="H39" s="78">
        <f t="shared" ca="1" si="3"/>
        <v>60</v>
      </c>
      <c r="I39" s="53">
        <f t="shared" ca="1" si="0"/>
        <v>1140</v>
      </c>
      <c r="J39" s="58"/>
    </row>
    <row r="40" spans="1:11" s="41" customFormat="1" ht="15">
      <c r="A40" s="50">
        <v>2</v>
      </c>
      <c r="B40" s="51" t="str">
        <f ca="1">IF($A40="","",NumList())</f>
        <v>1.14</v>
      </c>
      <c r="C40" s="61" t="s">
        <v>295</v>
      </c>
      <c r="D40" s="55">
        <f t="shared" ca="1" si="1"/>
        <v>1</v>
      </c>
      <c r="E40" s="55"/>
      <c r="F40" s="55">
        <f t="shared" ca="1" si="2"/>
        <v>52</v>
      </c>
      <c r="G40" s="51" t="s">
        <v>6</v>
      </c>
      <c r="H40" s="78">
        <f t="shared" ca="1" si="3"/>
        <v>55</v>
      </c>
      <c r="I40" s="53">
        <f t="shared" ca="1" si="0"/>
        <v>2860</v>
      </c>
      <c r="J40" s="58"/>
    </row>
    <row r="41" spans="1:11" s="41" customFormat="1" ht="15">
      <c r="A41" s="50" t="s">
        <v>516</v>
      </c>
      <c r="B41" s="51" t="str">
        <f>IF($A41="","",NumList())</f>
        <v/>
      </c>
      <c r="C41" s="62"/>
      <c r="D41" s="55">
        <f t="shared" ca="1" si="1"/>
        <v>0</v>
      </c>
      <c r="E41" s="55"/>
      <c r="F41" s="55">
        <f t="shared" ca="1" si="2"/>
        <v>0</v>
      </c>
      <c r="G41" s="51"/>
      <c r="H41" s="78">
        <f t="shared" ca="1" si="3"/>
        <v>0</v>
      </c>
      <c r="I41" s="53">
        <f t="shared" ca="1" si="0"/>
        <v>0</v>
      </c>
      <c r="J41" s="58"/>
      <c r="K41" s="58"/>
    </row>
    <row r="42" spans="1:11" s="41" customFormat="1" ht="15">
      <c r="A42" s="50">
        <v>2</v>
      </c>
      <c r="B42" s="51" t="str">
        <f ca="1">IF($A42="","",NumList())</f>
        <v>1.15</v>
      </c>
      <c r="C42" s="54" t="s">
        <v>340</v>
      </c>
      <c r="D42" s="55">
        <f t="shared" ca="1" si="1"/>
        <v>0</v>
      </c>
      <c r="E42" s="51"/>
      <c r="F42" s="55">
        <f t="shared" ca="1" si="2"/>
        <v>0</v>
      </c>
      <c r="G42" s="78"/>
      <c r="H42" s="78">
        <f t="shared" ca="1" si="3"/>
        <v>0</v>
      </c>
      <c r="I42" s="53">
        <f t="shared" ca="1" si="0"/>
        <v>0</v>
      </c>
      <c r="J42" s="58"/>
      <c r="K42" s="58"/>
    </row>
    <row r="43" spans="1:11" s="41" customFormat="1" ht="15">
      <c r="A43" s="50">
        <v>3</v>
      </c>
      <c r="B43" s="51" t="str">
        <f ca="1">IF($A43="","",NumList())</f>
        <v>1.15.1</v>
      </c>
      <c r="C43" s="62" t="s">
        <v>341</v>
      </c>
      <c r="D43" s="55">
        <f t="shared" ca="1" si="1"/>
        <v>1</v>
      </c>
      <c r="E43" s="55"/>
      <c r="F43" s="55">
        <f t="shared" ca="1" si="2"/>
        <v>95</v>
      </c>
      <c r="G43" s="78" t="s">
        <v>6</v>
      </c>
      <c r="H43" s="78">
        <f t="shared" ca="1" si="3"/>
        <v>37</v>
      </c>
      <c r="I43" s="53">
        <f t="shared" ca="1" si="0"/>
        <v>3515</v>
      </c>
      <c r="J43" s="58"/>
      <c r="K43" s="58"/>
    </row>
    <row r="44" spans="1:11" s="41" customFormat="1" ht="15">
      <c r="A44" s="50" t="s">
        <v>516</v>
      </c>
      <c r="B44" s="51" t="str">
        <f>IF($A44="","",NumList())</f>
        <v/>
      </c>
      <c r="C44" s="62"/>
      <c r="D44" s="55">
        <f t="shared" ca="1" si="1"/>
        <v>0</v>
      </c>
      <c r="E44" s="55"/>
      <c r="F44" s="55">
        <f t="shared" ca="1" si="2"/>
        <v>0</v>
      </c>
      <c r="G44" s="78"/>
      <c r="H44" s="78">
        <f t="shared" ca="1" si="3"/>
        <v>0</v>
      </c>
      <c r="I44" s="53">
        <f t="shared" ca="1" si="0"/>
        <v>0</v>
      </c>
      <c r="J44" s="58"/>
      <c r="K44" s="58"/>
    </row>
    <row r="45" spans="1:11" s="41" customFormat="1" ht="48.75" customHeight="1">
      <c r="A45" s="50">
        <v>1</v>
      </c>
      <c r="B45" s="51">
        <f ca="1">IF($A45="","",NumList())</f>
        <v>2</v>
      </c>
      <c r="C45" s="52" t="s">
        <v>611</v>
      </c>
      <c r="D45" s="55">
        <f t="shared" ca="1" si="1"/>
        <v>0</v>
      </c>
      <c r="E45" s="48"/>
      <c r="F45" s="55">
        <f t="shared" ca="1" si="2"/>
        <v>0</v>
      </c>
      <c r="G45" s="46"/>
      <c r="H45" s="78">
        <f t="shared" ca="1" si="3"/>
        <v>0</v>
      </c>
      <c r="I45" s="53">
        <f t="shared" ca="1" si="0"/>
        <v>0</v>
      </c>
      <c r="J45" s="95" t="s">
        <v>495</v>
      </c>
    </row>
    <row r="46" spans="1:11" s="58" customFormat="1" ht="15" customHeight="1">
      <c r="A46" s="50">
        <v>2</v>
      </c>
      <c r="B46" s="51" t="str">
        <f ca="1">IF($A46="","",NumList())</f>
        <v>2.1</v>
      </c>
      <c r="C46" s="61" t="s">
        <v>448</v>
      </c>
      <c r="D46" s="55">
        <f t="shared" ca="1" si="1"/>
        <v>0</v>
      </c>
      <c r="E46" s="55"/>
      <c r="F46" s="55">
        <f t="shared" ca="1" si="2"/>
        <v>0</v>
      </c>
      <c r="G46" s="51"/>
      <c r="H46" s="78">
        <f t="shared" ca="1" si="3"/>
        <v>0</v>
      </c>
      <c r="I46" s="53">
        <f t="shared" ca="1" si="0"/>
        <v>0</v>
      </c>
    </row>
    <row r="47" spans="1:11" s="58" customFormat="1" ht="15" customHeight="1">
      <c r="A47" s="50">
        <v>3</v>
      </c>
      <c r="B47" s="51" t="str">
        <f ca="1">IF($A47="","",NumList())</f>
        <v>2.1.1</v>
      </c>
      <c r="C47" s="62" t="s">
        <v>26</v>
      </c>
      <c r="D47" s="55">
        <f t="shared" ca="1" si="1"/>
        <v>1</v>
      </c>
      <c r="E47" s="55"/>
      <c r="F47" s="55">
        <f t="shared" ca="1" si="2"/>
        <v>27</v>
      </c>
      <c r="G47" s="51" t="s">
        <v>8</v>
      </c>
      <c r="H47" s="78">
        <f t="shared" ca="1" si="3"/>
        <v>43</v>
      </c>
      <c r="I47" s="53">
        <f t="shared" ca="1" si="0"/>
        <v>1161</v>
      </c>
    </row>
    <row r="48" spans="1:11" s="58" customFormat="1" ht="15" customHeight="1">
      <c r="A48" s="50">
        <v>3</v>
      </c>
      <c r="B48" s="51" t="str">
        <f ca="1">IF($A48="","",NumList())</f>
        <v>2.1.2</v>
      </c>
      <c r="C48" s="61" t="s">
        <v>27</v>
      </c>
      <c r="D48" s="55">
        <f t="shared" ca="1" si="1"/>
        <v>1</v>
      </c>
      <c r="E48" s="55"/>
      <c r="F48" s="55">
        <f t="shared" ca="1" si="2"/>
        <v>52</v>
      </c>
      <c r="G48" s="51" t="s">
        <v>8</v>
      </c>
      <c r="H48" s="78">
        <f t="shared" ca="1" si="3"/>
        <v>72</v>
      </c>
      <c r="I48" s="53">
        <f t="shared" ca="1" si="0"/>
        <v>3744</v>
      </c>
    </row>
    <row r="49" spans="1:9" s="58" customFormat="1" ht="15" customHeight="1">
      <c r="A49" s="50">
        <v>3</v>
      </c>
      <c r="B49" s="51" t="str">
        <f ca="1">IF($A49="","",NumList())</f>
        <v>2.1.3</v>
      </c>
      <c r="C49" s="61" t="s">
        <v>44</v>
      </c>
      <c r="D49" s="55">
        <f t="shared" ca="1" si="1"/>
        <v>1</v>
      </c>
      <c r="E49" s="55"/>
      <c r="F49" s="55">
        <f t="shared" ca="1" si="2"/>
        <v>45</v>
      </c>
      <c r="G49" s="51" t="s">
        <v>8</v>
      </c>
      <c r="H49" s="78">
        <f t="shared" ca="1" si="3"/>
        <v>2</v>
      </c>
      <c r="I49" s="53">
        <f t="shared" ca="1" si="0"/>
        <v>90</v>
      </c>
    </row>
    <row r="50" spans="1:9" s="58" customFormat="1" ht="15" customHeight="1">
      <c r="A50" s="50">
        <v>3</v>
      </c>
      <c r="B50" s="51" t="str">
        <f ca="1">IF($A50="","",NumList())</f>
        <v>2.1.4</v>
      </c>
      <c r="C50" s="61" t="s">
        <v>45</v>
      </c>
      <c r="D50" s="55">
        <f t="shared" ca="1" si="1"/>
        <v>1</v>
      </c>
      <c r="E50" s="55"/>
      <c r="F50" s="55">
        <f t="shared" ca="1" si="2"/>
        <v>90</v>
      </c>
      <c r="G50" s="51" t="s">
        <v>8</v>
      </c>
      <c r="H50" s="78">
        <f t="shared" ca="1" si="3"/>
        <v>45</v>
      </c>
      <c r="I50" s="53">
        <f t="shared" ca="1" si="0"/>
        <v>4050</v>
      </c>
    </row>
    <row r="51" spans="1:9" s="58" customFormat="1" ht="35.25" customHeight="1">
      <c r="A51" s="50">
        <v>3</v>
      </c>
      <c r="B51" s="51" t="str">
        <f ca="1">IF($A51="","",NumList())</f>
        <v>2.1.5</v>
      </c>
      <c r="C51" s="62" t="s">
        <v>449</v>
      </c>
      <c r="D51" s="55">
        <f t="shared" ca="1" si="1"/>
        <v>1</v>
      </c>
      <c r="E51" s="55"/>
      <c r="F51" s="55">
        <f t="shared" ca="1" si="2"/>
        <v>85</v>
      </c>
      <c r="G51" s="51" t="s">
        <v>8</v>
      </c>
      <c r="H51" s="78">
        <f t="shared" ca="1" si="3"/>
        <v>85</v>
      </c>
      <c r="I51" s="53">
        <f t="shared" ca="1" si="0"/>
        <v>7225</v>
      </c>
    </row>
    <row r="52" spans="1:9" s="58" customFormat="1" ht="15" customHeight="1">
      <c r="A52" s="50">
        <v>2</v>
      </c>
      <c r="B52" s="51" t="str">
        <f ca="1">IF($A52="","",NumList())</f>
        <v>2.2</v>
      </c>
      <c r="C52" s="62" t="s">
        <v>450</v>
      </c>
      <c r="D52" s="55">
        <f t="shared" ca="1" si="1"/>
        <v>0</v>
      </c>
      <c r="E52" s="55"/>
      <c r="F52" s="55">
        <f t="shared" ca="1" si="2"/>
        <v>0</v>
      </c>
      <c r="G52" s="51"/>
      <c r="H52" s="78">
        <f t="shared" ca="1" si="3"/>
        <v>0</v>
      </c>
      <c r="I52" s="53">
        <f t="shared" ca="1" si="0"/>
        <v>0</v>
      </c>
    </row>
    <row r="53" spans="1:9" s="58" customFormat="1" ht="15" customHeight="1">
      <c r="A53" s="50">
        <v>3</v>
      </c>
      <c r="B53" s="51" t="str">
        <f ca="1">IF($A53="","",NumList())</f>
        <v>2.2.1</v>
      </c>
      <c r="C53" s="62" t="s">
        <v>67</v>
      </c>
      <c r="D53" s="55">
        <f t="shared" ca="1" si="1"/>
        <v>1</v>
      </c>
      <c r="E53" s="55"/>
      <c r="F53" s="55">
        <f t="shared" ca="1" si="2"/>
        <v>52</v>
      </c>
      <c r="G53" s="51" t="s">
        <v>8</v>
      </c>
      <c r="H53" s="78">
        <f t="shared" ca="1" si="3"/>
        <v>47</v>
      </c>
      <c r="I53" s="53">
        <f t="shared" ca="1" si="0"/>
        <v>2444</v>
      </c>
    </row>
    <row r="54" spans="1:9" s="58" customFormat="1" ht="15" customHeight="1">
      <c r="A54" s="50">
        <v>3</v>
      </c>
      <c r="B54" s="51" t="str">
        <f ca="1">IF($A54="","",NumList())</f>
        <v>2.2.2</v>
      </c>
      <c r="C54" s="62" t="s">
        <v>28</v>
      </c>
      <c r="D54" s="55">
        <f t="shared" ca="1" si="1"/>
        <v>1</v>
      </c>
      <c r="E54" s="55"/>
      <c r="F54" s="55">
        <f t="shared" ca="1" si="2"/>
        <v>1</v>
      </c>
      <c r="G54" s="51" t="s">
        <v>8</v>
      </c>
      <c r="H54" s="78">
        <f t="shared" ca="1" si="3"/>
        <v>74</v>
      </c>
      <c r="I54" s="53">
        <f t="shared" ca="1" si="0"/>
        <v>74</v>
      </c>
    </row>
    <row r="55" spans="1:9" s="58" customFormat="1" ht="15" customHeight="1">
      <c r="A55" s="50">
        <v>3</v>
      </c>
      <c r="B55" s="51" t="str">
        <f ca="1">IF($A55="","",NumList())</f>
        <v>2.2.3</v>
      </c>
      <c r="C55" s="62" t="s">
        <v>46</v>
      </c>
      <c r="D55" s="55">
        <f t="shared" ca="1" si="1"/>
        <v>1</v>
      </c>
      <c r="E55" s="55"/>
      <c r="F55" s="55">
        <f t="shared" ca="1" si="2"/>
        <v>96</v>
      </c>
      <c r="G55" s="51" t="s">
        <v>8</v>
      </c>
      <c r="H55" s="78">
        <f t="shared" ca="1" si="3"/>
        <v>37</v>
      </c>
      <c r="I55" s="53">
        <f t="shared" ca="1" si="0"/>
        <v>3552</v>
      </c>
    </row>
    <row r="56" spans="1:9" s="58" customFormat="1" ht="15" customHeight="1">
      <c r="A56" s="50">
        <v>3</v>
      </c>
      <c r="B56" s="51" t="str">
        <f ca="1">IF($A56="","",NumList())</f>
        <v>2.2.4</v>
      </c>
      <c r="C56" s="62" t="s">
        <v>26</v>
      </c>
      <c r="D56" s="55">
        <f t="shared" ca="1" si="1"/>
        <v>1</v>
      </c>
      <c r="E56" s="55"/>
      <c r="F56" s="55">
        <f t="shared" ca="1" si="2"/>
        <v>17</v>
      </c>
      <c r="G56" s="51" t="s">
        <v>8</v>
      </c>
      <c r="H56" s="78">
        <f t="shared" ca="1" si="3"/>
        <v>49</v>
      </c>
      <c r="I56" s="53">
        <f t="shared" ca="1" si="0"/>
        <v>833</v>
      </c>
    </row>
    <row r="57" spans="1:9" s="58" customFormat="1" ht="15" customHeight="1">
      <c r="A57" s="50">
        <v>3</v>
      </c>
      <c r="B57" s="51" t="str">
        <f ca="1">IF($A57="","",NumList())</f>
        <v>2.2.5</v>
      </c>
      <c r="C57" s="61" t="s">
        <v>27</v>
      </c>
      <c r="D57" s="55">
        <f t="shared" ca="1" si="1"/>
        <v>1</v>
      </c>
      <c r="E57" s="55"/>
      <c r="F57" s="55">
        <f t="shared" ca="1" si="2"/>
        <v>53</v>
      </c>
      <c r="G57" s="51" t="s">
        <v>8</v>
      </c>
      <c r="H57" s="78">
        <f t="shared" ca="1" si="3"/>
        <v>12</v>
      </c>
      <c r="I57" s="53">
        <f t="shared" ca="1" si="0"/>
        <v>636</v>
      </c>
    </row>
    <row r="58" spans="1:9" s="58" customFormat="1" ht="15" customHeight="1">
      <c r="A58" s="50">
        <v>3</v>
      </c>
      <c r="B58" s="51" t="str">
        <f ca="1">IF($A58="","",NumList())</f>
        <v>2.2.6</v>
      </c>
      <c r="C58" s="61" t="s">
        <v>44</v>
      </c>
      <c r="D58" s="55">
        <f t="shared" ca="1" si="1"/>
        <v>1</v>
      </c>
      <c r="E58" s="55"/>
      <c r="F58" s="55">
        <f t="shared" ca="1" si="2"/>
        <v>34</v>
      </c>
      <c r="G58" s="51" t="s">
        <v>8</v>
      </c>
      <c r="H58" s="78">
        <f t="shared" ca="1" si="3"/>
        <v>8</v>
      </c>
      <c r="I58" s="53">
        <f t="shared" ca="1" si="0"/>
        <v>272</v>
      </c>
    </row>
    <row r="59" spans="1:9" s="58" customFormat="1" ht="15" customHeight="1">
      <c r="A59" s="50">
        <v>3</v>
      </c>
      <c r="B59" s="51" t="str">
        <f ca="1">IF($A59="","",NumList())</f>
        <v>2.2.7</v>
      </c>
      <c r="C59" s="61" t="s">
        <v>45</v>
      </c>
      <c r="D59" s="55">
        <f t="shared" ca="1" si="1"/>
        <v>1</v>
      </c>
      <c r="E59" s="55"/>
      <c r="F59" s="55">
        <f t="shared" ca="1" si="2"/>
        <v>3</v>
      </c>
      <c r="G59" s="51" t="s">
        <v>8</v>
      </c>
      <c r="H59" s="78">
        <f t="shared" ca="1" si="3"/>
        <v>97</v>
      </c>
      <c r="I59" s="53">
        <f t="shared" ca="1" si="0"/>
        <v>291</v>
      </c>
    </row>
    <row r="60" spans="1:9" s="58" customFormat="1" ht="31.5" customHeight="1">
      <c r="A60" s="50">
        <v>2</v>
      </c>
      <c r="B60" s="51" t="str">
        <f ca="1">IF($A60="","",NumList())</f>
        <v>2.3</v>
      </c>
      <c r="C60" s="61" t="s">
        <v>451</v>
      </c>
      <c r="D60" s="55">
        <f t="shared" ca="1" si="1"/>
        <v>0</v>
      </c>
      <c r="E60" s="55"/>
      <c r="F60" s="55">
        <f t="shared" ca="1" si="2"/>
        <v>0</v>
      </c>
      <c r="G60" s="51"/>
      <c r="H60" s="78">
        <f t="shared" ca="1" si="3"/>
        <v>0</v>
      </c>
      <c r="I60" s="53">
        <f t="shared" ca="1" si="0"/>
        <v>0</v>
      </c>
    </row>
    <row r="61" spans="1:9" s="58" customFormat="1" ht="15" customHeight="1">
      <c r="A61" s="50">
        <v>3</v>
      </c>
      <c r="B61" s="51" t="str">
        <f ca="1">IF($A61="","",NumList())</f>
        <v>2.3.1</v>
      </c>
      <c r="C61" s="62" t="s">
        <v>330</v>
      </c>
      <c r="D61" s="55">
        <f t="shared" ca="1" si="1"/>
        <v>1</v>
      </c>
      <c r="E61" s="55"/>
      <c r="F61" s="55">
        <f t="shared" ca="1" si="2"/>
        <v>81</v>
      </c>
      <c r="G61" s="51" t="s">
        <v>8</v>
      </c>
      <c r="H61" s="78">
        <f t="shared" ca="1" si="3"/>
        <v>75</v>
      </c>
      <c r="I61" s="53">
        <f t="shared" ca="1" si="0"/>
        <v>6075</v>
      </c>
    </row>
    <row r="62" spans="1:9" s="58" customFormat="1" ht="15" customHeight="1">
      <c r="A62" s="50">
        <v>3</v>
      </c>
      <c r="B62" s="51" t="str">
        <f ca="1">IF($A62="","",NumList())</f>
        <v>2.3.2</v>
      </c>
      <c r="C62" s="62" t="s">
        <v>331</v>
      </c>
      <c r="D62" s="55">
        <f t="shared" ca="1" si="1"/>
        <v>1</v>
      </c>
      <c r="E62" s="55"/>
      <c r="F62" s="55">
        <f t="shared" ca="1" si="2"/>
        <v>13</v>
      </c>
      <c r="G62" s="51" t="s">
        <v>8</v>
      </c>
      <c r="H62" s="78">
        <f t="shared" ca="1" si="3"/>
        <v>20</v>
      </c>
      <c r="I62" s="53">
        <f t="shared" ca="1" si="0"/>
        <v>260</v>
      </c>
    </row>
    <row r="63" spans="1:9" s="58" customFormat="1" ht="15" customHeight="1">
      <c r="A63" s="50">
        <v>3</v>
      </c>
      <c r="B63" s="51" t="str">
        <f ca="1">IF($A63="","",NumList())</f>
        <v>2.3.3</v>
      </c>
      <c r="C63" s="62" t="s">
        <v>332</v>
      </c>
      <c r="D63" s="55">
        <f t="shared" ca="1" si="1"/>
        <v>1</v>
      </c>
      <c r="E63" s="55"/>
      <c r="F63" s="55">
        <f t="shared" ca="1" si="2"/>
        <v>68</v>
      </c>
      <c r="G63" s="51" t="s">
        <v>8</v>
      </c>
      <c r="H63" s="78">
        <f t="shared" ca="1" si="3"/>
        <v>33</v>
      </c>
      <c r="I63" s="53">
        <f t="shared" ca="1" si="0"/>
        <v>2244</v>
      </c>
    </row>
    <row r="64" spans="1:9" s="58" customFormat="1" ht="15" customHeight="1">
      <c r="A64" s="50">
        <v>3</v>
      </c>
      <c r="B64" s="51" t="str">
        <f ca="1">IF($A64="","",NumList())</f>
        <v>2.3.4</v>
      </c>
      <c r="C64" s="62" t="s">
        <v>452</v>
      </c>
      <c r="D64" s="55">
        <f t="shared" ca="1" si="1"/>
        <v>1</v>
      </c>
      <c r="E64" s="55"/>
      <c r="F64" s="55">
        <f t="shared" ca="1" si="2"/>
        <v>69</v>
      </c>
      <c r="G64" s="51" t="s">
        <v>8</v>
      </c>
      <c r="H64" s="78">
        <f t="shared" ca="1" si="3"/>
        <v>6</v>
      </c>
      <c r="I64" s="53">
        <f t="shared" ca="1" si="0"/>
        <v>414</v>
      </c>
    </row>
    <row r="65" spans="1:10" s="58" customFormat="1" ht="15" customHeight="1">
      <c r="A65" s="50">
        <v>3</v>
      </c>
      <c r="B65" s="51" t="str">
        <f ca="1">IF($A65="","",NumList())</f>
        <v>2.3.5</v>
      </c>
      <c r="C65" s="61" t="s">
        <v>453</v>
      </c>
      <c r="D65" s="55">
        <f t="shared" ca="1" si="1"/>
        <v>1</v>
      </c>
      <c r="E65" s="55"/>
      <c r="F65" s="55">
        <f t="shared" ca="1" si="2"/>
        <v>36</v>
      </c>
      <c r="G65" s="51" t="s">
        <v>8</v>
      </c>
      <c r="H65" s="78">
        <f t="shared" ca="1" si="3"/>
        <v>34</v>
      </c>
      <c r="I65" s="53">
        <f t="shared" ca="1" si="0"/>
        <v>1224</v>
      </c>
    </row>
    <row r="66" spans="1:10" s="58" customFormat="1" ht="15" customHeight="1">
      <c r="A66" s="50">
        <v>2</v>
      </c>
      <c r="B66" s="51" t="str">
        <f ca="1">IF($A66="","",NumList())</f>
        <v>2.4</v>
      </c>
      <c r="C66" s="62" t="s">
        <v>454</v>
      </c>
      <c r="D66" s="55">
        <f t="shared" ca="1" si="1"/>
        <v>0</v>
      </c>
      <c r="E66" s="55"/>
      <c r="F66" s="55">
        <f t="shared" ca="1" si="2"/>
        <v>0</v>
      </c>
      <c r="G66" s="51"/>
      <c r="H66" s="78">
        <f t="shared" ca="1" si="3"/>
        <v>0</v>
      </c>
      <c r="I66" s="53">
        <f t="shared" ca="1" si="0"/>
        <v>0</v>
      </c>
    </row>
    <row r="67" spans="1:10" s="58" customFormat="1" ht="15" customHeight="1">
      <c r="A67" s="50">
        <v>3</v>
      </c>
      <c r="B67" s="51" t="str">
        <f ca="1">IF($A67="","",NumList())</f>
        <v>2.4.1</v>
      </c>
      <c r="C67" s="61" t="s">
        <v>44</v>
      </c>
      <c r="D67" s="55">
        <f t="shared" ca="1" si="1"/>
        <v>1</v>
      </c>
      <c r="E67" s="55"/>
      <c r="F67" s="55">
        <f t="shared" ca="1" si="2"/>
        <v>43</v>
      </c>
      <c r="G67" s="51" t="s">
        <v>8</v>
      </c>
      <c r="H67" s="78">
        <f t="shared" ca="1" si="3"/>
        <v>93</v>
      </c>
      <c r="I67" s="53">
        <f t="shared" ca="1" si="0"/>
        <v>3999</v>
      </c>
    </row>
    <row r="68" spans="1:10" s="58" customFormat="1" ht="15" customHeight="1">
      <c r="A68" s="50">
        <v>3</v>
      </c>
      <c r="B68" s="51" t="str">
        <f ca="1">IF($A68="","",NumList())</f>
        <v>2.4.2</v>
      </c>
      <c r="C68" s="61" t="s">
        <v>45</v>
      </c>
      <c r="D68" s="55">
        <f t="shared" ca="1" si="1"/>
        <v>1</v>
      </c>
      <c r="E68" s="55"/>
      <c r="F68" s="55">
        <f t="shared" ca="1" si="2"/>
        <v>70</v>
      </c>
      <c r="G68" s="51" t="s">
        <v>8</v>
      </c>
      <c r="H68" s="78">
        <f t="shared" ca="1" si="3"/>
        <v>4</v>
      </c>
      <c r="I68" s="53">
        <f t="shared" ca="1" si="0"/>
        <v>280</v>
      </c>
    </row>
    <row r="69" spans="1:10" s="58" customFormat="1" ht="15" customHeight="1">
      <c r="A69" s="50">
        <v>2</v>
      </c>
      <c r="B69" s="51" t="str">
        <f ca="1">IF($A69="","",NumList())</f>
        <v>2.5</v>
      </c>
      <c r="C69" s="62" t="s">
        <v>458</v>
      </c>
      <c r="D69" s="55">
        <f t="shared" ca="1" si="1"/>
        <v>0</v>
      </c>
      <c r="E69" s="55"/>
      <c r="F69" s="55">
        <f t="shared" ca="1" si="2"/>
        <v>0</v>
      </c>
      <c r="G69" s="51"/>
      <c r="H69" s="78">
        <f t="shared" ca="1" si="3"/>
        <v>0</v>
      </c>
      <c r="I69" s="53">
        <f t="shared" ca="1" si="0"/>
        <v>0</v>
      </c>
      <c r="J69" s="58" t="s">
        <v>445</v>
      </c>
    </row>
    <row r="70" spans="1:10" s="58" customFormat="1" ht="15" customHeight="1">
      <c r="A70" s="50">
        <v>3</v>
      </c>
      <c r="B70" s="51" t="str">
        <f ca="1">IF($A70="","",NumList())</f>
        <v>2.5.1</v>
      </c>
      <c r="C70" s="62" t="s">
        <v>257</v>
      </c>
      <c r="D70" s="55">
        <f t="shared" ca="1" si="1"/>
        <v>1</v>
      </c>
      <c r="E70" s="55"/>
      <c r="F70" s="55">
        <f t="shared" ca="1" si="2"/>
        <v>22</v>
      </c>
      <c r="G70" s="51" t="s">
        <v>8</v>
      </c>
      <c r="H70" s="78">
        <f t="shared" ca="1" si="3"/>
        <v>59</v>
      </c>
      <c r="I70" s="53">
        <f t="shared" ca="1" si="0"/>
        <v>1298</v>
      </c>
      <c r="J70" s="58" t="s">
        <v>446</v>
      </c>
    </row>
    <row r="71" spans="1:10" s="58" customFormat="1" ht="15" customHeight="1">
      <c r="A71" s="50">
        <v>3</v>
      </c>
      <c r="B71" s="51" t="str">
        <f ca="1">IF($A71="","",NumList())</f>
        <v>2.5.2</v>
      </c>
      <c r="C71" s="61" t="s">
        <v>258</v>
      </c>
      <c r="D71" s="55">
        <f t="shared" ca="1" si="1"/>
        <v>1</v>
      </c>
      <c r="E71" s="55"/>
      <c r="F71" s="55">
        <f t="shared" ca="1" si="2"/>
        <v>18</v>
      </c>
      <c r="G71" s="51" t="s">
        <v>8</v>
      </c>
      <c r="H71" s="78">
        <f t="shared" ca="1" si="3"/>
        <v>94</v>
      </c>
      <c r="I71" s="53">
        <f t="shared" ca="1" si="0"/>
        <v>1692</v>
      </c>
      <c r="J71" s="58" t="s">
        <v>447</v>
      </c>
    </row>
    <row r="72" spans="1:10" s="58" customFormat="1" ht="15" customHeight="1">
      <c r="A72" s="50">
        <v>3</v>
      </c>
      <c r="B72" s="51" t="str">
        <f ca="1">IF($A72="","",NumList())</f>
        <v>2.5.3</v>
      </c>
      <c r="C72" s="61" t="s">
        <v>259</v>
      </c>
      <c r="D72" s="55">
        <f t="shared" ca="1" si="1"/>
        <v>1</v>
      </c>
      <c r="E72" s="55"/>
      <c r="F72" s="55">
        <f t="shared" ca="1" si="2"/>
        <v>2</v>
      </c>
      <c r="G72" s="51" t="s">
        <v>8</v>
      </c>
      <c r="H72" s="78">
        <f t="shared" ca="1" si="3"/>
        <v>4</v>
      </c>
      <c r="I72" s="53">
        <f t="shared" ca="1" si="0"/>
        <v>8</v>
      </c>
    </row>
    <row r="73" spans="1:10" s="58" customFormat="1" ht="15" customHeight="1">
      <c r="A73" s="50">
        <v>3</v>
      </c>
      <c r="B73" s="51" t="str">
        <f ca="1">IF($A73="","",NumList())</f>
        <v>2.5.4</v>
      </c>
      <c r="C73" s="61" t="s">
        <v>260</v>
      </c>
      <c r="D73" s="55">
        <f t="shared" ca="1" si="1"/>
        <v>1</v>
      </c>
      <c r="E73" s="55"/>
      <c r="F73" s="55">
        <f t="shared" ca="1" si="2"/>
        <v>72</v>
      </c>
      <c r="G73" s="51" t="s">
        <v>8</v>
      </c>
      <c r="H73" s="78">
        <f t="shared" ca="1" si="3"/>
        <v>100</v>
      </c>
      <c r="I73" s="53">
        <f t="shared" ca="1" si="0"/>
        <v>7200</v>
      </c>
    </row>
    <row r="74" spans="1:10" s="58" customFormat="1" ht="15" customHeight="1">
      <c r="A74" s="50">
        <v>2</v>
      </c>
      <c r="B74" s="51" t="str">
        <f ca="1">IF($A74="","",NumList())</f>
        <v>2.6</v>
      </c>
      <c r="C74" s="62" t="s">
        <v>261</v>
      </c>
      <c r="D74" s="55">
        <f t="shared" ca="1" si="1"/>
        <v>0</v>
      </c>
      <c r="E74" s="55"/>
      <c r="F74" s="55">
        <f t="shared" ca="1" si="2"/>
        <v>0</v>
      </c>
      <c r="G74" s="51"/>
      <c r="H74" s="78">
        <f t="shared" ca="1" si="3"/>
        <v>0</v>
      </c>
      <c r="I74" s="53">
        <f t="shared" ca="1" si="0"/>
        <v>0</v>
      </c>
    </row>
    <row r="75" spans="1:10" s="58" customFormat="1" ht="15" customHeight="1">
      <c r="A75" s="50">
        <v>3</v>
      </c>
      <c r="B75" s="51" t="str">
        <f ca="1">IF($A75="","",NumList())</f>
        <v>2.6.1</v>
      </c>
      <c r="C75" s="62" t="s">
        <v>606</v>
      </c>
      <c r="D75" s="55">
        <f t="shared" ca="1" si="1"/>
        <v>0</v>
      </c>
      <c r="E75" s="55"/>
      <c r="F75" s="55">
        <f t="shared" ca="1" si="2"/>
        <v>0</v>
      </c>
      <c r="H75" s="78">
        <f t="shared" ca="1" si="3"/>
        <v>0</v>
      </c>
      <c r="I75" s="53">
        <f t="shared" ca="1" si="0"/>
        <v>0</v>
      </c>
    </row>
    <row r="76" spans="1:10" s="58" customFormat="1" ht="15" customHeight="1">
      <c r="A76" s="50">
        <v>4</v>
      </c>
      <c r="B76" s="51" t="str">
        <f ca="1">IF($A76="","",NumList())</f>
        <v>2.6.1.1</v>
      </c>
      <c r="C76" s="62" t="s">
        <v>26</v>
      </c>
      <c r="D76" s="55">
        <f t="shared" ca="1" si="1"/>
        <v>1</v>
      </c>
      <c r="E76" s="55"/>
      <c r="F76" s="55">
        <f t="shared" ca="1" si="2"/>
        <v>96</v>
      </c>
      <c r="G76" s="51" t="s">
        <v>8</v>
      </c>
      <c r="H76" s="78">
        <f t="shared" ca="1" si="3"/>
        <v>92</v>
      </c>
      <c r="I76" s="53">
        <f t="shared" ca="1" si="0"/>
        <v>8832</v>
      </c>
    </row>
    <row r="77" spans="1:10" s="58" customFormat="1" ht="15" customHeight="1">
      <c r="A77" s="50">
        <v>4</v>
      </c>
      <c r="B77" s="51" t="str">
        <f ca="1">IF($A77="","",NumList())</f>
        <v>2.6.1.2</v>
      </c>
      <c r="C77" s="61" t="s">
        <v>27</v>
      </c>
      <c r="D77" s="55">
        <f t="shared" ca="1" si="1"/>
        <v>1</v>
      </c>
      <c r="E77" s="55"/>
      <c r="F77" s="55">
        <f t="shared" ca="1" si="2"/>
        <v>33</v>
      </c>
      <c r="G77" s="51" t="s">
        <v>8</v>
      </c>
      <c r="H77" s="78">
        <f t="shared" ca="1" si="3"/>
        <v>92</v>
      </c>
      <c r="I77" s="53">
        <f t="shared" ca="1" si="0"/>
        <v>3036</v>
      </c>
    </row>
    <row r="78" spans="1:10" s="58" customFormat="1" ht="15" customHeight="1">
      <c r="A78" s="50">
        <v>4</v>
      </c>
      <c r="B78" s="51" t="str">
        <f ca="1">IF($A78="","",NumList())</f>
        <v>2.6.1.3</v>
      </c>
      <c r="C78" s="61" t="s">
        <v>44</v>
      </c>
      <c r="D78" s="55">
        <f t="shared" ca="1" si="1"/>
        <v>1</v>
      </c>
      <c r="E78" s="55"/>
      <c r="F78" s="55">
        <f t="shared" ca="1" si="2"/>
        <v>73</v>
      </c>
      <c r="G78" s="51" t="s">
        <v>8</v>
      </c>
      <c r="H78" s="78">
        <f t="shared" ca="1" si="3"/>
        <v>52</v>
      </c>
      <c r="I78" s="53">
        <f t="shared" ca="1" si="0"/>
        <v>3796</v>
      </c>
    </row>
    <row r="79" spans="1:10" s="58" customFormat="1" ht="15" customHeight="1">
      <c r="A79" s="50">
        <v>4</v>
      </c>
      <c r="B79" s="51" t="str">
        <f ca="1">IF($A79="","",NumList())</f>
        <v>2.6.1.4</v>
      </c>
      <c r="C79" s="61" t="s">
        <v>45</v>
      </c>
      <c r="D79" s="55">
        <f t="shared" ca="1" si="1"/>
        <v>1</v>
      </c>
      <c r="E79" s="55"/>
      <c r="F79" s="55">
        <f t="shared" ca="1" si="2"/>
        <v>35</v>
      </c>
      <c r="G79" s="51" t="s">
        <v>8</v>
      </c>
      <c r="H79" s="78">
        <f t="shared" ca="1" si="3"/>
        <v>42</v>
      </c>
      <c r="I79" s="53">
        <f t="shared" ca="1" si="0"/>
        <v>1470</v>
      </c>
    </row>
    <row r="80" spans="1:10" s="58" customFormat="1" ht="15" customHeight="1">
      <c r="A80" s="50">
        <v>3</v>
      </c>
      <c r="B80" s="51" t="str">
        <f ca="1">IF($A80="","",NumList())</f>
        <v>2.6.2</v>
      </c>
      <c r="C80" s="62" t="s">
        <v>607</v>
      </c>
      <c r="D80" s="55">
        <f t="shared" ca="1" si="1"/>
        <v>0</v>
      </c>
      <c r="E80" s="55"/>
      <c r="F80" s="55">
        <f t="shared" ca="1" si="2"/>
        <v>0</v>
      </c>
      <c r="H80" s="78">
        <f t="shared" ca="1" si="3"/>
        <v>0</v>
      </c>
      <c r="I80" s="53">
        <f t="shared" ca="1" si="0"/>
        <v>0</v>
      </c>
    </row>
    <row r="81" spans="1:9" s="58" customFormat="1" ht="15" customHeight="1">
      <c r="A81" s="50">
        <v>4</v>
      </c>
      <c r="B81" s="51" t="str">
        <f ca="1">IF($A81="","",NumList())</f>
        <v>2.6.2.1</v>
      </c>
      <c r="C81" s="62" t="s">
        <v>26</v>
      </c>
      <c r="D81" s="55">
        <f t="shared" ca="1" si="1"/>
        <v>1</v>
      </c>
      <c r="E81" s="55"/>
      <c r="F81" s="55">
        <f t="shared" ca="1" si="2"/>
        <v>20</v>
      </c>
      <c r="G81" s="51" t="s">
        <v>8</v>
      </c>
      <c r="H81" s="78">
        <f t="shared" ca="1" si="3"/>
        <v>27</v>
      </c>
      <c r="I81" s="53">
        <f t="shared" ca="1" si="0"/>
        <v>540</v>
      </c>
    </row>
    <row r="82" spans="1:9" s="58" customFormat="1" ht="15" customHeight="1">
      <c r="A82" s="50">
        <v>4</v>
      </c>
      <c r="B82" s="51" t="str">
        <f ca="1">IF($A82="","",NumList())</f>
        <v>2.6.2.2</v>
      </c>
      <c r="C82" s="61" t="s">
        <v>27</v>
      </c>
      <c r="D82" s="55">
        <f t="shared" ca="1" si="1"/>
        <v>1</v>
      </c>
      <c r="E82" s="55"/>
      <c r="F82" s="55">
        <f t="shared" ca="1" si="2"/>
        <v>9</v>
      </c>
      <c r="G82" s="51" t="s">
        <v>8</v>
      </c>
      <c r="H82" s="78">
        <f t="shared" ca="1" si="3"/>
        <v>25</v>
      </c>
      <c r="I82" s="53">
        <f t="shared" ca="1" si="0"/>
        <v>225</v>
      </c>
    </row>
    <row r="83" spans="1:9" s="58" customFormat="1" ht="15" customHeight="1">
      <c r="A83" s="50">
        <v>4</v>
      </c>
      <c r="B83" s="51" t="str">
        <f ca="1">IF($A83="","",NumList())</f>
        <v>2.6.2.3</v>
      </c>
      <c r="C83" s="61" t="s">
        <v>44</v>
      </c>
      <c r="D83" s="55">
        <f t="shared" ca="1" si="1"/>
        <v>1</v>
      </c>
      <c r="E83" s="55"/>
      <c r="F83" s="55">
        <f t="shared" ca="1" si="2"/>
        <v>44</v>
      </c>
      <c r="G83" s="51" t="s">
        <v>8</v>
      </c>
      <c r="H83" s="78">
        <f t="shared" ca="1" si="3"/>
        <v>47</v>
      </c>
      <c r="I83" s="53">
        <f t="shared" ca="1" si="0"/>
        <v>2068</v>
      </c>
    </row>
    <row r="84" spans="1:9" s="58" customFormat="1" ht="15" customHeight="1">
      <c r="A84" s="50">
        <v>4</v>
      </c>
      <c r="B84" s="51" t="str">
        <f ca="1">IF($A84="","",NumList())</f>
        <v>2.6.2.4</v>
      </c>
      <c r="C84" s="61" t="s">
        <v>45</v>
      </c>
      <c r="D84" s="55">
        <f t="shared" ca="1" si="1"/>
        <v>1</v>
      </c>
      <c r="E84" s="55"/>
      <c r="F84" s="55">
        <f t="shared" ca="1" si="2"/>
        <v>7</v>
      </c>
      <c r="G84" s="51" t="s">
        <v>8</v>
      </c>
      <c r="H84" s="78">
        <f t="shared" ca="1" si="3"/>
        <v>2</v>
      </c>
      <c r="I84" s="53">
        <f t="shared" ca="1" si="0"/>
        <v>14</v>
      </c>
    </row>
    <row r="85" spans="1:9" s="58" customFormat="1" ht="15" customHeight="1">
      <c r="A85" s="50">
        <v>3</v>
      </c>
      <c r="B85" s="51" t="str">
        <f ca="1">IF($A85="","",NumList())</f>
        <v>2.6.3</v>
      </c>
      <c r="C85" s="62" t="s">
        <v>608</v>
      </c>
      <c r="D85" s="55">
        <f t="shared" ca="1" si="1"/>
        <v>0</v>
      </c>
      <c r="E85" s="55"/>
      <c r="F85" s="55">
        <f t="shared" ca="1" si="2"/>
        <v>0</v>
      </c>
      <c r="H85" s="78">
        <f t="shared" ca="1" si="3"/>
        <v>0</v>
      </c>
      <c r="I85" s="53">
        <f t="shared" ca="1" si="0"/>
        <v>0</v>
      </c>
    </row>
    <row r="86" spans="1:9" s="58" customFormat="1" ht="15" customHeight="1">
      <c r="A86" s="50">
        <v>4</v>
      </c>
      <c r="B86" s="51" t="str">
        <f ca="1">IF($A86="","",NumList())</f>
        <v>2.6.3.1</v>
      </c>
      <c r="C86" s="62" t="s">
        <v>26</v>
      </c>
      <c r="D86" s="55">
        <f t="shared" ca="1" si="1"/>
        <v>1</v>
      </c>
      <c r="E86" s="55"/>
      <c r="F86" s="55">
        <f t="shared" ca="1" si="2"/>
        <v>22</v>
      </c>
      <c r="G86" s="51" t="s">
        <v>8</v>
      </c>
      <c r="H86" s="78">
        <f t="shared" ca="1" si="3"/>
        <v>95</v>
      </c>
      <c r="I86" s="53">
        <f t="shared" ca="1" si="0"/>
        <v>2090</v>
      </c>
    </row>
    <row r="87" spans="1:9" s="58" customFormat="1" ht="15" customHeight="1">
      <c r="A87" s="50">
        <v>4</v>
      </c>
      <c r="B87" s="51" t="str">
        <f ca="1">IF($A87="","",NumList())</f>
        <v>2.6.3.2</v>
      </c>
      <c r="C87" s="61" t="s">
        <v>27</v>
      </c>
      <c r="D87" s="55">
        <f t="shared" ca="1" si="1"/>
        <v>1</v>
      </c>
      <c r="E87" s="55"/>
      <c r="F87" s="55">
        <f t="shared" ca="1" si="2"/>
        <v>62</v>
      </c>
      <c r="G87" s="51" t="s">
        <v>8</v>
      </c>
      <c r="H87" s="78">
        <f t="shared" ca="1" si="3"/>
        <v>5</v>
      </c>
      <c r="I87" s="53">
        <f t="shared" ca="1" si="0"/>
        <v>310</v>
      </c>
    </row>
    <row r="88" spans="1:9" s="58" customFormat="1" ht="15" customHeight="1">
      <c r="A88" s="50">
        <v>4</v>
      </c>
      <c r="B88" s="51" t="str">
        <f ca="1">IF($A88="","",NumList())</f>
        <v>2.6.3.3</v>
      </c>
      <c r="C88" s="61" t="s">
        <v>44</v>
      </c>
      <c r="D88" s="55">
        <f t="shared" ca="1" si="1"/>
        <v>1</v>
      </c>
      <c r="E88" s="55"/>
      <c r="F88" s="55">
        <f t="shared" ca="1" si="2"/>
        <v>85</v>
      </c>
      <c r="G88" s="51" t="s">
        <v>8</v>
      </c>
      <c r="H88" s="78">
        <f t="shared" ca="1" si="3"/>
        <v>59</v>
      </c>
      <c r="I88" s="53">
        <f t="shared" ca="1" si="0"/>
        <v>5015</v>
      </c>
    </row>
    <row r="89" spans="1:9" s="58" customFormat="1" ht="15" customHeight="1">
      <c r="A89" s="50">
        <v>4</v>
      </c>
      <c r="B89" s="51" t="str">
        <f ca="1">IF($A89="","",NumList())</f>
        <v>2.6.3.4</v>
      </c>
      <c r="C89" s="61" t="s">
        <v>45</v>
      </c>
      <c r="D89" s="55">
        <f t="shared" ca="1" si="1"/>
        <v>1</v>
      </c>
      <c r="E89" s="55"/>
      <c r="F89" s="55">
        <f t="shared" ca="1" si="2"/>
        <v>59</v>
      </c>
      <c r="G89" s="51" t="s">
        <v>8</v>
      </c>
      <c r="H89" s="78">
        <f t="shared" ca="1" si="3"/>
        <v>64</v>
      </c>
      <c r="I89" s="53">
        <f t="shared" ref="I89:I146" ca="1" si="4">F89*H89</f>
        <v>3776</v>
      </c>
    </row>
    <row r="90" spans="1:9" s="58" customFormat="1" ht="15" customHeight="1">
      <c r="A90" s="50">
        <v>3</v>
      </c>
      <c r="B90" s="51" t="str">
        <f ca="1">IF($A90="","",NumList())</f>
        <v>2.6.4</v>
      </c>
      <c r="C90" s="62" t="s">
        <v>609</v>
      </c>
      <c r="D90" s="55">
        <f t="shared" ca="1" si="1"/>
        <v>0</v>
      </c>
      <c r="E90" s="55"/>
      <c r="F90" s="55">
        <f t="shared" ca="1" si="2"/>
        <v>0</v>
      </c>
      <c r="H90" s="78">
        <f t="shared" ca="1" si="3"/>
        <v>0</v>
      </c>
      <c r="I90" s="53">
        <f t="shared" ca="1" si="4"/>
        <v>0</v>
      </c>
    </row>
    <row r="91" spans="1:9" s="58" customFormat="1" ht="15" customHeight="1">
      <c r="A91" s="50">
        <v>4</v>
      </c>
      <c r="B91" s="51" t="str">
        <f ca="1">IF($A91="","",NumList())</f>
        <v>2.6.4.1</v>
      </c>
      <c r="C91" s="62" t="s">
        <v>26</v>
      </c>
      <c r="D91" s="55">
        <f t="shared" ca="1" si="1"/>
        <v>1</v>
      </c>
      <c r="E91" s="55"/>
      <c r="F91" s="55">
        <f t="shared" ca="1" si="2"/>
        <v>24</v>
      </c>
      <c r="G91" s="51" t="s">
        <v>8</v>
      </c>
      <c r="H91" s="78">
        <f t="shared" ca="1" si="3"/>
        <v>85</v>
      </c>
      <c r="I91" s="53">
        <f t="shared" ca="1" si="4"/>
        <v>2040</v>
      </c>
    </row>
    <row r="92" spans="1:9" s="58" customFormat="1" ht="15" customHeight="1">
      <c r="A92" s="50">
        <v>4</v>
      </c>
      <c r="B92" s="51" t="str">
        <f ca="1">IF($A92="","",NumList())</f>
        <v>2.6.4.2</v>
      </c>
      <c r="C92" s="61" t="s">
        <v>27</v>
      </c>
      <c r="D92" s="55">
        <f t="shared" ref="D92:D150" ca="1" si="5">IF(ISTEXT(G92),RANDBETWEEN(1,1),0)</f>
        <v>1</v>
      </c>
      <c r="E92" s="55"/>
      <c r="F92" s="55">
        <f t="shared" ref="F92:F147" ca="1" si="6">IF(ISTEXT(G92),RANDBETWEEN(1,100),0)</f>
        <v>64</v>
      </c>
      <c r="G92" s="51" t="s">
        <v>8</v>
      </c>
      <c r="H92" s="78">
        <f t="shared" ref="H92:H149" ca="1" si="7">IF(ISTEXT(G92),RANDBETWEEN(1,100),0)</f>
        <v>57</v>
      </c>
      <c r="I92" s="53">
        <f t="shared" ca="1" si="4"/>
        <v>3648</v>
      </c>
    </row>
    <row r="93" spans="1:9" s="58" customFormat="1" ht="15" customHeight="1">
      <c r="A93" s="50">
        <v>4</v>
      </c>
      <c r="B93" s="51" t="str">
        <f ca="1">IF($A93="","",NumList())</f>
        <v>2.6.4.3</v>
      </c>
      <c r="C93" s="61" t="s">
        <v>44</v>
      </c>
      <c r="D93" s="55">
        <f t="shared" ca="1" si="5"/>
        <v>1</v>
      </c>
      <c r="E93" s="55"/>
      <c r="F93" s="55">
        <f t="shared" ca="1" si="6"/>
        <v>36</v>
      </c>
      <c r="G93" s="51" t="s">
        <v>8</v>
      </c>
      <c r="H93" s="78">
        <f t="shared" ca="1" si="7"/>
        <v>18</v>
      </c>
      <c r="I93" s="53">
        <f t="shared" ca="1" si="4"/>
        <v>648</v>
      </c>
    </row>
    <row r="94" spans="1:9" s="58" customFormat="1" ht="15" customHeight="1">
      <c r="A94" s="50">
        <v>4</v>
      </c>
      <c r="B94" s="51" t="str">
        <f ca="1">IF($A94="","",NumList())</f>
        <v>2.6.4.4</v>
      </c>
      <c r="C94" s="61" t="s">
        <v>45</v>
      </c>
      <c r="D94" s="55">
        <f t="shared" ca="1" si="5"/>
        <v>1</v>
      </c>
      <c r="E94" s="55"/>
      <c r="F94" s="55">
        <f t="shared" ca="1" si="6"/>
        <v>54</v>
      </c>
      <c r="G94" s="51" t="s">
        <v>8</v>
      </c>
      <c r="H94" s="78">
        <f t="shared" ca="1" si="7"/>
        <v>41</v>
      </c>
      <c r="I94" s="53">
        <f t="shared" ca="1" si="4"/>
        <v>2214</v>
      </c>
    </row>
    <row r="95" spans="1:9" s="58" customFormat="1" ht="15" customHeight="1">
      <c r="A95" s="50">
        <v>2</v>
      </c>
      <c r="B95" s="51" t="str">
        <f ca="1">IF($A95="","",NumList())</f>
        <v>2.7</v>
      </c>
      <c r="C95" s="62" t="s">
        <v>459</v>
      </c>
      <c r="D95" s="55">
        <f t="shared" ca="1" si="5"/>
        <v>0</v>
      </c>
      <c r="E95" s="55"/>
      <c r="F95" s="55">
        <f t="shared" ca="1" si="6"/>
        <v>0</v>
      </c>
      <c r="G95" s="51"/>
      <c r="H95" s="78">
        <f t="shared" ca="1" si="7"/>
        <v>0</v>
      </c>
      <c r="I95" s="53">
        <f t="shared" ca="1" si="4"/>
        <v>0</v>
      </c>
    </row>
    <row r="96" spans="1:9" s="58" customFormat="1" ht="15" customHeight="1">
      <c r="A96" s="50">
        <v>3</v>
      </c>
      <c r="B96" s="51" t="str">
        <f ca="1">IF($A96="","",NumList())</f>
        <v>2.7.1</v>
      </c>
      <c r="C96" s="62" t="s">
        <v>26</v>
      </c>
      <c r="D96" s="55">
        <f t="shared" ca="1" si="5"/>
        <v>1</v>
      </c>
      <c r="E96" s="55"/>
      <c r="F96" s="55">
        <f t="shared" ca="1" si="6"/>
        <v>28</v>
      </c>
      <c r="G96" s="51" t="s">
        <v>8</v>
      </c>
      <c r="H96" s="78">
        <f t="shared" ca="1" si="7"/>
        <v>9</v>
      </c>
      <c r="I96" s="53">
        <f t="shared" ca="1" si="4"/>
        <v>252</v>
      </c>
    </row>
    <row r="97" spans="1:10" s="58" customFormat="1" ht="15" customHeight="1">
      <c r="A97" s="50">
        <v>3</v>
      </c>
      <c r="B97" s="51" t="str">
        <f ca="1">IF($A97="","",NumList())</f>
        <v>2.7.2</v>
      </c>
      <c r="C97" s="61" t="s">
        <v>27</v>
      </c>
      <c r="D97" s="55">
        <f t="shared" ca="1" si="5"/>
        <v>1</v>
      </c>
      <c r="E97" s="55"/>
      <c r="F97" s="55">
        <f t="shared" ca="1" si="6"/>
        <v>45</v>
      </c>
      <c r="G97" s="51" t="s">
        <v>8</v>
      </c>
      <c r="H97" s="78">
        <f t="shared" ca="1" si="7"/>
        <v>39</v>
      </c>
      <c r="I97" s="53">
        <f t="shared" ca="1" si="4"/>
        <v>1755</v>
      </c>
    </row>
    <row r="98" spans="1:10" s="58" customFormat="1" ht="15" customHeight="1">
      <c r="A98" s="50">
        <v>3</v>
      </c>
      <c r="B98" s="51" t="str">
        <f ca="1">IF($A98="","",NumList())</f>
        <v>2.7.3</v>
      </c>
      <c r="C98" s="61" t="s">
        <v>44</v>
      </c>
      <c r="D98" s="55">
        <f t="shared" ca="1" si="5"/>
        <v>1</v>
      </c>
      <c r="E98" s="55"/>
      <c r="F98" s="55">
        <f t="shared" ca="1" si="6"/>
        <v>56</v>
      </c>
      <c r="G98" s="51" t="s">
        <v>8</v>
      </c>
      <c r="H98" s="78">
        <f t="shared" ca="1" si="7"/>
        <v>47</v>
      </c>
      <c r="I98" s="53">
        <f t="shared" ca="1" si="4"/>
        <v>2632</v>
      </c>
    </row>
    <row r="99" spans="1:10" s="58" customFormat="1" ht="15" customHeight="1">
      <c r="A99" s="50">
        <v>3</v>
      </c>
      <c r="B99" s="51" t="str">
        <f ca="1">IF($A99="","",NumList())</f>
        <v>2.7.4</v>
      </c>
      <c r="C99" s="61" t="s">
        <v>45</v>
      </c>
      <c r="D99" s="55">
        <f t="shared" ca="1" si="5"/>
        <v>1</v>
      </c>
      <c r="E99" s="55"/>
      <c r="F99" s="55">
        <f t="shared" ca="1" si="6"/>
        <v>4</v>
      </c>
      <c r="G99" s="51" t="s">
        <v>8</v>
      </c>
      <c r="H99" s="78">
        <f t="shared" ca="1" si="7"/>
        <v>90</v>
      </c>
      <c r="I99" s="53">
        <f t="shared" ca="1" si="4"/>
        <v>360</v>
      </c>
    </row>
    <row r="100" spans="1:10" s="58" customFormat="1" ht="15" customHeight="1">
      <c r="A100" s="50">
        <v>2</v>
      </c>
      <c r="B100" s="51" t="str">
        <f ca="1">IF($A100="","",NumList())</f>
        <v>2.8</v>
      </c>
      <c r="C100" s="61" t="s">
        <v>460</v>
      </c>
      <c r="D100" s="55">
        <f t="shared" ca="1" si="5"/>
        <v>0</v>
      </c>
      <c r="E100" s="55"/>
      <c r="F100" s="55">
        <f t="shared" ca="1" si="6"/>
        <v>0</v>
      </c>
      <c r="G100" s="51"/>
      <c r="H100" s="78">
        <f t="shared" ca="1" si="7"/>
        <v>0</v>
      </c>
      <c r="I100" s="53">
        <f t="shared" ca="1" si="4"/>
        <v>0</v>
      </c>
    </row>
    <row r="101" spans="1:10" s="58" customFormat="1" ht="15" customHeight="1">
      <c r="A101" s="50">
        <v>3</v>
      </c>
      <c r="B101" s="51" t="str">
        <f ca="1">IF($A101="","",NumList())</f>
        <v>2.8.1</v>
      </c>
      <c r="C101" s="62" t="s">
        <v>234</v>
      </c>
      <c r="D101" s="55">
        <f t="shared" ca="1" si="5"/>
        <v>1</v>
      </c>
      <c r="E101" s="55"/>
      <c r="F101" s="55">
        <f t="shared" ca="1" si="6"/>
        <v>76</v>
      </c>
      <c r="G101" s="51" t="s">
        <v>8</v>
      </c>
      <c r="H101" s="78">
        <f t="shared" ca="1" si="7"/>
        <v>22</v>
      </c>
      <c r="I101" s="53">
        <f t="shared" ca="1" si="4"/>
        <v>1672</v>
      </c>
    </row>
    <row r="102" spans="1:10" s="58" customFormat="1" ht="15" customHeight="1">
      <c r="A102" s="50">
        <v>3</v>
      </c>
      <c r="B102" s="51" t="str">
        <f ca="1">IF($A102="","",NumList())</f>
        <v>2.8.2</v>
      </c>
      <c r="C102" s="61" t="s">
        <v>233</v>
      </c>
      <c r="D102" s="55">
        <f t="shared" ca="1" si="5"/>
        <v>1</v>
      </c>
      <c r="E102" s="55"/>
      <c r="F102" s="55">
        <f t="shared" ca="1" si="6"/>
        <v>33</v>
      </c>
      <c r="G102" s="51" t="s">
        <v>8</v>
      </c>
      <c r="H102" s="78">
        <f t="shared" ca="1" si="7"/>
        <v>41</v>
      </c>
      <c r="I102" s="53">
        <f t="shared" ca="1" si="4"/>
        <v>1353</v>
      </c>
    </row>
    <row r="103" spans="1:10" s="58" customFormat="1" ht="15" customHeight="1">
      <c r="A103" s="50">
        <v>3</v>
      </c>
      <c r="B103" s="51" t="str">
        <f ca="1">IF($A103="","",NumList())</f>
        <v>2.8.3</v>
      </c>
      <c r="C103" s="61" t="s">
        <v>232</v>
      </c>
      <c r="D103" s="55">
        <f t="shared" ca="1" si="5"/>
        <v>1</v>
      </c>
      <c r="E103" s="55"/>
      <c r="F103" s="55">
        <f t="shared" ca="1" si="6"/>
        <v>28</v>
      </c>
      <c r="G103" s="51" t="s">
        <v>8</v>
      </c>
      <c r="H103" s="78">
        <f t="shared" ca="1" si="7"/>
        <v>5</v>
      </c>
      <c r="I103" s="53">
        <f t="shared" ca="1" si="4"/>
        <v>140</v>
      </c>
    </row>
    <row r="104" spans="1:10" s="58" customFormat="1" ht="15" customHeight="1">
      <c r="A104" s="50" t="s">
        <v>516</v>
      </c>
      <c r="B104" s="51" t="str">
        <f>IF($A104="","",NumList())</f>
        <v/>
      </c>
      <c r="C104" s="61"/>
      <c r="D104" s="55">
        <f t="shared" ca="1" si="5"/>
        <v>0</v>
      </c>
      <c r="E104" s="55"/>
      <c r="F104" s="55">
        <f t="shared" ca="1" si="6"/>
        <v>0</v>
      </c>
      <c r="G104" s="51"/>
      <c r="H104" s="78">
        <f t="shared" ca="1" si="7"/>
        <v>0</v>
      </c>
      <c r="I104" s="53">
        <f t="shared" ca="1" si="4"/>
        <v>0</v>
      </c>
    </row>
    <row r="105" spans="1:10" s="41" customFormat="1" ht="15">
      <c r="A105" s="50">
        <v>1</v>
      </c>
      <c r="B105" s="51">
        <f ca="1">IF($A105="","",NumList())</f>
        <v>3</v>
      </c>
      <c r="C105" s="63" t="s">
        <v>497</v>
      </c>
      <c r="D105" s="55">
        <f t="shared" ca="1" si="5"/>
        <v>0</v>
      </c>
      <c r="E105" s="48"/>
      <c r="F105" s="55">
        <f t="shared" ca="1" si="6"/>
        <v>0</v>
      </c>
      <c r="G105" s="46"/>
      <c r="H105" s="78">
        <f t="shared" ca="1" si="7"/>
        <v>0</v>
      </c>
      <c r="I105" s="53">
        <f t="shared" ca="1" si="4"/>
        <v>0</v>
      </c>
    </row>
    <row r="106" spans="1:10" s="58" customFormat="1" ht="44.25">
      <c r="A106" s="50">
        <v>2</v>
      </c>
      <c r="B106" s="51" t="str">
        <f ca="1">IF($A106="","",NumList())</f>
        <v>3.1</v>
      </c>
      <c r="C106" s="62" t="s">
        <v>612</v>
      </c>
      <c r="D106" s="55">
        <f t="shared" ca="1" si="5"/>
        <v>0</v>
      </c>
      <c r="E106" s="55"/>
      <c r="F106" s="55">
        <f t="shared" ca="1" si="6"/>
        <v>0</v>
      </c>
      <c r="G106" s="51"/>
      <c r="H106" s="78">
        <f t="shared" ca="1" si="7"/>
        <v>0</v>
      </c>
      <c r="I106" s="53">
        <f t="shared" ca="1" si="4"/>
        <v>0</v>
      </c>
      <c r="J106" s="95" t="s">
        <v>494</v>
      </c>
    </row>
    <row r="107" spans="1:10" s="58" customFormat="1" ht="15" customHeight="1">
      <c r="A107" s="50">
        <v>3</v>
      </c>
      <c r="B107" s="51" t="str">
        <f ca="1">IF($A107="","",NumList())</f>
        <v>3.1.1</v>
      </c>
      <c r="C107" s="62" t="s">
        <v>613</v>
      </c>
      <c r="D107" s="55">
        <f t="shared" ca="1" si="5"/>
        <v>1</v>
      </c>
      <c r="E107" s="55"/>
      <c r="F107" s="55">
        <f t="shared" ca="1" si="6"/>
        <v>53</v>
      </c>
      <c r="G107" s="51" t="s">
        <v>8</v>
      </c>
      <c r="H107" s="78">
        <f t="shared" ca="1" si="7"/>
        <v>22</v>
      </c>
      <c r="I107" s="53">
        <f t="shared" ca="1" si="4"/>
        <v>1166</v>
      </c>
    </row>
    <row r="108" spans="1:10" s="58" customFormat="1" ht="15" customHeight="1">
      <c r="A108" s="50">
        <v>3</v>
      </c>
      <c r="B108" s="51" t="str">
        <f ca="1">IF($A108="","",NumList())</f>
        <v>3.1.2</v>
      </c>
      <c r="C108" s="62" t="s">
        <v>614</v>
      </c>
      <c r="D108" s="55">
        <f t="shared" ca="1" si="5"/>
        <v>1</v>
      </c>
      <c r="E108" s="55"/>
      <c r="F108" s="55">
        <f t="shared" ca="1" si="6"/>
        <v>54</v>
      </c>
      <c r="G108" s="51" t="s">
        <v>8</v>
      </c>
      <c r="H108" s="78">
        <f t="shared" ca="1" si="7"/>
        <v>55</v>
      </c>
      <c r="I108" s="53">
        <f t="shared" ca="1" si="4"/>
        <v>2970</v>
      </c>
    </row>
    <row r="109" spans="1:10" s="58" customFormat="1" ht="15" customHeight="1">
      <c r="A109" s="50">
        <v>3</v>
      </c>
      <c r="B109" s="51" t="str">
        <f ca="1">IF($A109="","",NumList())</f>
        <v>3.1.3</v>
      </c>
      <c r="C109" s="62" t="s">
        <v>615</v>
      </c>
      <c r="D109" s="55">
        <f t="shared" ca="1" si="5"/>
        <v>1</v>
      </c>
      <c r="E109" s="55"/>
      <c r="F109" s="55">
        <f t="shared" ca="1" si="6"/>
        <v>17</v>
      </c>
      <c r="G109" s="51" t="s">
        <v>8</v>
      </c>
      <c r="H109" s="78">
        <f t="shared" ca="1" si="7"/>
        <v>5</v>
      </c>
      <c r="I109" s="53">
        <f t="shared" ca="1" si="4"/>
        <v>85</v>
      </c>
    </row>
    <row r="110" spans="1:10" s="58" customFormat="1" ht="15" customHeight="1">
      <c r="A110" s="50" t="s">
        <v>516</v>
      </c>
      <c r="B110" s="51" t="str">
        <f>IF($A110="","",NumList())</f>
        <v/>
      </c>
      <c r="C110" s="62"/>
      <c r="D110" s="55">
        <f t="shared" ca="1" si="5"/>
        <v>0</v>
      </c>
      <c r="E110" s="55"/>
      <c r="F110" s="55">
        <f t="shared" ca="1" si="6"/>
        <v>0</v>
      </c>
      <c r="G110" s="51"/>
      <c r="H110" s="78">
        <f t="shared" ca="1" si="7"/>
        <v>0</v>
      </c>
      <c r="I110" s="53">
        <f t="shared" ca="1" si="4"/>
        <v>0</v>
      </c>
    </row>
    <row r="111" spans="1:10" s="58" customFormat="1" ht="31.5" customHeight="1">
      <c r="A111" s="50">
        <v>2</v>
      </c>
      <c r="B111" s="51" t="str">
        <f ca="1">IF($A111="","",NumList())</f>
        <v>3.2</v>
      </c>
      <c r="C111" s="62" t="s">
        <v>616</v>
      </c>
      <c r="D111" s="55">
        <f t="shared" ca="1" si="5"/>
        <v>1</v>
      </c>
      <c r="E111" s="55"/>
      <c r="F111" s="55">
        <f t="shared" ca="1" si="6"/>
        <v>57</v>
      </c>
      <c r="G111" s="51" t="s">
        <v>8</v>
      </c>
      <c r="H111" s="78">
        <f t="shared" ca="1" si="7"/>
        <v>97</v>
      </c>
      <c r="I111" s="53">
        <f t="shared" ca="1" si="4"/>
        <v>5529</v>
      </c>
      <c r="J111" s="95" t="s">
        <v>494</v>
      </c>
    </row>
    <row r="112" spans="1:10" s="58" customFormat="1" ht="15" customHeight="1">
      <c r="A112" s="50">
        <v>3</v>
      </c>
      <c r="B112" s="51" t="str">
        <f ca="1">IF($A112="","",NumList())</f>
        <v>3.2.1</v>
      </c>
      <c r="C112" s="62" t="s">
        <v>613</v>
      </c>
      <c r="D112" s="55">
        <f t="shared" ca="1" si="5"/>
        <v>1</v>
      </c>
      <c r="E112" s="55"/>
      <c r="F112" s="55">
        <f t="shared" ca="1" si="6"/>
        <v>33</v>
      </c>
      <c r="G112" s="51" t="s">
        <v>8</v>
      </c>
      <c r="H112" s="78">
        <f t="shared" ca="1" si="7"/>
        <v>71</v>
      </c>
      <c r="I112" s="53">
        <f t="shared" ca="1" si="4"/>
        <v>2343</v>
      </c>
    </row>
    <row r="113" spans="1:10" s="58" customFormat="1" ht="15" customHeight="1">
      <c r="A113" s="50">
        <v>3</v>
      </c>
      <c r="B113" s="51" t="str">
        <f ca="1">IF($A113="","",NumList())</f>
        <v>3.2.2</v>
      </c>
      <c r="C113" s="62" t="s">
        <v>614</v>
      </c>
      <c r="D113" s="55">
        <f t="shared" ca="1" si="5"/>
        <v>1</v>
      </c>
      <c r="E113" s="55"/>
      <c r="F113" s="55">
        <f t="shared" ca="1" si="6"/>
        <v>13</v>
      </c>
      <c r="G113" s="51" t="s">
        <v>8</v>
      </c>
      <c r="H113" s="78">
        <f t="shared" ca="1" si="7"/>
        <v>43</v>
      </c>
      <c r="I113" s="53">
        <f t="shared" ca="1" si="4"/>
        <v>559</v>
      </c>
    </row>
    <row r="114" spans="1:10" s="58" customFormat="1" ht="15" customHeight="1">
      <c r="A114" s="50">
        <v>3</v>
      </c>
      <c r="B114" s="51" t="str">
        <f ca="1">IF($A114="","",NumList())</f>
        <v>3.2.3</v>
      </c>
      <c r="C114" s="62" t="s">
        <v>615</v>
      </c>
      <c r="D114" s="55">
        <f t="shared" ca="1" si="5"/>
        <v>1</v>
      </c>
      <c r="E114" s="55"/>
      <c r="F114" s="55">
        <f t="shared" ca="1" si="6"/>
        <v>83</v>
      </c>
      <c r="G114" s="51" t="s">
        <v>8</v>
      </c>
      <c r="H114" s="78">
        <f t="shared" ca="1" si="7"/>
        <v>11</v>
      </c>
      <c r="I114" s="53">
        <f t="shared" ca="1" si="4"/>
        <v>913</v>
      </c>
    </row>
    <row r="115" spans="1:10" s="41" customFormat="1" ht="15">
      <c r="A115" s="50" t="s">
        <v>516</v>
      </c>
      <c r="B115" s="51" t="str">
        <f>IF($A115="","",NumList())</f>
        <v/>
      </c>
      <c r="C115" s="54"/>
      <c r="D115" s="55">
        <f t="shared" ca="1" si="5"/>
        <v>0</v>
      </c>
      <c r="E115" s="55"/>
      <c r="F115" s="55">
        <f t="shared" ca="1" si="6"/>
        <v>0</v>
      </c>
      <c r="G115" s="51"/>
      <c r="H115" s="78">
        <f t="shared" ca="1" si="7"/>
        <v>0</v>
      </c>
      <c r="I115" s="53">
        <f t="shared" ca="1" si="4"/>
        <v>0</v>
      </c>
      <c r="J115" s="58"/>
    </row>
    <row r="116" spans="1:10" s="41" customFormat="1" ht="15">
      <c r="A116" s="50">
        <v>1</v>
      </c>
      <c r="B116" s="51">
        <f ca="1">IF($A116="","",NumList())</f>
        <v>4</v>
      </c>
      <c r="C116" s="63" t="s">
        <v>231</v>
      </c>
      <c r="D116" s="55">
        <f t="shared" ca="1" si="5"/>
        <v>0</v>
      </c>
      <c r="E116" s="48"/>
      <c r="F116" s="55">
        <f t="shared" ca="1" si="6"/>
        <v>0</v>
      </c>
      <c r="G116" s="46"/>
      <c r="H116" s="78">
        <f t="shared" ca="1" si="7"/>
        <v>0</v>
      </c>
      <c r="I116" s="53">
        <f t="shared" ca="1" si="4"/>
        <v>0</v>
      </c>
    </row>
    <row r="117" spans="1:10" s="58" customFormat="1" ht="28.5">
      <c r="A117" s="50">
        <v>2</v>
      </c>
      <c r="B117" s="51" t="str">
        <f ca="1">IF($A117="","",NumList())</f>
        <v>4.1</v>
      </c>
      <c r="C117" s="61" t="s">
        <v>455</v>
      </c>
      <c r="D117" s="55">
        <f t="shared" ca="1" si="5"/>
        <v>0</v>
      </c>
      <c r="E117" s="55"/>
      <c r="F117" s="55">
        <f t="shared" ca="1" si="6"/>
        <v>0</v>
      </c>
      <c r="G117" s="51"/>
      <c r="H117" s="78">
        <f t="shared" ca="1" si="7"/>
        <v>0</v>
      </c>
      <c r="I117" s="53">
        <f t="shared" ca="1" si="4"/>
        <v>0</v>
      </c>
    </row>
    <row r="118" spans="1:10" s="41" customFormat="1" ht="15">
      <c r="A118" s="50">
        <v>3</v>
      </c>
      <c r="B118" s="51" t="str">
        <f ca="1">IF($A118="","",NumList())</f>
        <v>4.1.1</v>
      </c>
      <c r="C118" s="62" t="s">
        <v>14</v>
      </c>
      <c r="D118" s="55">
        <f t="shared" ca="1" si="5"/>
        <v>1</v>
      </c>
      <c r="E118" s="55"/>
      <c r="F118" s="55">
        <f t="shared" ca="1" si="6"/>
        <v>19</v>
      </c>
      <c r="G118" s="51" t="s">
        <v>8</v>
      </c>
      <c r="H118" s="78">
        <f t="shared" ca="1" si="7"/>
        <v>53</v>
      </c>
      <c r="I118" s="53">
        <f t="shared" ca="1" si="4"/>
        <v>1007</v>
      </c>
      <c r="J118" s="58"/>
    </row>
    <row r="119" spans="1:10" s="41" customFormat="1" ht="15">
      <c r="A119" s="50">
        <v>3</v>
      </c>
      <c r="B119" s="51" t="str">
        <f ca="1">IF($A119="","",NumList())</f>
        <v>4.1.2</v>
      </c>
      <c r="C119" s="62" t="s">
        <v>22</v>
      </c>
      <c r="D119" s="55">
        <f t="shared" ca="1" si="5"/>
        <v>1</v>
      </c>
      <c r="E119" s="55"/>
      <c r="F119" s="55">
        <f t="shared" ca="1" si="6"/>
        <v>73</v>
      </c>
      <c r="G119" s="51" t="s">
        <v>8</v>
      </c>
      <c r="H119" s="78">
        <f t="shared" ca="1" si="7"/>
        <v>64</v>
      </c>
      <c r="I119" s="53">
        <f t="shared" ca="1" si="4"/>
        <v>4672</v>
      </c>
      <c r="J119" s="58"/>
    </row>
    <row r="120" spans="1:10" s="41" customFormat="1" ht="15">
      <c r="A120" s="50">
        <v>3</v>
      </c>
      <c r="B120" s="51" t="str">
        <f ca="1">IF($A120="","",NumList())</f>
        <v>4.1.3</v>
      </c>
      <c r="C120" s="61" t="s">
        <v>34</v>
      </c>
      <c r="D120" s="55">
        <f t="shared" ca="1" si="5"/>
        <v>1</v>
      </c>
      <c r="E120" s="55"/>
      <c r="F120" s="55">
        <f t="shared" ca="1" si="6"/>
        <v>92</v>
      </c>
      <c r="G120" s="51" t="s">
        <v>8</v>
      </c>
      <c r="H120" s="78">
        <f t="shared" ca="1" si="7"/>
        <v>78</v>
      </c>
      <c r="I120" s="53">
        <f t="shared" ca="1" si="4"/>
        <v>7176</v>
      </c>
      <c r="J120" s="58"/>
    </row>
    <row r="121" spans="1:10" s="41" customFormat="1" ht="15">
      <c r="A121" s="50">
        <v>3</v>
      </c>
      <c r="B121" s="51" t="str">
        <f ca="1">IF($A121="","",NumList())</f>
        <v>4.1.4</v>
      </c>
      <c r="C121" s="61" t="s">
        <v>35</v>
      </c>
      <c r="D121" s="55">
        <f t="shared" ca="1" si="5"/>
        <v>1</v>
      </c>
      <c r="E121" s="55"/>
      <c r="F121" s="55">
        <f t="shared" ca="1" si="6"/>
        <v>89</v>
      </c>
      <c r="G121" s="51" t="s">
        <v>8</v>
      </c>
      <c r="H121" s="78">
        <f t="shared" ca="1" si="7"/>
        <v>56</v>
      </c>
      <c r="I121" s="53">
        <f t="shared" ca="1" si="4"/>
        <v>4984</v>
      </c>
      <c r="J121" s="58"/>
    </row>
    <row r="122" spans="1:10" s="41" customFormat="1" ht="15">
      <c r="A122" s="50">
        <v>2</v>
      </c>
      <c r="B122" s="51" t="str">
        <f ca="1">IF($A122="","",NumList())</f>
        <v>4.2</v>
      </c>
      <c r="C122" s="62" t="s">
        <v>333</v>
      </c>
      <c r="D122" s="55">
        <f t="shared" ca="1" si="5"/>
        <v>0</v>
      </c>
      <c r="E122" s="55"/>
      <c r="F122" s="55">
        <f t="shared" ca="1" si="6"/>
        <v>0</v>
      </c>
      <c r="G122" s="51"/>
      <c r="H122" s="78">
        <f t="shared" ca="1" si="7"/>
        <v>0</v>
      </c>
      <c r="I122" s="53">
        <f t="shared" ca="1" si="4"/>
        <v>0</v>
      </c>
      <c r="J122" s="58"/>
    </row>
    <row r="123" spans="1:10" s="41" customFormat="1" ht="15">
      <c r="A123" s="50">
        <v>3</v>
      </c>
      <c r="B123" s="51" t="str">
        <f ca="1">IF($A123="","",NumList())</f>
        <v>4.2.1</v>
      </c>
      <c r="C123" s="62" t="s">
        <v>335</v>
      </c>
      <c r="D123" s="55">
        <f t="shared" ca="1" si="5"/>
        <v>1</v>
      </c>
      <c r="E123" s="55"/>
      <c r="F123" s="55">
        <f t="shared" ca="1" si="6"/>
        <v>92</v>
      </c>
      <c r="G123" s="51" t="s">
        <v>8</v>
      </c>
      <c r="H123" s="78">
        <f t="shared" ca="1" si="7"/>
        <v>34</v>
      </c>
      <c r="I123" s="53">
        <f t="shared" ca="1" si="4"/>
        <v>3128</v>
      </c>
      <c r="J123" s="58"/>
    </row>
    <row r="124" spans="1:10" s="41" customFormat="1" ht="15">
      <c r="A124" s="50">
        <v>3</v>
      </c>
      <c r="B124" s="51" t="str">
        <f ca="1">IF($A124="","",NumList())</f>
        <v>4.2.2</v>
      </c>
      <c r="C124" s="62" t="s">
        <v>336</v>
      </c>
      <c r="D124" s="55">
        <f t="shared" ca="1" si="5"/>
        <v>1</v>
      </c>
      <c r="E124" s="55"/>
      <c r="F124" s="55">
        <f t="shared" ca="1" si="6"/>
        <v>34</v>
      </c>
      <c r="G124" s="51" t="s">
        <v>8</v>
      </c>
      <c r="H124" s="78">
        <f t="shared" ca="1" si="7"/>
        <v>95</v>
      </c>
      <c r="I124" s="53">
        <f t="shared" ca="1" si="4"/>
        <v>3230</v>
      </c>
      <c r="J124" s="58"/>
    </row>
    <row r="125" spans="1:10" s="41" customFormat="1" ht="15">
      <c r="A125" s="50">
        <v>3</v>
      </c>
      <c r="B125" s="51" t="str">
        <f ca="1">IF($A125="","",NumList())</f>
        <v>4.2.3</v>
      </c>
      <c r="C125" s="62" t="s">
        <v>337</v>
      </c>
      <c r="D125" s="55">
        <f t="shared" ca="1" si="5"/>
        <v>1</v>
      </c>
      <c r="E125" s="55"/>
      <c r="F125" s="55">
        <f t="shared" ca="1" si="6"/>
        <v>83</v>
      </c>
      <c r="G125" s="51" t="s">
        <v>8</v>
      </c>
      <c r="H125" s="78">
        <f t="shared" ca="1" si="7"/>
        <v>32</v>
      </c>
      <c r="I125" s="53">
        <f t="shared" ca="1" si="4"/>
        <v>2656</v>
      </c>
      <c r="J125" s="58"/>
    </row>
    <row r="126" spans="1:10" s="41" customFormat="1" ht="15">
      <c r="A126" s="50">
        <v>3</v>
      </c>
      <c r="B126" s="51" t="str">
        <f ca="1">IF($A126="","",NumList())</f>
        <v>4.2.4</v>
      </c>
      <c r="C126" s="62" t="s">
        <v>338</v>
      </c>
      <c r="D126" s="55">
        <f t="shared" ca="1" si="5"/>
        <v>1</v>
      </c>
      <c r="E126" s="55"/>
      <c r="F126" s="55">
        <f t="shared" ca="1" si="6"/>
        <v>38</v>
      </c>
      <c r="G126" s="51" t="s">
        <v>8</v>
      </c>
      <c r="H126" s="78">
        <f t="shared" ca="1" si="7"/>
        <v>50</v>
      </c>
      <c r="I126" s="53">
        <f t="shared" ca="1" si="4"/>
        <v>1900</v>
      </c>
      <c r="J126" s="58"/>
    </row>
    <row r="127" spans="1:10" s="41" customFormat="1" ht="15">
      <c r="A127" s="50">
        <v>2</v>
      </c>
      <c r="B127" s="51" t="str">
        <f ca="1">IF($A127="","",NumList())</f>
        <v>4.3</v>
      </c>
      <c r="C127" s="62" t="s">
        <v>334</v>
      </c>
      <c r="D127" s="55">
        <f t="shared" ca="1" si="5"/>
        <v>0</v>
      </c>
      <c r="E127" s="55"/>
      <c r="F127" s="55">
        <f t="shared" ca="1" si="6"/>
        <v>0</v>
      </c>
      <c r="G127" s="51"/>
      <c r="H127" s="78">
        <f t="shared" ca="1" si="7"/>
        <v>0</v>
      </c>
      <c r="I127" s="53">
        <f t="shared" ca="1" si="4"/>
        <v>0</v>
      </c>
      <c r="J127" s="58"/>
    </row>
    <row r="128" spans="1:10" s="41" customFormat="1" ht="15">
      <c r="A128" s="50">
        <v>3</v>
      </c>
      <c r="B128" s="51" t="str">
        <f ca="1">IF($A128="","",NumList())</f>
        <v>4.3.1</v>
      </c>
      <c r="C128" s="62" t="s">
        <v>335</v>
      </c>
      <c r="D128" s="55">
        <f t="shared" ca="1" si="5"/>
        <v>1</v>
      </c>
      <c r="E128" s="55"/>
      <c r="F128" s="55">
        <f t="shared" ca="1" si="6"/>
        <v>58</v>
      </c>
      <c r="G128" s="51" t="s">
        <v>8</v>
      </c>
      <c r="H128" s="78">
        <f t="shared" ca="1" si="7"/>
        <v>82</v>
      </c>
      <c r="I128" s="53">
        <f t="shared" ca="1" si="4"/>
        <v>4756</v>
      </c>
      <c r="J128" s="58"/>
    </row>
    <row r="129" spans="1:10" s="41" customFormat="1" ht="15">
      <c r="A129" s="50">
        <v>3</v>
      </c>
      <c r="B129" s="51" t="str">
        <f ca="1">IF($A129="","",NumList())</f>
        <v>4.3.2</v>
      </c>
      <c r="C129" s="62" t="s">
        <v>336</v>
      </c>
      <c r="D129" s="55">
        <f t="shared" ca="1" si="5"/>
        <v>1</v>
      </c>
      <c r="E129" s="55"/>
      <c r="F129" s="55">
        <f t="shared" ca="1" si="6"/>
        <v>37</v>
      </c>
      <c r="G129" s="51" t="s">
        <v>8</v>
      </c>
      <c r="H129" s="78">
        <f t="shared" ca="1" si="7"/>
        <v>81</v>
      </c>
      <c r="I129" s="53">
        <f t="shared" ca="1" si="4"/>
        <v>2997</v>
      </c>
      <c r="J129" s="58"/>
    </row>
    <row r="130" spans="1:10" s="41" customFormat="1" ht="15">
      <c r="A130" s="50">
        <v>3</v>
      </c>
      <c r="B130" s="51" t="str">
        <f ca="1">IF($A130="","",NumList())</f>
        <v>4.3.3</v>
      </c>
      <c r="C130" s="62" t="s">
        <v>337</v>
      </c>
      <c r="D130" s="55">
        <f t="shared" ca="1" si="5"/>
        <v>1</v>
      </c>
      <c r="E130" s="55"/>
      <c r="F130" s="55">
        <f t="shared" ca="1" si="6"/>
        <v>62</v>
      </c>
      <c r="G130" s="51" t="s">
        <v>8</v>
      </c>
      <c r="H130" s="78">
        <f t="shared" ca="1" si="7"/>
        <v>76</v>
      </c>
      <c r="I130" s="53">
        <f t="shared" ca="1" si="4"/>
        <v>4712</v>
      </c>
      <c r="J130" s="58"/>
    </row>
    <row r="131" spans="1:10" s="41" customFormat="1" ht="15">
      <c r="A131" s="50">
        <v>3</v>
      </c>
      <c r="B131" s="51" t="str">
        <f ca="1">IF($A131="","",NumList())</f>
        <v>4.3.4</v>
      </c>
      <c r="C131" s="62" t="s">
        <v>338</v>
      </c>
      <c r="D131" s="55">
        <f t="shared" ca="1" si="5"/>
        <v>1</v>
      </c>
      <c r="E131" s="55"/>
      <c r="F131" s="55">
        <f t="shared" ca="1" si="6"/>
        <v>71</v>
      </c>
      <c r="G131" s="51" t="s">
        <v>8</v>
      </c>
      <c r="H131" s="78">
        <f t="shared" ca="1" si="7"/>
        <v>86</v>
      </c>
      <c r="I131" s="53">
        <f t="shared" ca="1" si="4"/>
        <v>6106</v>
      </c>
      <c r="J131" s="58"/>
    </row>
    <row r="132" spans="1:10" s="41" customFormat="1" ht="15">
      <c r="A132" s="50" t="s">
        <v>516</v>
      </c>
      <c r="B132" s="51" t="str">
        <f>IF($A132="","",NumList())</f>
        <v/>
      </c>
      <c r="C132" s="62"/>
      <c r="D132" s="55">
        <f t="shared" ca="1" si="5"/>
        <v>0</v>
      </c>
      <c r="E132" s="55"/>
      <c r="F132" s="55">
        <f t="shared" ca="1" si="6"/>
        <v>0</v>
      </c>
      <c r="G132" s="51"/>
      <c r="H132" s="78">
        <f t="shared" ca="1" si="7"/>
        <v>0</v>
      </c>
      <c r="I132" s="53">
        <f t="shared" ca="1" si="4"/>
        <v>0</v>
      </c>
      <c r="J132" s="58"/>
    </row>
    <row r="133" spans="1:10" s="41" customFormat="1" ht="15">
      <c r="A133" s="50">
        <v>2</v>
      </c>
      <c r="B133" s="51" t="str">
        <f ca="1">IF($A133="","",NumList())</f>
        <v>4.4</v>
      </c>
      <c r="C133" s="62" t="s">
        <v>47</v>
      </c>
      <c r="D133" s="55">
        <f t="shared" ca="1" si="5"/>
        <v>1</v>
      </c>
      <c r="E133" s="55"/>
      <c r="F133" s="55">
        <f t="shared" ca="1" si="6"/>
        <v>54</v>
      </c>
      <c r="G133" s="51" t="s">
        <v>0</v>
      </c>
      <c r="H133" s="78">
        <f t="shared" ca="1" si="7"/>
        <v>63</v>
      </c>
      <c r="I133" s="53">
        <f t="shared" ca="1" si="4"/>
        <v>3402</v>
      </c>
      <c r="J133" s="58"/>
    </row>
    <row r="134" spans="1:10" s="41" customFormat="1" ht="15">
      <c r="A134" s="50" t="s">
        <v>516</v>
      </c>
      <c r="B134" s="51" t="str">
        <f>IF($A134="","",NumList())</f>
        <v/>
      </c>
      <c r="C134" s="61"/>
      <c r="D134" s="55">
        <f t="shared" ca="1" si="5"/>
        <v>0</v>
      </c>
      <c r="E134" s="55"/>
      <c r="F134" s="55">
        <f t="shared" ca="1" si="6"/>
        <v>0</v>
      </c>
      <c r="G134" s="51"/>
      <c r="H134" s="78">
        <f t="shared" ca="1" si="7"/>
        <v>0</v>
      </c>
      <c r="I134" s="53">
        <f t="shared" ca="1" si="4"/>
        <v>0</v>
      </c>
      <c r="J134" s="58"/>
    </row>
    <row r="135" spans="1:10" s="41" customFormat="1" ht="15">
      <c r="A135" s="50">
        <v>1</v>
      </c>
      <c r="B135" s="51">
        <f ca="1">IF($A135="","",NumList())</f>
        <v>5</v>
      </c>
      <c r="C135" s="69" t="s">
        <v>456</v>
      </c>
      <c r="D135" s="55">
        <f t="shared" ca="1" si="5"/>
        <v>0</v>
      </c>
      <c r="E135" s="48"/>
      <c r="F135" s="55">
        <f t="shared" ca="1" si="6"/>
        <v>0</v>
      </c>
      <c r="G135" s="46"/>
      <c r="H135" s="78">
        <f t="shared" ca="1" si="7"/>
        <v>0</v>
      </c>
      <c r="I135" s="53">
        <f t="shared" ca="1" si="4"/>
        <v>0</v>
      </c>
    </row>
    <row r="136" spans="1:10" s="41" customFormat="1" ht="15">
      <c r="A136" s="50">
        <v>2</v>
      </c>
      <c r="B136" s="51" t="str">
        <f ca="1">IF($A136="","",NumList())</f>
        <v>5.1</v>
      </c>
      <c r="C136" s="62" t="s">
        <v>15</v>
      </c>
      <c r="D136" s="55">
        <f t="shared" ca="1" si="5"/>
        <v>1</v>
      </c>
      <c r="E136" s="55"/>
      <c r="F136" s="55">
        <f t="shared" ca="1" si="6"/>
        <v>100</v>
      </c>
      <c r="G136" s="51" t="s">
        <v>8</v>
      </c>
      <c r="H136" s="78">
        <f t="shared" ca="1" si="7"/>
        <v>80</v>
      </c>
      <c r="I136" s="53">
        <f t="shared" ca="1" si="4"/>
        <v>8000</v>
      </c>
      <c r="J136" s="58"/>
    </row>
    <row r="137" spans="1:10" s="41" customFormat="1" ht="15">
      <c r="A137" s="50">
        <v>2</v>
      </c>
      <c r="B137" s="51" t="str">
        <f ca="1">IF($A137="","",NumList())</f>
        <v>5.2</v>
      </c>
      <c r="C137" s="62" t="s">
        <v>16</v>
      </c>
      <c r="D137" s="55">
        <f t="shared" ca="1" si="5"/>
        <v>1</v>
      </c>
      <c r="E137" s="55"/>
      <c r="F137" s="55">
        <f t="shared" ca="1" si="6"/>
        <v>37</v>
      </c>
      <c r="G137" s="51" t="s">
        <v>8</v>
      </c>
      <c r="H137" s="78">
        <f t="shared" ca="1" si="7"/>
        <v>24</v>
      </c>
      <c r="I137" s="53">
        <f t="shared" ca="1" si="4"/>
        <v>888</v>
      </c>
      <c r="J137" s="58"/>
    </row>
    <row r="138" spans="1:10" s="41" customFormat="1" ht="28.5">
      <c r="A138" s="50">
        <v>2</v>
      </c>
      <c r="B138" s="51" t="str">
        <f ca="1">IF($A138="","",NumList())</f>
        <v>5.3</v>
      </c>
      <c r="C138" s="62" t="s">
        <v>70</v>
      </c>
      <c r="D138" s="55">
        <f t="shared" ca="1" si="5"/>
        <v>1</v>
      </c>
      <c r="E138" s="55"/>
      <c r="F138" s="55">
        <f t="shared" ca="1" si="6"/>
        <v>89</v>
      </c>
      <c r="G138" s="51" t="s">
        <v>8</v>
      </c>
      <c r="H138" s="78">
        <f t="shared" ca="1" si="7"/>
        <v>28</v>
      </c>
      <c r="I138" s="53">
        <f t="shared" ca="1" si="4"/>
        <v>2492</v>
      </c>
      <c r="J138" s="58"/>
    </row>
    <row r="139" spans="1:10" s="41" customFormat="1" ht="28.5">
      <c r="A139" s="50">
        <v>2</v>
      </c>
      <c r="B139" s="51" t="str">
        <f ca="1">IF($A139="","",NumList())</f>
        <v>5.4</v>
      </c>
      <c r="C139" s="62" t="s">
        <v>235</v>
      </c>
      <c r="D139" s="55">
        <f t="shared" ca="1" si="5"/>
        <v>1</v>
      </c>
      <c r="E139" s="55"/>
      <c r="F139" s="55">
        <f t="shared" ca="1" si="6"/>
        <v>47</v>
      </c>
      <c r="G139" s="51" t="s">
        <v>8</v>
      </c>
      <c r="H139" s="78">
        <f t="shared" ca="1" si="7"/>
        <v>4</v>
      </c>
      <c r="I139" s="53">
        <f t="shared" ca="1" si="4"/>
        <v>188</v>
      </c>
      <c r="J139" s="58"/>
    </row>
    <row r="140" spans="1:10" s="41" customFormat="1" ht="15">
      <c r="A140" s="50" t="s">
        <v>516</v>
      </c>
      <c r="B140" s="51" t="str">
        <f>IF($A140="","",NumList())</f>
        <v/>
      </c>
      <c r="C140" s="62"/>
      <c r="D140" s="55">
        <f t="shared" ca="1" si="5"/>
        <v>0</v>
      </c>
      <c r="E140" s="55"/>
      <c r="F140" s="55">
        <f t="shared" ca="1" si="6"/>
        <v>0</v>
      </c>
      <c r="G140" s="51"/>
      <c r="H140" s="78">
        <f t="shared" ca="1" si="7"/>
        <v>0</v>
      </c>
      <c r="I140" s="53">
        <f t="shared" ca="1" si="4"/>
        <v>0</v>
      </c>
      <c r="J140" s="58"/>
    </row>
    <row r="141" spans="1:10" s="41" customFormat="1" ht="45">
      <c r="A141" s="50">
        <v>1</v>
      </c>
      <c r="B141" s="51">
        <f ca="1">IF($A141="","",NumList())</f>
        <v>6</v>
      </c>
      <c r="C141" s="69" t="s">
        <v>457</v>
      </c>
      <c r="D141" s="55">
        <f t="shared" ca="1" si="5"/>
        <v>0</v>
      </c>
      <c r="E141" s="55"/>
      <c r="F141" s="55">
        <f t="shared" ca="1" si="6"/>
        <v>0</v>
      </c>
      <c r="G141" s="51"/>
      <c r="H141" s="78">
        <f t="shared" ca="1" si="7"/>
        <v>0</v>
      </c>
      <c r="I141" s="53">
        <f t="shared" ca="1" si="4"/>
        <v>0</v>
      </c>
      <c r="J141" s="58"/>
    </row>
    <row r="142" spans="1:10" s="41" customFormat="1" ht="15">
      <c r="A142" s="50">
        <v>2</v>
      </c>
      <c r="B142" s="51" t="str">
        <f ca="1">IF($A142="","",NumList())</f>
        <v>6.1</v>
      </c>
      <c r="C142" s="62" t="s">
        <v>369</v>
      </c>
      <c r="D142" s="55">
        <f t="shared" ca="1" si="5"/>
        <v>1</v>
      </c>
      <c r="E142" s="55"/>
      <c r="F142" s="55">
        <f t="shared" ca="1" si="6"/>
        <v>12</v>
      </c>
      <c r="G142" s="51" t="s">
        <v>0</v>
      </c>
      <c r="H142" s="78">
        <f t="shared" ca="1" si="7"/>
        <v>21</v>
      </c>
      <c r="I142" s="53">
        <f t="shared" ca="1" si="4"/>
        <v>252</v>
      </c>
      <c r="J142" s="58"/>
    </row>
    <row r="143" spans="1:10" s="41" customFormat="1" ht="15">
      <c r="A143" s="50">
        <v>2</v>
      </c>
      <c r="B143" s="51" t="str">
        <f ca="1">IF($A143="","",NumList())</f>
        <v>6.2</v>
      </c>
      <c r="C143" s="62" t="s">
        <v>370</v>
      </c>
      <c r="D143" s="55">
        <f t="shared" ca="1" si="5"/>
        <v>1</v>
      </c>
      <c r="E143" s="55"/>
      <c r="F143" s="55">
        <f t="shared" ca="1" si="6"/>
        <v>4</v>
      </c>
      <c r="G143" s="51" t="s">
        <v>0</v>
      </c>
      <c r="H143" s="78">
        <f t="shared" ca="1" si="7"/>
        <v>23</v>
      </c>
      <c r="I143" s="53">
        <f t="shared" ca="1" si="4"/>
        <v>92</v>
      </c>
      <c r="J143" s="58"/>
    </row>
    <row r="144" spans="1:10" s="58" customFormat="1" ht="15">
      <c r="A144" s="50" t="s">
        <v>516</v>
      </c>
      <c r="B144" s="51" t="str">
        <f>IF($A144="","",NumList())</f>
        <v/>
      </c>
      <c r="C144" s="54"/>
      <c r="D144" s="55">
        <f t="shared" ca="1" si="5"/>
        <v>0</v>
      </c>
      <c r="E144" s="55"/>
      <c r="F144" s="55">
        <f t="shared" ca="1" si="6"/>
        <v>0</v>
      </c>
      <c r="G144" s="51"/>
      <c r="H144" s="78">
        <f t="shared" ca="1" si="7"/>
        <v>0</v>
      </c>
      <c r="I144" s="53">
        <f t="shared" ca="1" si="4"/>
        <v>0</v>
      </c>
    </row>
    <row r="145" spans="1:11" s="41" customFormat="1" ht="15">
      <c r="A145" s="50">
        <v>1</v>
      </c>
      <c r="B145" s="51">
        <f ca="1">IF($A145="","",NumList())</f>
        <v>7</v>
      </c>
      <c r="C145" s="52" t="s">
        <v>11</v>
      </c>
      <c r="D145" s="55">
        <f t="shared" ca="1" si="5"/>
        <v>0</v>
      </c>
      <c r="E145" s="48"/>
      <c r="F145" s="55">
        <f t="shared" ca="1" si="6"/>
        <v>0</v>
      </c>
      <c r="G145" s="46"/>
      <c r="H145" s="78">
        <f t="shared" ca="1" si="7"/>
        <v>0</v>
      </c>
      <c r="I145" s="53">
        <f t="shared" ca="1" si="4"/>
        <v>0</v>
      </c>
    </row>
    <row r="146" spans="1:11" s="58" customFormat="1" ht="57">
      <c r="A146" s="50">
        <v>2</v>
      </c>
      <c r="B146" s="51" t="str">
        <f ca="1">IF($A146="","",NumList())</f>
        <v>7.1</v>
      </c>
      <c r="C146" s="62" t="s">
        <v>276</v>
      </c>
      <c r="D146" s="55">
        <f t="shared" ca="1" si="5"/>
        <v>1</v>
      </c>
      <c r="E146" s="55"/>
      <c r="F146" s="55">
        <f t="shared" ca="1" si="6"/>
        <v>74</v>
      </c>
      <c r="G146" s="51" t="s">
        <v>0</v>
      </c>
      <c r="H146" s="78">
        <f t="shared" ca="1" si="7"/>
        <v>39</v>
      </c>
      <c r="I146" s="53">
        <f t="shared" ca="1" si="4"/>
        <v>2886</v>
      </c>
    </row>
    <row r="147" spans="1:11" s="58" customFormat="1" ht="28.5">
      <c r="A147" s="50">
        <v>2</v>
      </c>
      <c r="B147" s="51" t="str">
        <f ca="1">IF($A147="","",NumList())</f>
        <v>7.2</v>
      </c>
      <c r="C147" s="62" t="s">
        <v>48</v>
      </c>
      <c r="D147" s="55">
        <f t="shared" ca="1" si="5"/>
        <v>1</v>
      </c>
      <c r="E147" s="55"/>
      <c r="F147" s="55">
        <f t="shared" ca="1" si="6"/>
        <v>43</v>
      </c>
      <c r="G147" s="51" t="s">
        <v>0</v>
      </c>
      <c r="H147" s="78">
        <f t="shared" ca="1" si="7"/>
        <v>34</v>
      </c>
      <c r="I147" s="53">
        <f ca="1">F147*H147</f>
        <v>1462</v>
      </c>
    </row>
    <row r="148" spans="1:11" s="58" customFormat="1" ht="15">
      <c r="A148" s="50" t="s">
        <v>516</v>
      </c>
      <c r="B148" s="51" t="str">
        <f>IF($A148="","",NumList())</f>
        <v/>
      </c>
      <c r="C148" s="62"/>
      <c r="D148" s="55">
        <f t="shared" ca="1" si="5"/>
        <v>0</v>
      </c>
      <c r="E148" s="55"/>
      <c r="F148" s="55"/>
      <c r="G148" s="51"/>
      <c r="H148" s="78">
        <f t="shared" ca="1" si="7"/>
        <v>0</v>
      </c>
      <c r="I148" s="53">
        <f ca="1">F148*H148</f>
        <v>0</v>
      </c>
    </row>
    <row r="149" spans="1:11" s="41" customFormat="1" ht="15">
      <c r="A149" s="50">
        <v>1</v>
      </c>
      <c r="B149" s="51">
        <f ca="1">IF($A149="","",NumList())</f>
        <v>8</v>
      </c>
      <c r="C149" s="52" t="s">
        <v>65</v>
      </c>
      <c r="D149" s="55">
        <f t="shared" ca="1" si="5"/>
        <v>0</v>
      </c>
      <c r="E149" s="55"/>
      <c r="F149" s="55"/>
      <c r="G149" s="51"/>
      <c r="H149" s="78">
        <f t="shared" ca="1" si="7"/>
        <v>0</v>
      </c>
      <c r="I149" s="53">
        <f ca="1">F149*H149</f>
        <v>0</v>
      </c>
      <c r="J149" s="58"/>
      <c r="K149" s="58"/>
    </row>
    <row r="150" spans="1:11" s="41" customFormat="1" ht="28.5">
      <c r="A150" s="50" t="s">
        <v>516</v>
      </c>
      <c r="B150" s="51" t="str">
        <f>IF($A150="","",NumList())</f>
        <v/>
      </c>
      <c r="C150" s="62" t="s">
        <v>283</v>
      </c>
      <c r="D150" s="55">
        <f t="shared" ca="1" si="5"/>
        <v>1</v>
      </c>
      <c r="E150" s="55"/>
      <c r="F150" s="55">
        <v>1</v>
      </c>
      <c r="G150" s="51" t="s">
        <v>0</v>
      </c>
      <c r="H150" s="62" t="s">
        <v>73</v>
      </c>
      <c r="I150" s="53"/>
      <c r="J150" s="58"/>
      <c r="K150" s="58"/>
    </row>
    <row r="151" spans="1:11" s="58" customFormat="1" ht="15" customHeight="1">
      <c r="A151" s="50"/>
      <c r="B151" s="32"/>
      <c r="C151" s="70"/>
      <c r="D151" s="71"/>
      <c r="E151" s="71"/>
      <c r="F151" s="71"/>
      <c r="G151" s="30"/>
      <c r="H151" s="82" t="s">
        <v>17</v>
      </c>
      <c r="I151" s="78">
        <f ca="1">SUM(I25:I150)</f>
        <v>216065</v>
      </c>
    </row>
    <row r="152" spans="1:11" s="58" customFormat="1" ht="14.25" customHeight="1">
      <c r="A152" s="50"/>
      <c r="B152" s="32"/>
      <c r="C152" s="70"/>
      <c r="D152" s="71"/>
      <c r="E152" s="71"/>
      <c r="F152" s="71"/>
      <c r="G152" s="30"/>
      <c r="H152" s="83"/>
      <c r="I152" s="77"/>
    </row>
    <row r="153" spans="1:11" s="58" customFormat="1" ht="14.25" customHeight="1">
      <c r="A153" s="50"/>
      <c r="B153" s="30"/>
      <c r="C153" s="70"/>
      <c r="D153" s="71"/>
      <c r="E153" s="71"/>
      <c r="F153" s="71"/>
      <c r="G153" s="30"/>
      <c r="H153" s="77"/>
      <c r="I153" s="77"/>
    </row>
    <row r="154" spans="1:11" s="58" customFormat="1" ht="14.25" customHeight="1">
      <c r="A154" s="50"/>
      <c r="B154" s="30"/>
      <c r="C154" s="30" t="s">
        <v>18</v>
      </c>
      <c r="D154" s="31"/>
      <c r="E154" s="31"/>
      <c r="F154" s="31"/>
      <c r="G154" s="31"/>
      <c r="H154" s="31"/>
      <c r="I154" s="31"/>
    </row>
    <row r="155" spans="1:11" s="58" customFormat="1" ht="14.25" customHeight="1">
      <c r="A155" s="50"/>
      <c r="B155" s="30"/>
      <c r="C155" s="30"/>
      <c r="D155" s="34"/>
      <c r="E155" s="34"/>
      <c r="F155" s="34"/>
      <c r="G155" s="32"/>
      <c r="H155" s="33"/>
      <c r="I155" s="30"/>
    </row>
    <row r="156" spans="1:11" s="58" customFormat="1" ht="14.25" customHeight="1">
      <c r="A156" s="50"/>
      <c r="B156" s="30"/>
      <c r="C156" s="30" t="s">
        <v>19</v>
      </c>
      <c r="D156" s="31"/>
      <c r="E156" s="31"/>
      <c r="F156" s="31"/>
      <c r="G156" s="31"/>
      <c r="H156" s="31"/>
      <c r="I156" s="31"/>
    </row>
    <row r="157" spans="1:11" s="58" customFormat="1" ht="14.25" customHeight="1">
      <c r="A157" s="50"/>
      <c r="B157" s="30"/>
      <c r="C157" s="30"/>
      <c r="D157" s="34"/>
      <c r="E157" s="34"/>
      <c r="F157" s="34"/>
      <c r="G157" s="32"/>
      <c r="H157" s="33"/>
      <c r="I157" s="30"/>
    </row>
    <row r="158" spans="1:11" ht="67.5">
      <c r="A158" s="50"/>
      <c r="C158" s="74" t="s">
        <v>188</v>
      </c>
    </row>
    <row r="159" spans="1:11">
      <c r="A159" s="50"/>
      <c r="C159" s="70"/>
    </row>
    <row r="160" spans="1:11">
      <c r="A160" s="50"/>
      <c r="C160" s="70"/>
    </row>
    <row r="161" spans="1:3">
      <c r="A161" s="50"/>
      <c r="C161" s="70"/>
    </row>
    <row r="162" spans="1:3">
      <c r="A162" s="50"/>
      <c r="C162" s="70"/>
    </row>
    <row r="163" spans="1:3">
      <c r="A163" s="50"/>
      <c r="C163" s="70"/>
    </row>
    <row r="164" spans="1:3">
      <c r="A164" s="50"/>
      <c r="C164" s="70"/>
    </row>
    <row r="165" spans="1:3">
      <c r="A165" s="50"/>
      <c r="C165" s="70"/>
    </row>
    <row r="166" spans="1:3">
      <c r="A166" s="50"/>
      <c r="C166" s="70"/>
    </row>
    <row r="167" spans="1:3">
      <c r="A167" s="50"/>
      <c r="C167" s="70"/>
    </row>
    <row r="168" spans="1:3">
      <c r="A168" s="50"/>
      <c r="C168" s="70"/>
    </row>
    <row r="169" spans="1:3">
      <c r="A169" s="50"/>
      <c r="C169" s="70"/>
    </row>
    <row r="170" spans="1:3">
      <c r="A170" s="50"/>
      <c r="C170" s="70"/>
    </row>
    <row r="171" spans="1:3">
      <c r="A171" s="50"/>
      <c r="C171" s="70"/>
    </row>
    <row r="172" spans="1:3">
      <c r="A172" s="50"/>
      <c r="C172" s="70"/>
    </row>
    <row r="173" spans="1:3">
      <c r="A173" s="50"/>
      <c r="C173" s="70"/>
    </row>
    <row r="174" spans="1:3">
      <c r="A174" s="50"/>
      <c r="C174" s="70"/>
    </row>
    <row r="175" spans="1:3">
      <c r="A175" s="50"/>
      <c r="C175" s="70"/>
    </row>
    <row r="176" spans="1:3">
      <c r="A176" s="50"/>
      <c r="C176" s="70"/>
    </row>
    <row r="177" spans="1:3">
      <c r="A177" s="50"/>
      <c r="C177" s="70"/>
    </row>
    <row r="178" spans="1:3">
      <c r="A178" s="50"/>
      <c r="C178" s="70"/>
    </row>
    <row r="179" spans="1:3">
      <c r="A179" s="50"/>
      <c r="C179" s="70"/>
    </row>
    <row r="180" spans="1:3">
      <c r="A180" s="50"/>
      <c r="C180" s="70"/>
    </row>
    <row r="181" spans="1:3">
      <c r="A181" s="50"/>
      <c r="C181" s="70"/>
    </row>
    <row r="182" spans="1:3">
      <c r="A182" s="50"/>
      <c r="C182" s="70"/>
    </row>
    <row r="183" spans="1:3">
      <c r="A183" s="50"/>
      <c r="C183" s="70"/>
    </row>
    <row r="184" spans="1:3">
      <c r="A184" s="50"/>
      <c r="C184" s="70"/>
    </row>
    <row r="185" spans="1:3">
      <c r="A185" s="50"/>
      <c r="C185" s="70"/>
    </row>
    <row r="186" spans="1:3">
      <c r="A186" s="50"/>
      <c r="C186" s="70"/>
    </row>
    <row r="187" spans="1:3">
      <c r="A187" s="50"/>
      <c r="C187" s="70"/>
    </row>
    <row r="188" spans="1:3">
      <c r="A188" s="50"/>
      <c r="C188" s="70"/>
    </row>
    <row r="189" spans="1:3">
      <c r="A189" s="50"/>
      <c r="C189" s="70"/>
    </row>
    <row r="190" spans="1:3">
      <c r="A190" s="50"/>
      <c r="C190" s="70"/>
    </row>
    <row r="191" spans="1:3">
      <c r="A191" s="50"/>
      <c r="C191" s="70"/>
    </row>
    <row r="192" spans="1:3">
      <c r="A192" s="50"/>
      <c r="C192" s="70"/>
    </row>
    <row r="193" spans="1:3">
      <c r="A193" s="50"/>
      <c r="C193" s="70"/>
    </row>
    <row r="194" spans="1:3">
      <c r="A194" s="50"/>
      <c r="C194" s="70"/>
    </row>
    <row r="195" spans="1:3">
      <c r="A195" s="50"/>
      <c r="C195" s="70"/>
    </row>
    <row r="196" spans="1:3">
      <c r="A196" s="50"/>
      <c r="C196" s="70"/>
    </row>
    <row r="197" spans="1:3">
      <c r="A197" s="50"/>
      <c r="C197" s="70"/>
    </row>
    <row r="198" spans="1:3">
      <c r="A198" s="50"/>
      <c r="C198" s="70"/>
    </row>
    <row r="199" spans="1:3">
      <c r="A199" s="50"/>
      <c r="C199" s="70"/>
    </row>
    <row r="200" spans="1:3">
      <c r="A200" s="50"/>
      <c r="C200" s="70"/>
    </row>
    <row r="201" spans="1:3">
      <c r="A201" s="50"/>
      <c r="C201" s="70"/>
    </row>
    <row r="202" spans="1:3">
      <c r="A202" s="50"/>
      <c r="C202" s="70"/>
    </row>
    <row r="203" spans="1:3">
      <c r="A203" s="50"/>
      <c r="C203" s="70"/>
    </row>
    <row r="204" spans="1:3">
      <c r="A204" s="50"/>
      <c r="C204" s="70"/>
    </row>
    <row r="205" spans="1:3">
      <c r="A205" s="50"/>
      <c r="C205" s="70"/>
    </row>
    <row r="206" spans="1:3">
      <c r="A206" s="50"/>
      <c r="C206" s="70"/>
    </row>
    <row r="207" spans="1:3">
      <c r="A207" s="50"/>
      <c r="C207" s="70"/>
    </row>
    <row r="208" spans="1:3">
      <c r="A208" s="50"/>
      <c r="C208" s="70"/>
    </row>
    <row r="209" spans="1:3">
      <c r="A209" s="50"/>
      <c r="C209" s="70"/>
    </row>
    <row r="210" spans="1:3">
      <c r="A210" s="50"/>
      <c r="C210" s="70"/>
    </row>
    <row r="211" spans="1:3">
      <c r="A211" s="50"/>
      <c r="C211" s="70"/>
    </row>
    <row r="212" spans="1:3">
      <c r="A212" s="50"/>
      <c r="C212" s="70"/>
    </row>
    <row r="213" spans="1:3">
      <c r="A213" s="50"/>
      <c r="C213" s="70"/>
    </row>
    <row r="214" spans="1:3">
      <c r="A214" s="50"/>
      <c r="C214" s="70"/>
    </row>
    <row r="215" spans="1:3">
      <c r="A215" s="50"/>
      <c r="C215" s="70"/>
    </row>
    <row r="216" spans="1:3">
      <c r="A216" s="50"/>
      <c r="C216" s="70"/>
    </row>
    <row r="217" spans="1:3">
      <c r="A217" s="50"/>
      <c r="C217" s="70"/>
    </row>
    <row r="218" spans="1:3">
      <c r="A218" s="50"/>
      <c r="C218" s="70"/>
    </row>
    <row r="219" spans="1:3">
      <c r="A219" s="50"/>
      <c r="C219" s="70"/>
    </row>
    <row r="220" spans="1:3">
      <c r="A220" s="50"/>
      <c r="C220" s="70"/>
    </row>
    <row r="221" spans="1:3">
      <c r="A221" s="50"/>
      <c r="C221" s="70"/>
    </row>
    <row r="222" spans="1:3">
      <c r="A222" s="50"/>
      <c r="C222" s="70"/>
    </row>
    <row r="223" spans="1:3">
      <c r="A223" s="50"/>
      <c r="C223" s="70"/>
    </row>
    <row r="224" spans="1:3">
      <c r="A224" s="50"/>
      <c r="C224" s="70"/>
    </row>
    <row r="225" spans="1:3">
      <c r="A225" s="50"/>
      <c r="C225" s="70"/>
    </row>
    <row r="226" spans="1:3">
      <c r="A226" s="50"/>
      <c r="C226" s="70"/>
    </row>
    <row r="227" spans="1:3">
      <c r="A227" s="50"/>
      <c r="C227" s="70"/>
    </row>
    <row r="228" spans="1:3">
      <c r="A228" s="50"/>
      <c r="C228" s="70"/>
    </row>
    <row r="229" spans="1:3">
      <c r="A229" s="50"/>
      <c r="C229" s="70"/>
    </row>
    <row r="230" spans="1:3">
      <c r="A230" s="50"/>
      <c r="C230" s="70"/>
    </row>
    <row r="231" spans="1:3">
      <c r="A231" s="50"/>
      <c r="C231" s="70"/>
    </row>
    <row r="232" spans="1:3">
      <c r="A232" s="50"/>
      <c r="C232" s="70"/>
    </row>
    <row r="233" spans="1:3">
      <c r="A233" s="50"/>
      <c r="C233" s="70"/>
    </row>
    <row r="234" spans="1:3">
      <c r="A234" s="50"/>
      <c r="C234" s="70"/>
    </row>
    <row r="235" spans="1:3">
      <c r="A235" s="50"/>
      <c r="C235" s="70"/>
    </row>
    <row r="236" spans="1:3">
      <c r="A236" s="50"/>
      <c r="C236" s="70"/>
    </row>
    <row r="237" spans="1:3">
      <c r="A237" s="50"/>
      <c r="C237" s="70"/>
    </row>
    <row r="238" spans="1:3">
      <c r="A238" s="50"/>
      <c r="C238" s="70"/>
    </row>
    <row r="239" spans="1:3">
      <c r="A239" s="50"/>
      <c r="C239" s="70"/>
    </row>
    <row r="240" spans="1:3">
      <c r="A240" s="50"/>
      <c r="C240" s="70"/>
    </row>
    <row r="241" spans="1:3">
      <c r="A241" s="50"/>
      <c r="C241" s="70"/>
    </row>
    <row r="242" spans="1:3">
      <c r="A242" s="50"/>
      <c r="C242" s="70"/>
    </row>
    <row r="243" spans="1:3">
      <c r="A243" s="50"/>
      <c r="C243" s="70"/>
    </row>
    <row r="244" spans="1:3">
      <c r="A244" s="50"/>
      <c r="C244" s="70"/>
    </row>
    <row r="245" spans="1:3">
      <c r="A245" s="50"/>
      <c r="C245" s="70"/>
    </row>
    <row r="246" spans="1:3">
      <c r="A246" s="50"/>
      <c r="C246" s="70"/>
    </row>
    <row r="247" spans="1:3">
      <c r="A247" s="50"/>
      <c r="C247" s="70"/>
    </row>
    <row r="248" spans="1:3">
      <c r="A248" s="50"/>
      <c r="C248" s="70"/>
    </row>
    <row r="249" spans="1:3">
      <c r="A249" s="50"/>
      <c r="C249" s="70"/>
    </row>
    <row r="250" spans="1:3">
      <c r="A250" s="50"/>
      <c r="C250" s="70"/>
    </row>
    <row r="251" spans="1:3">
      <c r="A251" s="50"/>
      <c r="C251" s="70"/>
    </row>
    <row r="252" spans="1:3">
      <c r="A252" s="50"/>
      <c r="C252" s="70"/>
    </row>
    <row r="253" spans="1:3">
      <c r="A253" s="50"/>
      <c r="C253" s="70"/>
    </row>
    <row r="254" spans="1:3">
      <c r="A254" s="50"/>
      <c r="C254" s="70"/>
    </row>
    <row r="255" spans="1:3">
      <c r="A255" s="50"/>
      <c r="C255" s="70"/>
    </row>
    <row r="256" spans="1:3">
      <c r="A256" s="50"/>
      <c r="C256" s="70"/>
    </row>
    <row r="257" spans="1:3">
      <c r="A257" s="50"/>
      <c r="C257" s="70"/>
    </row>
    <row r="258" spans="1:3">
      <c r="A258" s="50"/>
      <c r="C258" s="70"/>
    </row>
    <row r="259" spans="1:3">
      <c r="A259" s="50"/>
      <c r="C259" s="70"/>
    </row>
    <row r="260" spans="1:3">
      <c r="A260" s="50"/>
      <c r="C260" s="70"/>
    </row>
    <row r="261" spans="1:3">
      <c r="A261" s="50"/>
      <c r="C261" s="70"/>
    </row>
    <row r="262" spans="1:3">
      <c r="A262" s="50"/>
      <c r="C262" s="70"/>
    </row>
    <row r="263" spans="1:3">
      <c r="A263" s="50"/>
      <c r="C263" s="70"/>
    </row>
    <row r="264" spans="1:3">
      <c r="A264" s="50"/>
      <c r="C264" s="70"/>
    </row>
    <row r="265" spans="1:3">
      <c r="A265" s="50"/>
      <c r="C265" s="70"/>
    </row>
    <row r="266" spans="1:3">
      <c r="A266" s="50"/>
      <c r="C266" s="70"/>
    </row>
    <row r="267" spans="1:3">
      <c r="A267" s="50"/>
      <c r="C267" s="70"/>
    </row>
    <row r="268" spans="1:3">
      <c r="A268" s="50"/>
      <c r="C268" s="70"/>
    </row>
    <row r="269" spans="1:3">
      <c r="A269" s="50"/>
      <c r="C269" s="70"/>
    </row>
    <row r="270" spans="1:3">
      <c r="A270" s="50"/>
      <c r="C270" s="70"/>
    </row>
    <row r="271" spans="1:3">
      <c r="A271" s="50"/>
      <c r="C271" s="70"/>
    </row>
    <row r="272" spans="1:3">
      <c r="A272" s="50"/>
      <c r="C272" s="70"/>
    </row>
    <row r="273" spans="1:3">
      <c r="A273" s="50"/>
      <c r="C273" s="70"/>
    </row>
    <row r="274" spans="1:3">
      <c r="A274" s="50"/>
      <c r="C274" s="70"/>
    </row>
    <row r="275" spans="1:3">
      <c r="A275" s="50"/>
      <c r="C275" s="70"/>
    </row>
    <row r="276" spans="1:3">
      <c r="A276" s="50"/>
      <c r="C276" s="70"/>
    </row>
    <row r="277" spans="1:3">
      <c r="A277" s="50"/>
      <c r="C277" s="70"/>
    </row>
    <row r="278" spans="1:3">
      <c r="A278" s="50"/>
      <c r="C278" s="70"/>
    </row>
    <row r="279" spans="1:3">
      <c r="A279" s="50"/>
      <c r="C279" s="70"/>
    </row>
    <row r="280" spans="1:3">
      <c r="A280" s="50"/>
      <c r="C280" s="70"/>
    </row>
    <row r="281" spans="1:3">
      <c r="A281" s="50"/>
      <c r="C281" s="70"/>
    </row>
    <row r="282" spans="1:3">
      <c r="A282" s="50"/>
      <c r="C282" s="70"/>
    </row>
    <row r="283" spans="1:3">
      <c r="A283" s="50"/>
      <c r="C283" s="70"/>
    </row>
    <row r="284" spans="1:3">
      <c r="A284" s="50"/>
      <c r="C284" s="70"/>
    </row>
    <row r="285" spans="1:3">
      <c r="A285" s="50"/>
      <c r="C285" s="70"/>
    </row>
    <row r="286" spans="1:3">
      <c r="A286" s="50"/>
      <c r="C286" s="70"/>
    </row>
    <row r="287" spans="1:3">
      <c r="A287" s="50"/>
      <c r="C287" s="70"/>
    </row>
    <row r="288" spans="1:3">
      <c r="A288" s="50"/>
      <c r="C288" s="70"/>
    </row>
    <row r="289" spans="1:3">
      <c r="A289" s="50"/>
      <c r="C289" s="70"/>
    </row>
    <row r="290" spans="1:3">
      <c r="A290" s="50"/>
      <c r="C290" s="70"/>
    </row>
    <row r="291" spans="1:3">
      <c r="A291" s="50"/>
      <c r="C291" s="70"/>
    </row>
    <row r="292" spans="1:3">
      <c r="A292" s="50"/>
      <c r="C292" s="70"/>
    </row>
    <row r="293" spans="1:3">
      <c r="A293" s="50"/>
      <c r="C293" s="70"/>
    </row>
    <row r="294" spans="1:3">
      <c r="A294" s="50"/>
      <c r="C294" s="70"/>
    </row>
    <row r="295" spans="1:3">
      <c r="A295" s="50"/>
      <c r="C295" s="70"/>
    </row>
    <row r="296" spans="1:3">
      <c r="A296" s="50"/>
      <c r="C296" s="70"/>
    </row>
    <row r="297" spans="1:3">
      <c r="A297" s="50"/>
      <c r="C297" s="70"/>
    </row>
    <row r="298" spans="1:3">
      <c r="A298" s="50"/>
      <c r="C298" s="70"/>
    </row>
    <row r="299" spans="1:3">
      <c r="A299" s="50"/>
      <c r="C299" s="70"/>
    </row>
    <row r="300" spans="1:3">
      <c r="A300" s="50"/>
      <c r="C300" s="70"/>
    </row>
    <row r="301" spans="1:3">
      <c r="A301" s="50"/>
      <c r="C301" s="70"/>
    </row>
    <row r="302" spans="1:3">
      <c r="A302" s="50"/>
      <c r="C302" s="70"/>
    </row>
    <row r="303" spans="1:3">
      <c r="A303" s="50"/>
      <c r="C303" s="70"/>
    </row>
    <row r="304" spans="1:3">
      <c r="A304" s="50"/>
      <c r="C304" s="70"/>
    </row>
    <row r="305" spans="1:3">
      <c r="A305" s="50"/>
      <c r="C305" s="70"/>
    </row>
    <row r="306" spans="1:3">
      <c r="A306" s="50"/>
      <c r="C306" s="70"/>
    </row>
    <row r="307" spans="1:3">
      <c r="A307" s="50"/>
      <c r="C307" s="70"/>
    </row>
    <row r="308" spans="1:3">
      <c r="A308" s="50"/>
      <c r="C308" s="70"/>
    </row>
    <row r="309" spans="1:3">
      <c r="A309" s="50"/>
      <c r="C309" s="70"/>
    </row>
    <row r="310" spans="1:3">
      <c r="A310" s="50"/>
      <c r="C310" s="70"/>
    </row>
    <row r="311" spans="1:3">
      <c r="A311" s="50"/>
      <c r="C311" s="70"/>
    </row>
    <row r="312" spans="1:3">
      <c r="A312" s="50"/>
      <c r="C312" s="70"/>
    </row>
    <row r="313" spans="1:3">
      <c r="A313" s="50"/>
      <c r="C313" s="70"/>
    </row>
    <row r="314" spans="1:3">
      <c r="A314" s="50"/>
      <c r="C314" s="70"/>
    </row>
    <row r="315" spans="1:3">
      <c r="A315" s="50"/>
      <c r="C315" s="70"/>
    </row>
    <row r="316" spans="1:3">
      <c r="A316" s="50"/>
      <c r="C316" s="70"/>
    </row>
    <row r="317" spans="1:3">
      <c r="A317" s="50"/>
      <c r="C317" s="70"/>
    </row>
    <row r="318" spans="1:3">
      <c r="A318" s="50"/>
      <c r="C318" s="70"/>
    </row>
    <row r="319" spans="1:3">
      <c r="A319" s="50"/>
      <c r="C319" s="70"/>
    </row>
    <row r="320" spans="1:3">
      <c r="A320" s="50"/>
      <c r="C320" s="70"/>
    </row>
    <row r="321" spans="1:3">
      <c r="A321" s="50"/>
      <c r="C321" s="70"/>
    </row>
    <row r="322" spans="1:3">
      <c r="A322" s="50"/>
      <c r="C322" s="70"/>
    </row>
    <row r="323" spans="1:3">
      <c r="A323" s="50"/>
      <c r="C323" s="70"/>
    </row>
    <row r="324" spans="1:3">
      <c r="A324" s="50"/>
      <c r="C324" s="70"/>
    </row>
    <row r="325" spans="1:3">
      <c r="A325" s="50"/>
      <c r="C325" s="70"/>
    </row>
    <row r="326" spans="1:3">
      <c r="A326" s="50"/>
      <c r="C326" s="70"/>
    </row>
    <row r="327" spans="1:3">
      <c r="A327" s="50"/>
      <c r="C327" s="70"/>
    </row>
    <row r="328" spans="1:3">
      <c r="A328" s="50"/>
      <c r="C328" s="70"/>
    </row>
    <row r="329" spans="1:3">
      <c r="A329" s="50"/>
      <c r="C329" s="70"/>
    </row>
    <row r="330" spans="1:3">
      <c r="A330" s="50"/>
      <c r="C330" s="70"/>
    </row>
    <row r="331" spans="1:3">
      <c r="A331" s="50"/>
      <c r="C331" s="70"/>
    </row>
    <row r="332" spans="1:3">
      <c r="A332" s="50"/>
      <c r="C332" s="70"/>
    </row>
    <row r="333" spans="1:3">
      <c r="A333" s="50"/>
      <c r="C333" s="70"/>
    </row>
    <row r="334" spans="1:3">
      <c r="A334" s="50"/>
      <c r="C334" s="70"/>
    </row>
    <row r="335" spans="1:3">
      <c r="A335" s="50"/>
      <c r="C335" s="70"/>
    </row>
    <row r="336" spans="1:3">
      <c r="A336" s="50"/>
      <c r="C336" s="70"/>
    </row>
    <row r="337" spans="1:3">
      <c r="A337" s="50"/>
      <c r="C337" s="70"/>
    </row>
    <row r="338" spans="1:3">
      <c r="A338" s="50"/>
      <c r="C338" s="70"/>
    </row>
    <row r="339" spans="1:3">
      <c r="A339" s="50"/>
      <c r="C339" s="70"/>
    </row>
    <row r="340" spans="1:3">
      <c r="A340" s="50"/>
      <c r="C340" s="70"/>
    </row>
    <row r="341" spans="1:3">
      <c r="A341" s="50"/>
      <c r="C341" s="70"/>
    </row>
    <row r="342" spans="1:3">
      <c r="A342" s="50"/>
      <c r="C342" s="70"/>
    </row>
    <row r="343" spans="1:3">
      <c r="A343" s="50"/>
      <c r="C343" s="70"/>
    </row>
    <row r="344" spans="1:3">
      <c r="A344" s="50"/>
      <c r="C344" s="70"/>
    </row>
    <row r="345" spans="1:3">
      <c r="A345" s="50"/>
      <c r="C345" s="70"/>
    </row>
    <row r="346" spans="1:3">
      <c r="A346" s="50"/>
      <c r="C346" s="70"/>
    </row>
    <row r="347" spans="1:3">
      <c r="A347" s="50"/>
      <c r="C347" s="70"/>
    </row>
    <row r="348" spans="1:3">
      <c r="A348" s="50"/>
      <c r="C348" s="70"/>
    </row>
    <row r="349" spans="1:3">
      <c r="A349" s="50"/>
      <c r="C349" s="70"/>
    </row>
    <row r="350" spans="1:3">
      <c r="A350" s="50"/>
      <c r="C350" s="70"/>
    </row>
    <row r="351" spans="1:3">
      <c r="A351" s="50"/>
      <c r="C351" s="70"/>
    </row>
    <row r="352" spans="1:3">
      <c r="A352" s="50"/>
      <c r="C352" s="70"/>
    </row>
    <row r="353" spans="1:3">
      <c r="A353" s="50"/>
      <c r="C353" s="70"/>
    </row>
    <row r="354" spans="1:3">
      <c r="A354" s="50"/>
      <c r="C354" s="70"/>
    </row>
    <row r="355" spans="1:3">
      <c r="A355" s="50"/>
      <c r="C355" s="70"/>
    </row>
    <row r="356" spans="1:3">
      <c r="A356" s="50"/>
      <c r="C356" s="70"/>
    </row>
    <row r="357" spans="1:3">
      <c r="A357" s="50"/>
      <c r="C357" s="70"/>
    </row>
    <row r="358" spans="1:3">
      <c r="A358" s="50"/>
      <c r="C358" s="70"/>
    </row>
    <row r="359" spans="1:3">
      <c r="A359" s="50"/>
      <c r="C359" s="70"/>
    </row>
    <row r="360" spans="1:3">
      <c r="A360" s="50"/>
      <c r="C360" s="70"/>
    </row>
    <row r="361" spans="1:3">
      <c r="A361" s="50"/>
      <c r="C361" s="70"/>
    </row>
    <row r="362" spans="1:3">
      <c r="A362" s="50"/>
      <c r="C362" s="70"/>
    </row>
    <row r="363" spans="1:3">
      <c r="A363" s="50"/>
      <c r="C363" s="70"/>
    </row>
    <row r="364" spans="1:3">
      <c r="A364" s="50"/>
      <c r="C364" s="70"/>
    </row>
    <row r="365" spans="1:3">
      <c r="A365" s="50"/>
      <c r="C365" s="70"/>
    </row>
    <row r="366" spans="1:3">
      <c r="A366" s="50"/>
      <c r="C366" s="70"/>
    </row>
    <row r="367" spans="1:3">
      <c r="A367" s="50"/>
      <c r="C367" s="70"/>
    </row>
    <row r="368" spans="1:3">
      <c r="A368" s="50"/>
      <c r="C368" s="70"/>
    </row>
    <row r="369" spans="1:3">
      <c r="A369" s="50"/>
      <c r="C369" s="70"/>
    </row>
    <row r="370" spans="1:3">
      <c r="A370" s="50"/>
      <c r="C370" s="70"/>
    </row>
    <row r="371" spans="1:3">
      <c r="A371" s="50"/>
      <c r="C371" s="70"/>
    </row>
    <row r="372" spans="1:3">
      <c r="A372" s="50"/>
      <c r="C372" s="70"/>
    </row>
    <row r="373" spans="1:3">
      <c r="A373" s="50"/>
      <c r="C373" s="70"/>
    </row>
    <row r="374" spans="1:3">
      <c r="A374" s="50"/>
      <c r="C374" s="70"/>
    </row>
    <row r="375" spans="1:3">
      <c r="A375" s="50"/>
      <c r="C375" s="70"/>
    </row>
    <row r="376" spans="1:3">
      <c r="A376" s="50"/>
      <c r="C376" s="70"/>
    </row>
    <row r="377" spans="1:3">
      <c r="A377" s="50"/>
      <c r="C377" s="70"/>
    </row>
    <row r="378" spans="1:3">
      <c r="A378" s="50"/>
      <c r="C378" s="70"/>
    </row>
    <row r="379" spans="1:3">
      <c r="A379" s="50"/>
      <c r="C379" s="70"/>
    </row>
    <row r="380" spans="1:3">
      <c r="A380" s="50"/>
      <c r="C380" s="70"/>
    </row>
    <row r="381" spans="1:3">
      <c r="A381" s="50"/>
      <c r="C381" s="70"/>
    </row>
    <row r="382" spans="1:3">
      <c r="A382" s="50"/>
      <c r="C382" s="70"/>
    </row>
    <row r="383" spans="1:3">
      <c r="A383" s="50"/>
      <c r="C383" s="70"/>
    </row>
    <row r="384" spans="1:3">
      <c r="A384" s="50"/>
      <c r="C384" s="70"/>
    </row>
    <row r="385" spans="1:3">
      <c r="A385" s="50"/>
      <c r="C385" s="70"/>
    </row>
    <row r="386" spans="1:3">
      <c r="A386" s="50"/>
      <c r="C386" s="70"/>
    </row>
    <row r="387" spans="1:3">
      <c r="A387" s="50"/>
      <c r="C387" s="70"/>
    </row>
    <row r="388" spans="1:3">
      <c r="A388" s="50"/>
      <c r="C388" s="70"/>
    </row>
    <row r="389" spans="1:3">
      <c r="A389" s="50"/>
      <c r="C389" s="70"/>
    </row>
    <row r="390" spans="1:3">
      <c r="A390" s="50"/>
      <c r="C390" s="70"/>
    </row>
    <row r="391" spans="1:3">
      <c r="A391" s="50"/>
      <c r="C391" s="70"/>
    </row>
    <row r="392" spans="1:3">
      <c r="A392" s="50"/>
      <c r="C392" s="70"/>
    </row>
    <row r="393" spans="1:3">
      <c r="A393" s="50"/>
      <c r="C393" s="70"/>
    </row>
    <row r="394" spans="1:3">
      <c r="A394" s="50"/>
      <c r="C394" s="70"/>
    </row>
    <row r="395" spans="1:3">
      <c r="A395" s="50"/>
      <c r="C395" s="70"/>
    </row>
    <row r="396" spans="1:3">
      <c r="A396" s="50"/>
      <c r="C396" s="70"/>
    </row>
    <row r="397" spans="1:3">
      <c r="A397" s="50"/>
      <c r="C397" s="70"/>
    </row>
    <row r="398" spans="1:3">
      <c r="A398" s="50"/>
      <c r="C398" s="70"/>
    </row>
    <row r="399" spans="1:3">
      <c r="A399" s="50"/>
      <c r="C399" s="70"/>
    </row>
    <row r="400" spans="1:3">
      <c r="A400" s="50"/>
      <c r="C400" s="70"/>
    </row>
    <row r="401" spans="1:3">
      <c r="A401" s="50"/>
      <c r="C401" s="70"/>
    </row>
    <row r="402" spans="1:3">
      <c r="A402" s="50"/>
      <c r="C402" s="70"/>
    </row>
    <row r="403" spans="1:3">
      <c r="A403" s="50"/>
      <c r="C403" s="70"/>
    </row>
    <row r="404" spans="1:3">
      <c r="A404" s="50"/>
      <c r="C404" s="70"/>
    </row>
    <row r="405" spans="1:3">
      <c r="A405" s="50"/>
      <c r="C405" s="70"/>
    </row>
    <row r="406" spans="1:3">
      <c r="A406" s="50"/>
      <c r="C406" s="70"/>
    </row>
    <row r="407" spans="1:3">
      <c r="A407" s="50"/>
      <c r="C407" s="70"/>
    </row>
    <row r="408" spans="1:3">
      <c r="A408" s="50"/>
      <c r="C408" s="70"/>
    </row>
    <row r="409" spans="1:3">
      <c r="A409" s="50"/>
      <c r="C409" s="70"/>
    </row>
    <row r="410" spans="1:3">
      <c r="A410" s="50"/>
      <c r="C410" s="70"/>
    </row>
    <row r="411" spans="1:3">
      <c r="A411" s="50"/>
      <c r="C411" s="70"/>
    </row>
    <row r="412" spans="1:3">
      <c r="A412" s="50"/>
      <c r="C412" s="70"/>
    </row>
    <row r="413" spans="1:3">
      <c r="A413" s="50"/>
      <c r="C413" s="70"/>
    </row>
    <row r="414" spans="1:3">
      <c r="A414" s="50"/>
      <c r="C414" s="70"/>
    </row>
    <row r="415" spans="1:3">
      <c r="A415" s="50"/>
      <c r="C415" s="70"/>
    </row>
    <row r="416" spans="1:3">
      <c r="A416" s="50"/>
      <c r="C416" s="70"/>
    </row>
    <row r="417" spans="1:3">
      <c r="A417" s="50"/>
      <c r="C417" s="70"/>
    </row>
    <row r="418" spans="1:3">
      <c r="A418" s="50"/>
      <c r="C418" s="70"/>
    </row>
    <row r="419" spans="1:3">
      <c r="A419" s="50"/>
      <c r="C419" s="70"/>
    </row>
    <row r="420" spans="1:3">
      <c r="A420" s="50"/>
      <c r="C420" s="70"/>
    </row>
    <row r="421" spans="1:3">
      <c r="A421" s="50"/>
      <c r="C421" s="70"/>
    </row>
    <row r="422" spans="1:3">
      <c r="A422" s="50"/>
      <c r="C422" s="70"/>
    </row>
    <row r="423" spans="1:3">
      <c r="A423" s="50"/>
      <c r="C423" s="70"/>
    </row>
    <row r="424" spans="1:3">
      <c r="A424" s="50"/>
      <c r="C424" s="70"/>
    </row>
    <row r="425" spans="1:3">
      <c r="A425" s="50"/>
      <c r="C425" s="70"/>
    </row>
    <row r="426" spans="1:3">
      <c r="A426" s="50"/>
      <c r="C426" s="70"/>
    </row>
    <row r="427" spans="1:3">
      <c r="A427" s="50"/>
      <c r="C427" s="70"/>
    </row>
    <row r="428" spans="1:3">
      <c r="A428" s="50"/>
      <c r="C428" s="70"/>
    </row>
    <row r="429" spans="1:3">
      <c r="A429" s="50"/>
      <c r="C429" s="70"/>
    </row>
    <row r="430" spans="1:3">
      <c r="A430" s="50"/>
      <c r="C430" s="70"/>
    </row>
    <row r="431" spans="1:3">
      <c r="A431" s="50"/>
      <c r="C431" s="70"/>
    </row>
    <row r="432" spans="1:3">
      <c r="A432" s="50"/>
      <c r="C432" s="70"/>
    </row>
    <row r="433" spans="1:3">
      <c r="A433" s="50"/>
      <c r="C433" s="70"/>
    </row>
    <row r="434" spans="1:3">
      <c r="A434" s="50"/>
      <c r="C434" s="70"/>
    </row>
    <row r="435" spans="1:3">
      <c r="A435" s="50"/>
      <c r="C435" s="70"/>
    </row>
    <row r="436" spans="1:3">
      <c r="A436" s="50"/>
      <c r="C436" s="70"/>
    </row>
    <row r="437" spans="1:3">
      <c r="A437" s="50"/>
      <c r="C437" s="70"/>
    </row>
    <row r="438" spans="1:3">
      <c r="A438" s="50"/>
      <c r="C438" s="70"/>
    </row>
    <row r="439" spans="1:3">
      <c r="A439" s="50"/>
      <c r="C439" s="70"/>
    </row>
    <row r="440" spans="1:3">
      <c r="A440" s="50"/>
      <c r="C440" s="70"/>
    </row>
    <row r="441" spans="1:3">
      <c r="A441" s="50"/>
      <c r="C441" s="70"/>
    </row>
    <row r="442" spans="1:3">
      <c r="A442" s="50"/>
      <c r="C442" s="70"/>
    </row>
    <row r="443" spans="1:3">
      <c r="A443" s="50"/>
      <c r="C443" s="70"/>
    </row>
    <row r="444" spans="1:3">
      <c r="A444" s="50"/>
      <c r="C444" s="70"/>
    </row>
    <row r="445" spans="1:3">
      <c r="A445" s="50"/>
      <c r="C445" s="70"/>
    </row>
    <row r="446" spans="1:3">
      <c r="A446" s="50"/>
      <c r="C446" s="70"/>
    </row>
    <row r="447" spans="1:3">
      <c r="A447" s="50"/>
      <c r="C447" s="70"/>
    </row>
    <row r="448" spans="1:3">
      <c r="A448" s="50"/>
      <c r="C448" s="70"/>
    </row>
    <row r="449" spans="1:3">
      <c r="A449" s="50"/>
      <c r="C449" s="70"/>
    </row>
    <row r="450" spans="1:3">
      <c r="A450" s="50"/>
      <c r="C450" s="70"/>
    </row>
    <row r="451" spans="1:3">
      <c r="A451" s="50"/>
      <c r="C451" s="70"/>
    </row>
    <row r="452" spans="1:3">
      <c r="A452" s="50"/>
      <c r="C452" s="70"/>
    </row>
    <row r="453" spans="1:3">
      <c r="A453" s="50"/>
      <c r="C453" s="70"/>
    </row>
    <row r="454" spans="1:3">
      <c r="A454" s="50"/>
      <c r="C454" s="70"/>
    </row>
    <row r="455" spans="1:3">
      <c r="A455" s="50"/>
      <c r="C455" s="70"/>
    </row>
    <row r="456" spans="1:3">
      <c r="A456" s="50"/>
      <c r="C456" s="70"/>
    </row>
    <row r="457" spans="1:3">
      <c r="A457" s="50"/>
      <c r="C457" s="70"/>
    </row>
    <row r="458" spans="1:3">
      <c r="A458" s="50"/>
      <c r="C458" s="70"/>
    </row>
    <row r="459" spans="1:3">
      <c r="A459" s="50"/>
      <c r="C459" s="70"/>
    </row>
    <row r="460" spans="1:3">
      <c r="A460" s="50"/>
      <c r="C460" s="70"/>
    </row>
    <row r="461" spans="1:3">
      <c r="A461" s="50"/>
      <c r="C461" s="70"/>
    </row>
    <row r="462" spans="1:3">
      <c r="A462" s="50"/>
      <c r="C462" s="70"/>
    </row>
    <row r="463" spans="1:3">
      <c r="A463" s="50"/>
      <c r="C463" s="70"/>
    </row>
    <row r="464" spans="1:3">
      <c r="A464" s="50"/>
      <c r="C464" s="70"/>
    </row>
    <row r="465" spans="1:3">
      <c r="A465" s="50"/>
      <c r="C465" s="70"/>
    </row>
    <row r="466" spans="1:3">
      <c r="A466" s="50"/>
      <c r="C466" s="70"/>
    </row>
    <row r="467" spans="1:3">
      <c r="A467" s="50"/>
      <c r="C467" s="70"/>
    </row>
    <row r="468" spans="1:3">
      <c r="A468" s="50"/>
      <c r="C468" s="70"/>
    </row>
    <row r="469" spans="1:3">
      <c r="A469" s="50"/>
      <c r="C469" s="70"/>
    </row>
    <row r="470" spans="1:3">
      <c r="A470" s="50"/>
      <c r="C470" s="70"/>
    </row>
    <row r="471" spans="1:3">
      <c r="A471" s="50"/>
      <c r="C471" s="70"/>
    </row>
    <row r="472" spans="1:3">
      <c r="A472" s="50"/>
      <c r="C472" s="70"/>
    </row>
    <row r="473" spans="1:3">
      <c r="A473" s="50"/>
      <c r="C473" s="70"/>
    </row>
    <row r="474" spans="1:3">
      <c r="A474" s="50"/>
      <c r="C474" s="70"/>
    </row>
    <row r="475" spans="1:3">
      <c r="A475" s="50"/>
      <c r="C475" s="70"/>
    </row>
    <row r="476" spans="1:3">
      <c r="A476" s="50"/>
      <c r="C476" s="70"/>
    </row>
    <row r="477" spans="1:3">
      <c r="A477" s="50"/>
      <c r="C477" s="70"/>
    </row>
    <row r="478" spans="1:3">
      <c r="A478" s="50"/>
      <c r="C478" s="70"/>
    </row>
    <row r="479" spans="1:3">
      <c r="A479" s="50"/>
      <c r="C479" s="70"/>
    </row>
    <row r="480" spans="1:3">
      <c r="A480" s="50"/>
      <c r="C480" s="70"/>
    </row>
    <row r="481" spans="1:3">
      <c r="A481" s="50"/>
      <c r="C481" s="70"/>
    </row>
    <row r="482" spans="1:3">
      <c r="A482" s="50"/>
      <c r="C482" s="70"/>
    </row>
    <row r="483" spans="1:3">
      <c r="A483" s="50"/>
      <c r="C483" s="70"/>
    </row>
    <row r="484" spans="1:3">
      <c r="A484" s="50"/>
      <c r="C484" s="70"/>
    </row>
    <row r="485" spans="1:3">
      <c r="A485" s="50"/>
      <c r="C485" s="70"/>
    </row>
    <row r="486" spans="1:3">
      <c r="A486" s="50"/>
      <c r="C486" s="70"/>
    </row>
    <row r="487" spans="1:3">
      <c r="A487" s="50"/>
      <c r="C487" s="70"/>
    </row>
    <row r="488" spans="1:3">
      <c r="A488" s="50"/>
      <c r="C488" s="70"/>
    </row>
    <row r="489" spans="1:3">
      <c r="A489" s="50"/>
      <c r="C489" s="70"/>
    </row>
    <row r="490" spans="1:3">
      <c r="A490" s="50"/>
      <c r="C490" s="70"/>
    </row>
    <row r="491" spans="1:3">
      <c r="A491" s="50"/>
      <c r="C491" s="70"/>
    </row>
    <row r="492" spans="1:3">
      <c r="A492" s="50"/>
      <c r="C492" s="70"/>
    </row>
    <row r="493" spans="1:3">
      <c r="A493" s="50"/>
      <c r="C493" s="70"/>
    </row>
    <row r="494" spans="1:3">
      <c r="A494" s="50"/>
      <c r="C494" s="70"/>
    </row>
    <row r="495" spans="1:3">
      <c r="A495" s="50"/>
      <c r="C495" s="70"/>
    </row>
    <row r="496" spans="1:3">
      <c r="A496" s="50"/>
      <c r="C496" s="70"/>
    </row>
    <row r="497" spans="1:3">
      <c r="A497" s="50"/>
      <c r="C497" s="70"/>
    </row>
    <row r="498" spans="1:3">
      <c r="A498" s="50"/>
      <c r="C498" s="70"/>
    </row>
    <row r="499" spans="1:3">
      <c r="A499" s="50"/>
      <c r="C499" s="70"/>
    </row>
    <row r="500" spans="1:3">
      <c r="A500" s="50"/>
      <c r="C500" s="70"/>
    </row>
    <row r="501" spans="1:3">
      <c r="A501" s="50"/>
      <c r="C501" s="70"/>
    </row>
    <row r="502" spans="1:3">
      <c r="A502" s="50"/>
      <c r="C502" s="70"/>
    </row>
    <row r="503" spans="1:3">
      <c r="A503" s="50"/>
      <c r="C503" s="70"/>
    </row>
    <row r="504" spans="1:3">
      <c r="A504" s="50"/>
      <c r="C504" s="70"/>
    </row>
    <row r="505" spans="1:3">
      <c r="A505" s="50"/>
      <c r="C505" s="70"/>
    </row>
    <row r="506" spans="1:3">
      <c r="A506" s="50"/>
      <c r="C506" s="70"/>
    </row>
    <row r="507" spans="1:3">
      <c r="A507" s="50"/>
      <c r="C507" s="70"/>
    </row>
    <row r="508" spans="1:3">
      <c r="A508" s="50"/>
      <c r="C508" s="70"/>
    </row>
    <row r="509" spans="1:3">
      <c r="A509" s="50"/>
      <c r="C509" s="70"/>
    </row>
    <row r="510" spans="1:3">
      <c r="A510" s="50"/>
      <c r="C510" s="70"/>
    </row>
    <row r="511" spans="1:3">
      <c r="A511" s="50"/>
      <c r="C511" s="70"/>
    </row>
    <row r="512" spans="1:3">
      <c r="A512" s="50"/>
      <c r="C512" s="70"/>
    </row>
    <row r="513" spans="1:3">
      <c r="A513" s="50"/>
      <c r="C513" s="70"/>
    </row>
    <row r="514" spans="1:3">
      <c r="A514" s="50"/>
      <c r="C514" s="70"/>
    </row>
    <row r="515" spans="1:3">
      <c r="A515" s="50"/>
      <c r="C515" s="70"/>
    </row>
    <row r="516" spans="1:3">
      <c r="A516" s="50"/>
      <c r="C516" s="70"/>
    </row>
    <row r="517" spans="1:3">
      <c r="A517" s="50"/>
      <c r="C517" s="70"/>
    </row>
    <row r="518" spans="1:3">
      <c r="A518" s="50"/>
      <c r="C518" s="70"/>
    </row>
    <row r="519" spans="1:3">
      <c r="A519" s="50"/>
      <c r="C519" s="70"/>
    </row>
    <row r="520" spans="1:3">
      <c r="A520" s="50"/>
      <c r="C520" s="70"/>
    </row>
    <row r="521" spans="1:3">
      <c r="A521" s="50"/>
      <c r="C521" s="70"/>
    </row>
    <row r="522" spans="1:3">
      <c r="A522" s="50"/>
      <c r="C522" s="70"/>
    </row>
    <row r="523" spans="1:3">
      <c r="A523" s="50"/>
      <c r="C523" s="70"/>
    </row>
    <row r="524" spans="1:3">
      <c r="A524" s="50"/>
      <c r="C524" s="70"/>
    </row>
    <row r="525" spans="1:3">
      <c r="A525" s="50"/>
      <c r="C525" s="70"/>
    </row>
    <row r="526" spans="1:3">
      <c r="A526" s="50"/>
      <c r="C526" s="70"/>
    </row>
    <row r="527" spans="1:3">
      <c r="A527" s="50"/>
      <c r="C527" s="70"/>
    </row>
    <row r="528" spans="1:3">
      <c r="A528" s="50"/>
      <c r="C528" s="70"/>
    </row>
    <row r="529" spans="1:3">
      <c r="A529" s="50"/>
      <c r="C529" s="70"/>
    </row>
    <row r="530" spans="1:3">
      <c r="A530" s="50"/>
      <c r="C530" s="70"/>
    </row>
    <row r="531" spans="1:3">
      <c r="A531" s="50"/>
      <c r="C531" s="70"/>
    </row>
    <row r="532" spans="1:3">
      <c r="A532" s="50"/>
      <c r="C532" s="70"/>
    </row>
    <row r="533" spans="1:3">
      <c r="C533" s="70"/>
    </row>
    <row r="534" spans="1:3">
      <c r="C534" s="70"/>
    </row>
    <row r="535" spans="1:3">
      <c r="C535" s="70"/>
    </row>
    <row r="536" spans="1:3">
      <c r="C536" s="70"/>
    </row>
    <row r="537" spans="1:3">
      <c r="C537" s="70"/>
    </row>
    <row r="538" spans="1:3">
      <c r="C538" s="70"/>
    </row>
    <row r="539" spans="1:3">
      <c r="C539" s="70"/>
    </row>
    <row r="540" spans="1:3">
      <c r="C540" s="70"/>
    </row>
    <row r="541" spans="1:3">
      <c r="C541" s="70"/>
    </row>
    <row r="542" spans="1:3">
      <c r="C542" s="70"/>
    </row>
    <row r="543" spans="1:3">
      <c r="C543" s="70"/>
    </row>
    <row r="544" spans="1:3">
      <c r="C544" s="70"/>
    </row>
    <row r="545" spans="3:3">
      <c r="C545" s="70"/>
    </row>
    <row r="546" spans="3:3">
      <c r="C546" s="70"/>
    </row>
    <row r="547" spans="3:3">
      <c r="C547" s="70"/>
    </row>
    <row r="548" spans="3:3">
      <c r="C548" s="70"/>
    </row>
    <row r="549" spans="3:3">
      <c r="C549" s="70"/>
    </row>
    <row r="550" spans="3:3">
      <c r="C550" s="70"/>
    </row>
    <row r="551" spans="3:3">
      <c r="C551" s="70"/>
    </row>
    <row r="552" spans="3:3">
      <c r="C552" s="70"/>
    </row>
    <row r="553" spans="3:3">
      <c r="C553" s="70"/>
    </row>
    <row r="554" spans="3:3">
      <c r="C554" s="70"/>
    </row>
    <row r="555" spans="3:3">
      <c r="C555" s="70"/>
    </row>
    <row r="556" spans="3:3">
      <c r="C556" s="70"/>
    </row>
    <row r="557" spans="3:3">
      <c r="C557" s="70"/>
    </row>
    <row r="558" spans="3:3">
      <c r="C558" s="70"/>
    </row>
    <row r="559" spans="3:3">
      <c r="C559" s="70"/>
    </row>
    <row r="560" spans="3:3">
      <c r="C560" s="70"/>
    </row>
    <row r="561" spans="3:3">
      <c r="C561" s="70"/>
    </row>
    <row r="562" spans="3:3">
      <c r="C562" s="70"/>
    </row>
    <row r="563" spans="3:3">
      <c r="C563" s="70"/>
    </row>
    <row r="564" spans="3:3">
      <c r="C564" s="70"/>
    </row>
    <row r="565" spans="3:3">
      <c r="C565" s="70"/>
    </row>
    <row r="566" spans="3:3">
      <c r="C566" s="70"/>
    </row>
    <row r="567" spans="3:3">
      <c r="C567" s="70"/>
    </row>
    <row r="568" spans="3:3">
      <c r="C568" s="70"/>
    </row>
    <row r="569" spans="3:3">
      <c r="C569" s="70"/>
    </row>
    <row r="570" spans="3:3">
      <c r="C570" s="70"/>
    </row>
    <row r="571" spans="3:3">
      <c r="C571" s="70"/>
    </row>
    <row r="572" spans="3:3">
      <c r="C572" s="70"/>
    </row>
    <row r="573" spans="3:3">
      <c r="C573" s="70"/>
    </row>
    <row r="574" spans="3:3">
      <c r="C574" s="70"/>
    </row>
    <row r="575" spans="3:3">
      <c r="C575" s="70"/>
    </row>
    <row r="576" spans="3:3">
      <c r="C576" s="70"/>
    </row>
    <row r="577" spans="3:3">
      <c r="C577" s="70"/>
    </row>
    <row r="578" spans="3:3">
      <c r="C578" s="70"/>
    </row>
    <row r="579" spans="3:3">
      <c r="C579" s="70"/>
    </row>
    <row r="580" spans="3:3">
      <c r="C580" s="70"/>
    </row>
    <row r="581" spans="3:3">
      <c r="C581" s="70"/>
    </row>
    <row r="582" spans="3:3">
      <c r="C582" s="70"/>
    </row>
    <row r="583" spans="3:3">
      <c r="C583" s="70"/>
    </row>
    <row r="584" spans="3:3">
      <c r="C584" s="70"/>
    </row>
    <row r="585" spans="3:3">
      <c r="C585" s="70"/>
    </row>
    <row r="586" spans="3:3">
      <c r="C586" s="70"/>
    </row>
    <row r="587" spans="3:3">
      <c r="C587" s="70"/>
    </row>
    <row r="588" spans="3:3">
      <c r="C588" s="70"/>
    </row>
    <row r="589" spans="3:3">
      <c r="C589" s="70"/>
    </row>
    <row r="590" spans="3:3">
      <c r="C590" s="70"/>
    </row>
    <row r="591" spans="3:3">
      <c r="C591" s="70"/>
    </row>
    <row r="592" spans="3:3">
      <c r="C592" s="70"/>
    </row>
    <row r="593" spans="3:3">
      <c r="C593" s="70"/>
    </row>
    <row r="594" spans="3:3">
      <c r="C594" s="70"/>
    </row>
    <row r="595" spans="3:3">
      <c r="C595" s="70"/>
    </row>
    <row r="596" spans="3:3">
      <c r="C596" s="70"/>
    </row>
    <row r="597" spans="3:3">
      <c r="C597" s="70"/>
    </row>
    <row r="598" spans="3:3">
      <c r="C598" s="70"/>
    </row>
    <row r="599" spans="3:3">
      <c r="C599" s="70"/>
    </row>
    <row r="600" spans="3:3">
      <c r="C600" s="70"/>
    </row>
    <row r="601" spans="3:3">
      <c r="C601" s="70"/>
    </row>
    <row r="602" spans="3:3">
      <c r="C602" s="70"/>
    </row>
    <row r="603" spans="3:3">
      <c r="C603" s="70"/>
    </row>
    <row r="604" spans="3:3">
      <c r="C604" s="70"/>
    </row>
    <row r="605" spans="3:3">
      <c r="C605" s="70"/>
    </row>
    <row r="606" spans="3:3">
      <c r="C606" s="70"/>
    </row>
    <row r="607" spans="3:3">
      <c r="C607" s="70"/>
    </row>
    <row r="608" spans="3:3">
      <c r="C608" s="70"/>
    </row>
    <row r="609" spans="3:3">
      <c r="C609" s="70"/>
    </row>
    <row r="610" spans="3:3">
      <c r="C610" s="70"/>
    </row>
    <row r="611" spans="3:3">
      <c r="C611" s="70"/>
    </row>
    <row r="612" spans="3:3">
      <c r="C612" s="70"/>
    </row>
    <row r="613" spans="3:3">
      <c r="C613" s="70"/>
    </row>
    <row r="614" spans="3:3">
      <c r="C614" s="70"/>
    </row>
    <row r="615" spans="3:3">
      <c r="C615" s="70"/>
    </row>
    <row r="616" spans="3:3">
      <c r="C616" s="70"/>
    </row>
    <row r="617" spans="3:3">
      <c r="C617" s="70"/>
    </row>
    <row r="618" spans="3:3">
      <c r="C618" s="70"/>
    </row>
    <row r="619" spans="3:3">
      <c r="C619" s="70"/>
    </row>
    <row r="620" spans="3:3">
      <c r="C620" s="70"/>
    </row>
    <row r="621" spans="3:3">
      <c r="C621" s="70"/>
    </row>
    <row r="622" spans="3:3">
      <c r="C622" s="70"/>
    </row>
    <row r="623" spans="3:3">
      <c r="C623" s="70"/>
    </row>
    <row r="624" spans="3:3">
      <c r="C624" s="70"/>
    </row>
    <row r="625" spans="3:3">
      <c r="C625" s="70"/>
    </row>
    <row r="626" spans="3:3">
      <c r="C626" s="70"/>
    </row>
    <row r="627" spans="3:3">
      <c r="C627" s="70"/>
    </row>
    <row r="628" spans="3:3">
      <c r="C628" s="70"/>
    </row>
    <row r="629" spans="3:3">
      <c r="C629" s="70"/>
    </row>
    <row r="630" spans="3:3">
      <c r="C630" s="70"/>
    </row>
    <row r="631" spans="3:3">
      <c r="C631" s="70"/>
    </row>
    <row r="632" spans="3:3">
      <c r="C632" s="70"/>
    </row>
    <row r="633" spans="3:3">
      <c r="C633" s="70"/>
    </row>
    <row r="634" spans="3:3">
      <c r="C634" s="70"/>
    </row>
    <row r="635" spans="3:3">
      <c r="C635" s="70"/>
    </row>
    <row r="636" spans="3:3">
      <c r="C636" s="70"/>
    </row>
    <row r="637" spans="3:3">
      <c r="C637" s="70"/>
    </row>
    <row r="638" spans="3:3">
      <c r="C638" s="70"/>
    </row>
    <row r="639" spans="3:3">
      <c r="C639" s="70"/>
    </row>
    <row r="640" spans="3:3">
      <c r="C640" s="70"/>
    </row>
    <row r="641" spans="3:3">
      <c r="C641" s="70"/>
    </row>
    <row r="642" spans="3:3">
      <c r="C642" s="70"/>
    </row>
    <row r="643" spans="3:3">
      <c r="C643" s="70"/>
    </row>
    <row r="644" spans="3:3">
      <c r="C644" s="70"/>
    </row>
    <row r="645" spans="3:3">
      <c r="C645" s="70"/>
    </row>
    <row r="646" spans="3:3">
      <c r="C646" s="70"/>
    </row>
    <row r="647" spans="3:3">
      <c r="C647" s="70"/>
    </row>
    <row r="648" spans="3:3">
      <c r="C648" s="70"/>
    </row>
    <row r="649" spans="3:3">
      <c r="C649" s="70"/>
    </row>
    <row r="650" spans="3:3">
      <c r="C650" s="70"/>
    </row>
    <row r="651" spans="3:3">
      <c r="C651" s="70"/>
    </row>
    <row r="652" spans="3:3">
      <c r="C652" s="70"/>
    </row>
    <row r="653" spans="3:3">
      <c r="C653" s="70"/>
    </row>
    <row r="654" spans="3:3">
      <c r="C654" s="70"/>
    </row>
    <row r="655" spans="3:3">
      <c r="C655" s="70"/>
    </row>
    <row r="656" spans="3:3">
      <c r="C656" s="70"/>
    </row>
    <row r="657" spans="3:3">
      <c r="C657" s="70"/>
    </row>
    <row r="658" spans="3:3">
      <c r="C658" s="70"/>
    </row>
    <row r="659" spans="3:3">
      <c r="C659" s="70"/>
    </row>
    <row r="660" spans="3:3">
      <c r="C660" s="70"/>
    </row>
    <row r="661" spans="3:3">
      <c r="C661" s="70"/>
    </row>
    <row r="662" spans="3:3">
      <c r="C662" s="70"/>
    </row>
    <row r="663" spans="3:3">
      <c r="C663" s="70"/>
    </row>
    <row r="664" spans="3:3">
      <c r="C664" s="70"/>
    </row>
    <row r="665" spans="3:3">
      <c r="C665" s="70"/>
    </row>
    <row r="666" spans="3:3">
      <c r="C666" s="70"/>
    </row>
    <row r="667" spans="3:3">
      <c r="C667" s="70"/>
    </row>
    <row r="668" spans="3:3">
      <c r="C668" s="70"/>
    </row>
    <row r="669" spans="3:3">
      <c r="C669" s="70"/>
    </row>
    <row r="670" spans="3:3">
      <c r="C670" s="70"/>
    </row>
    <row r="671" spans="3:3">
      <c r="C671" s="70"/>
    </row>
    <row r="672" spans="3:3">
      <c r="C672" s="70"/>
    </row>
    <row r="673" spans="3:3">
      <c r="C673" s="70"/>
    </row>
    <row r="674" spans="3:3">
      <c r="C674" s="70"/>
    </row>
    <row r="675" spans="3:3">
      <c r="C675" s="70"/>
    </row>
    <row r="676" spans="3:3">
      <c r="C676" s="70"/>
    </row>
    <row r="677" spans="3:3">
      <c r="C677" s="70"/>
    </row>
    <row r="678" spans="3:3">
      <c r="C678" s="70"/>
    </row>
    <row r="679" spans="3:3">
      <c r="C679" s="70"/>
    </row>
    <row r="680" spans="3:3">
      <c r="C680" s="70"/>
    </row>
    <row r="681" spans="3:3">
      <c r="C681" s="70"/>
    </row>
    <row r="682" spans="3:3">
      <c r="C682" s="70"/>
    </row>
    <row r="683" spans="3:3">
      <c r="C683" s="70"/>
    </row>
    <row r="684" spans="3:3">
      <c r="C684" s="70"/>
    </row>
    <row r="685" spans="3:3">
      <c r="C685" s="70"/>
    </row>
    <row r="686" spans="3:3">
      <c r="C686" s="70"/>
    </row>
    <row r="687" spans="3:3">
      <c r="C687" s="70"/>
    </row>
    <row r="688" spans="3:3">
      <c r="C688" s="70"/>
    </row>
    <row r="689" spans="3:3">
      <c r="C689" s="70"/>
    </row>
    <row r="690" spans="3:3">
      <c r="C690" s="70"/>
    </row>
    <row r="691" spans="3:3">
      <c r="C691" s="70"/>
    </row>
    <row r="692" spans="3:3">
      <c r="C692" s="70"/>
    </row>
    <row r="693" spans="3:3">
      <c r="C693" s="70"/>
    </row>
    <row r="694" spans="3:3">
      <c r="C694" s="70"/>
    </row>
    <row r="695" spans="3:3">
      <c r="C695" s="70"/>
    </row>
    <row r="696" spans="3:3">
      <c r="C696" s="70"/>
    </row>
    <row r="697" spans="3:3">
      <c r="C697" s="70"/>
    </row>
    <row r="698" spans="3:3">
      <c r="C698" s="70"/>
    </row>
    <row r="699" spans="3:3">
      <c r="C699" s="70"/>
    </row>
    <row r="700" spans="3:3">
      <c r="C700" s="70"/>
    </row>
    <row r="701" spans="3:3">
      <c r="C701" s="70"/>
    </row>
    <row r="702" spans="3:3">
      <c r="C702" s="70"/>
    </row>
    <row r="703" spans="3:3">
      <c r="C703" s="70"/>
    </row>
    <row r="704" spans="3:3">
      <c r="C704" s="70"/>
    </row>
    <row r="705" spans="3:3">
      <c r="C705" s="70"/>
    </row>
    <row r="706" spans="3:3">
      <c r="C706" s="70"/>
    </row>
    <row r="707" spans="3:3">
      <c r="C707" s="70"/>
    </row>
    <row r="708" spans="3:3">
      <c r="C708" s="70"/>
    </row>
    <row r="709" spans="3:3">
      <c r="C709" s="70"/>
    </row>
    <row r="710" spans="3:3">
      <c r="C710" s="70"/>
    </row>
    <row r="711" spans="3:3">
      <c r="C711" s="70"/>
    </row>
    <row r="712" spans="3:3">
      <c r="C712" s="70"/>
    </row>
    <row r="713" spans="3:3">
      <c r="C713" s="70"/>
    </row>
    <row r="714" spans="3:3">
      <c r="C714" s="70"/>
    </row>
    <row r="715" spans="3:3">
      <c r="C715" s="70"/>
    </row>
    <row r="716" spans="3:3">
      <c r="C716" s="70"/>
    </row>
    <row r="717" spans="3:3">
      <c r="C717" s="70"/>
    </row>
    <row r="718" spans="3:3">
      <c r="C718" s="70"/>
    </row>
    <row r="719" spans="3:3">
      <c r="C719" s="70"/>
    </row>
    <row r="720" spans="3:3">
      <c r="C720" s="70"/>
    </row>
    <row r="721" spans="3:3">
      <c r="C721" s="70"/>
    </row>
    <row r="722" spans="3:3">
      <c r="C722" s="70"/>
    </row>
    <row r="723" spans="3:3">
      <c r="C723" s="70"/>
    </row>
    <row r="724" spans="3:3">
      <c r="C724" s="70"/>
    </row>
    <row r="725" spans="3:3">
      <c r="C725" s="70"/>
    </row>
    <row r="726" spans="3:3">
      <c r="C726" s="70"/>
    </row>
    <row r="727" spans="3:3">
      <c r="C727" s="70"/>
    </row>
    <row r="728" spans="3:3">
      <c r="C728" s="70"/>
    </row>
    <row r="729" spans="3:3">
      <c r="C729" s="70"/>
    </row>
    <row r="730" spans="3:3">
      <c r="C730" s="70"/>
    </row>
    <row r="731" spans="3:3">
      <c r="C731" s="70"/>
    </row>
    <row r="732" spans="3:3">
      <c r="C732" s="70"/>
    </row>
    <row r="733" spans="3:3">
      <c r="C733" s="70"/>
    </row>
    <row r="734" spans="3:3">
      <c r="C734" s="70"/>
    </row>
    <row r="735" spans="3:3">
      <c r="C735" s="70"/>
    </row>
    <row r="736" spans="3:3">
      <c r="C736" s="70"/>
    </row>
    <row r="737" spans="3:3">
      <c r="C737" s="70"/>
    </row>
    <row r="738" spans="3:3">
      <c r="C738" s="70"/>
    </row>
    <row r="739" spans="3:3">
      <c r="C739" s="70"/>
    </row>
    <row r="740" spans="3:3">
      <c r="C740" s="70"/>
    </row>
    <row r="741" spans="3:3">
      <c r="C741" s="70"/>
    </row>
    <row r="742" spans="3:3">
      <c r="C742" s="70"/>
    </row>
    <row r="743" spans="3:3">
      <c r="C743" s="70"/>
    </row>
    <row r="744" spans="3:3">
      <c r="C744" s="70"/>
    </row>
    <row r="745" spans="3:3">
      <c r="C745" s="70"/>
    </row>
    <row r="746" spans="3:3">
      <c r="C746" s="70"/>
    </row>
    <row r="747" spans="3:3">
      <c r="C747" s="70"/>
    </row>
    <row r="748" spans="3:3">
      <c r="C748" s="70"/>
    </row>
    <row r="749" spans="3:3">
      <c r="C749" s="70"/>
    </row>
    <row r="750" spans="3:3">
      <c r="C750" s="70"/>
    </row>
    <row r="751" spans="3:3">
      <c r="C751" s="70"/>
    </row>
    <row r="752" spans="3:3">
      <c r="C752" s="70"/>
    </row>
    <row r="753" spans="3:3">
      <c r="C753" s="70"/>
    </row>
    <row r="754" spans="3:3">
      <c r="C754" s="70"/>
    </row>
    <row r="755" spans="3:3">
      <c r="C755" s="70"/>
    </row>
    <row r="756" spans="3:3">
      <c r="C756" s="70"/>
    </row>
    <row r="757" spans="3:3">
      <c r="C757" s="70"/>
    </row>
    <row r="758" spans="3:3">
      <c r="C758" s="70"/>
    </row>
    <row r="759" spans="3:3">
      <c r="C759" s="70"/>
    </row>
    <row r="760" spans="3:3">
      <c r="C760" s="70"/>
    </row>
    <row r="761" spans="3:3">
      <c r="C761" s="70"/>
    </row>
    <row r="762" spans="3:3">
      <c r="C762" s="70"/>
    </row>
    <row r="763" spans="3:3">
      <c r="C763" s="70"/>
    </row>
    <row r="764" spans="3:3">
      <c r="C764" s="70"/>
    </row>
    <row r="765" spans="3:3">
      <c r="C765" s="70"/>
    </row>
    <row r="766" spans="3:3">
      <c r="C766" s="70"/>
    </row>
    <row r="767" spans="3:3">
      <c r="C767" s="70"/>
    </row>
    <row r="768" spans="3:3">
      <c r="C768" s="70"/>
    </row>
    <row r="769" spans="3:3">
      <c r="C769" s="70"/>
    </row>
    <row r="770" spans="3:3">
      <c r="C770" s="70"/>
    </row>
    <row r="771" spans="3:3">
      <c r="C771" s="70"/>
    </row>
    <row r="772" spans="3:3">
      <c r="C772" s="70"/>
    </row>
    <row r="773" spans="3:3">
      <c r="C773" s="70"/>
    </row>
    <row r="774" spans="3:3">
      <c r="C774" s="70"/>
    </row>
    <row r="775" spans="3:3">
      <c r="C775" s="70"/>
    </row>
    <row r="776" spans="3:3">
      <c r="C776" s="70"/>
    </row>
    <row r="777" spans="3:3">
      <c r="C777" s="70"/>
    </row>
    <row r="778" spans="3:3">
      <c r="C778" s="70"/>
    </row>
    <row r="779" spans="3:3">
      <c r="C779" s="70"/>
    </row>
    <row r="780" spans="3:3">
      <c r="C780" s="70"/>
    </row>
    <row r="781" spans="3:3">
      <c r="C781" s="70"/>
    </row>
    <row r="782" spans="3:3">
      <c r="C782" s="70"/>
    </row>
    <row r="783" spans="3:3">
      <c r="C783" s="70"/>
    </row>
    <row r="784" spans="3:3">
      <c r="C784" s="70"/>
    </row>
    <row r="785" spans="3:3">
      <c r="C785" s="70"/>
    </row>
    <row r="786" spans="3:3">
      <c r="C786" s="70"/>
    </row>
    <row r="787" spans="3:3">
      <c r="C787" s="70"/>
    </row>
    <row r="788" spans="3:3">
      <c r="C788" s="70"/>
    </row>
    <row r="789" spans="3:3">
      <c r="C789" s="70"/>
    </row>
    <row r="790" spans="3:3">
      <c r="C790" s="70"/>
    </row>
    <row r="791" spans="3:3">
      <c r="C791" s="70"/>
    </row>
    <row r="792" spans="3:3">
      <c r="C792" s="70"/>
    </row>
    <row r="793" spans="3:3">
      <c r="C793" s="70"/>
    </row>
    <row r="794" spans="3:3">
      <c r="C794" s="70"/>
    </row>
    <row r="795" spans="3:3">
      <c r="C795" s="70"/>
    </row>
    <row r="796" spans="3:3">
      <c r="C796" s="70"/>
    </row>
    <row r="797" spans="3:3">
      <c r="C797" s="70"/>
    </row>
    <row r="798" spans="3:3">
      <c r="C798" s="70"/>
    </row>
    <row r="799" spans="3:3">
      <c r="C799" s="70"/>
    </row>
    <row r="800" spans="3:3">
      <c r="C800" s="70"/>
    </row>
    <row r="801" spans="3:3">
      <c r="C801" s="70"/>
    </row>
    <row r="802" spans="3:3">
      <c r="C802" s="70"/>
    </row>
    <row r="803" spans="3:3">
      <c r="C803" s="70"/>
    </row>
    <row r="804" spans="3:3">
      <c r="C804" s="70"/>
    </row>
    <row r="805" spans="3:3">
      <c r="C805" s="70"/>
    </row>
    <row r="806" spans="3:3">
      <c r="C806" s="70"/>
    </row>
    <row r="807" spans="3:3">
      <c r="C807" s="70"/>
    </row>
    <row r="808" spans="3:3">
      <c r="C808" s="70"/>
    </row>
    <row r="809" spans="3:3">
      <c r="C809" s="70"/>
    </row>
    <row r="810" spans="3:3">
      <c r="C810" s="70"/>
    </row>
    <row r="811" spans="3:3">
      <c r="C811" s="70"/>
    </row>
    <row r="812" spans="3:3">
      <c r="C812" s="70"/>
    </row>
    <row r="813" spans="3:3">
      <c r="C813" s="70"/>
    </row>
    <row r="814" spans="3:3">
      <c r="C814" s="70"/>
    </row>
    <row r="815" spans="3:3">
      <c r="C815" s="70"/>
    </row>
    <row r="816" spans="3:3">
      <c r="C816" s="70"/>
    </row>
    <row r="817" spans="3:3">
      <c r="C817" s="70"/>
    </row>
    <row r="818" spans="3:3">
      <c r="C818" s="70"/>
    </row>
    <row r="819" spans="3:3">
      <c r="C819" s="70"/>
    </row>
    <row r="820" spans="3:3">
      <c r="C820" s="70"/>
    </row>
    <row r="821" spans="3:3">
      <c r="C821" s="70"/>
    </row>
    <row r="822" spans="3:3">
      <c r="C822" s="70"/>
    </row>
    <row r="823" spans="3:3">
      <c r="C823" s="70"/>
    </row>
    <row r="824" spans="3:3">
      <c r="C824" s="70"/>
    </row>
    <row r="825" spans="3:3">
      <c r="C825" s="70"/>
    </row>
    <row r="826" spans="3:3">
      <c r="C826" s="70"/>
    </row>
    <row r="827" spans="3:3">
      <c r="C827" s="70"/>
    </row>
    <row r="828" spans="3:3">
      <c r="C828" s="70"/>
    </row>
    <row r="829" spans="3:3">
      <c r="C829" s="70"/>
    </row>
    <row r="830" spans="3:3">
      <c r="C830" s="70"/>
    </row>
    <row r="831" spans="3:3">
      <c r="C831" s="70"/>
    </row>
    <row r="832" spans="3:3">
      <c r="C832" s="70"/>
    </row>
    <row r="833" spans="3:3">
      <c r="C833" s="70"/>
    </row>
    <row r="834" spans="3:3">
      <c r="C834" s="70"/>
    </row>
    <row r="835" spans="3:3">
      <c r="C835" s="70"/>
    </row>
    <row r="836" spans="3:3">
      <c r="C836" s="70"/>
    </row>
    <row r="837" spans="3:3">
      <c r="C837" s="70"/>
    </row>
    <row r="838" spans="3:3">
      <c r="C838" s="70"/>
    </row>
    <row r="839" spans="3:3">
      <c r="C839" s="70"/>
    </row>
    <row r="840" spans="3:3">
      <c r="C840" s="70"/>
    </row>
    <row r="841" spans="3:3">
      <c r="C841" s="70"/>
    </row>
    <row r="842" spans="3:3">
      <c r="C842" s="70"/>
    </row>
    <row r="843" spans="3:3">
      <c r="C843" s="70"/>
    </row>
    <row r="844" spans="3:3">
      <c r="C844" s="70"/>
    </row>
    <row r="845" spans="3:3">
      <c r="C845" s="70"/>
    </row>
    <row r="846" spans="3:3">
      <c r="C846" s="70"/>
    </row>
    <row r="847" spans="3:3">
      <c r="C847" s="70"/>
    </row>
    <row r="848" spans="3:3">
      <c r="C848" s="70"/>
    </row>
    <row r="849" spans="3:3">
      <c r="C849" s="70"/>
    </row>
    <row r="850" spans="3:3">
      <c r="C850" s="70"/>
    </row>
    <row r="851" spans="3:3">
      <c r="C851" s="70"/>
    </row>
    <row r="852" spans="3:3">
      <c r="C852" s="70"/>
    </row>
    <row r="853" spans="3:3">
      <c r="C853" s="70"/>
    </row>
    <row r="854" spans="3:3">
      <c r="C854" s="70"/>
    </row>
    <row r="855" spans="3:3">
      <c r="C855" s="70"/>
    </row>
    <row r="856" spans="3:3">
      <c r="C856" s="70"/>
    </row>
    <row r="857" spans="3:3">
      <c r="C857" s="70"/>
    </row>
    <row r="858" spans="3:3">
      <c r="C858" s="70"/>
    </row>
    <row r="859" spans="3:3">
      <c r="C859" s="70"/>
    </row>
    <row r="860" spans="3:3">
      <c r="C860" s="70"/>
    </row>
    <row r="861" spans="3:3">
      <c r="C861" s="70"/>
    </row>
    <row r="862" spans="3:3">
      <c r="C862" s="70"/>
    </row>
    <row r="863" spans="3:3">
      <c r="C863" s="70"/>
    </row>
    <row r="864" spans="3:3">
      <c r="C864" s="70"/>
    </row>
    <row r="865" spans="3:3">
      <c r="C865" s="70"/>
    </row>
    <row r="866" spans="3:3">
      <c r="C866" s="70"/>
    </row>
    <row r="867" spans="3:3">
      <c r="C867" s="70"/>
    </row>
    <row r="868" spans="3:3">
      <c r="C868" s="70"/>
    </row>
    <row r="869" spans="3:3">
      <c r="C869" s="70"/>
    </row>
    <row r="870" spans="3:3">
      <c r="C870" s="70"/>
    </row>
    <row r="871" spans="3:3">
      <c r="C871" s="70"/>
    </row>
    <row r="872" spans="3:3">
      <c r="C872" s="70"/>
    </row>
    <row r="873" spans="3:3">
      <c r="C873" s="70"/>
    </row>
    <row r="874" spans="3:3">
      <c r="C874" s="70"/>
    </row>
    <row r="875" spans="3:3">
      <c r="C875" s="70"/>
    </row>
    <row r="876" spans="3:3">
      <c r="C876" s="70"/>
    </row>
    <row r="877" spans="3:3">
      <c r="C877" s="70"/>
    </row>
    <row r="878" spans="3:3">
      <c r="C878" s="70"/>
    </row>
    <row r="879" spans="3:3">
      <c r="C879" s="70"/>
    </row>
    <row r="880" spans="3:3">
      <c r="C880" s="70"/>
    </row>
    <row r="881" spans="3:3">
      <c r="C881" s="70"/>
    </row>
    <row r="882" spans="3:3">
      <c r="C882" s="70"/>
    </row>
    <row r="883" spans="3:3">
      <c r="C883" s="70"/>
    </row>
    <row r="884" spans="3:3">
      <c r="C884" s="70"/>
    </row>
    <row r="885" spans="3:3">
      <c r="C885" s="70"/>
    </row>
    <row r="886" spans="3:3">
      <c r="C886" s="70"/>
    </row>
    <row r="887" spans="3:3">
      <c r="C887" s="70"/>
    </row>
    <row r="888" spans="3:3">
      <c r="C888" s="70"/>
    </row>
    <row r="889" spans="3:3">
      <c r="C889" s="70"/>
    </row>
    <row r="890" spans="3:3">
      <c r="C890" s="70"/>
    </row>
    <row r="891" spans="3:3">
      <c r="C891" s="70"/>
    </row>
    <row r="892" spans="3:3">
      <c r="C892" s="70"/>
    </row>
    <row r="893" spans="3:3">
      <c r="C893" s="70"/>
    </row>
    <row r="894" spans="3:3">
      <c r="C894" s="70"/>
    </row>
    <row r="895" spans="3:3">
      <c r="C895" s="70"/>
    </row>
    <row r="896" spans="3:3">
      <c r="C896" s="70"/>
    </row>
    <row r="897" spans="3:3">
      <c r="C897" s="70"/>
    </row>
    <row r="898" spans="3:3">
      <c r="C898" s="70"/>
    </row>
    <row r="899" spans="3:3">
      <c r="C899" s="70"/>
    </row>
    <row r="900" spans="3:3">
      <c r="C900" s="70"/>
    </row>
    <row r="901" spans="3:3">
      <c r="C901" s="70"/>
    </row>
    <row r="902" spans="3:3">
      <c r="C902" s="70"/>
    </row>
    <row r="903" spans="3:3">
      <c r="C903" s="70"/>
    </row>
    <row r="904" spans="3:3">
      <c r="C904" s="70"/>
    </row>
    <row r="905" spans="3:3">
      <c r="C905" s="70"/>
    </row>
    <row r="906" spans="3:3">
      <c r="C906" s="70"/>
    </row>
    <row r="907" spans="3:3">
      <c r="C907" s="70"/>
    </row>
    <row r="908" spans="3:3">
      <c r="C908" s="70"/>
    </row>
    <row r="909" spans="3:3">
      <c r="C909" s="70"/>
    </row>
    <row r="910" spans="3:3">
      <c r="C910" s="70"/>
    </row>
    <row r="911" spans="3:3">
      <c r="C911" s="70"/>
    </row>
    <row r="912" spans="3:3">
      <c r="C912" s="70"/>
    </row>
    <row r="913" spans="3:3">
      <c r="C913" s="70"/>
    </row>
    <row r="914" spans="3:3">
      <c r="C914" s="70"/>
    </row>
    <row r="915" spans="3:3">
      <c r="C915" s="70"/>
    </row>
    <row r="916" spans="3:3">
      <c r="C916" s="70"/>
    </row>
    <row r="917" spans="3:3">
      <c r="C917" s="70"/>
    </row>
    <row r="918" spans="3:3">
      <c r="C918" s="70"/>
    </row>
    <row r="919" spans="3:3">
      <c r="C919" s="70"/>
    </row>
    <row r="920" spans="3:3">
      <c r="C920" s="70"/>
    </row>
    <row r="921" spans="3:3">
      <c r="C921" s="70"/>
    </row>
    <row r="922" spans="3:3">
      <c r="C922" s="70"/>
    </row>
    <row r="923" spans="3:3">
      <c r="C923" s="70"/>
    </row>
    <row r="924" spans="3:3">
      <c r="C924" s="70"/>
    </row>
    <row r="925" spans="3:3">
      <c r="C925" s="70"/>
    </row>
    <row r="926" spans="3:3">
      <c r="C926" s="70"/>
    </row>
    <row r="927" spans="3:3">
      <c r="C927" s="70"/>
    </row>
    <row r="928" spans="3:3">
      <c r="C928" s="70"/>
    </row>
    <row r="929" spans="3:3">
      <c r="C929" s="70"/>
    </row>
    <row r="930" spans="3:3">
      <c r="C930" s="70"/>
    </row>
    <row r="931" spans="3:3">
      <c r="C931" s="70"/>
    </row>
    <row r="932" spans="3:3">
      <c r="C932" s="70"/>
    </row>
    <row r="933" spans="3:3">
      <c r="C933" s="70"/>
    </row>
    <row r="934" spans="3:3">
      <c r="C934" s="70"/>
    </row>
    <row r="935" spans="3:3">
      <c r="C935" s="70"/>
    </row>
    <row r="936" spans="3:3">
      <c r="C936" s="70"/>
    </row>
    <row r="937" spans="3:3">
      <c r="C937" s="70"/>
    </row>
    <row r="938" spans="3:3">
      <c r="C938" s="70"/>
    </row>
    <row r="939" spans="3:3">
      <c r="C939" s="70"/>
    </row>
    <row r="940" spans="3:3">
      <c r="C940" s="70"/>
    </row>
    <row r="941" spans="3:3">
      <c r="C941" s="70"/>
    </row>
    <row r="942" spans="3:3">
      <c r="C942" s="70"/>
    </row>
    <row r="943" spans="3:3">
      <c r="C943" s="70"/>
    </row>
    <row r="944" spans="3:3">
      <c r="C944" s="70"/>
    </row>
    <row r="945" spans="3:3">
      <c r="C945" s="70"/>
    </row>
    <row r="946" spans="3:3">
      <c r="C946" s="70"/>
    </row>
    <row r="947" spans="3:3">
      <c r="C947" s="70"/>
    </row>
    <row r="948" spans="3:3">
      <c r="C948" s="70"/>
    </row>
    <row r="949" spans="3:3">
      <c r="C949" s="70"/>
    </row>
    <row r="950" spans="3:3">
      <c r="C950" s="70"/>
    </row>
    <row r="951" spans="3:3">
      <c r="C951" s="70"/>
    </row>
    <row r="952" spans="3:3">
      <c r="C952" s="70"/>
    </row>
    <row r="953" spans="3:3">
      <c r="C953" s="70"/>
    </row>
    <row r="954" spans="3:3">
      <c r="C954" s="70"/>
    </row>
    <row r="955" spans="3:3">
      <c r="C955" s="70"/>
    </row>
    <row r="956" spans="3:3">
      <c r="C956" s="70"/>
    </row>
    <row r="957" spans="3:3">
      <c r="C957" s="70"/>
    </row>
    <row r="958" spans="3:3">
      <c r="C958" s="70"/>
    </row>
    <row r="959" spans="3:3">
      <c r="C959" s="70"/>
    </row>
    <row r="960" spans="3:3">
      <c r="C960" s="70"/>
    </row>
    <row r="961" spans="3:3">
      <c r="C961" s="70"/>
    </row>
    <row r="962" spans="3:3">
      <c r="C962" s="70"/>
    </row>
    <row r="963" spans="3:3">
      <c r="C963" s="70"/>
    </row>
    <row r="964" spans="3:3">
      <c r="C964" s="70"/>
    </row>
    <row r="965" spans="3:3">
      <c r="C965" s="70"/>
    </row>
    <row r="966" spans="3:3">
      <c r="C966" s="70"/>
    </row>
    <row r="967" spans="3:3">
      <c r="C967" s="70"/>
    </row>
    <row r="968" spans="3:3">
      <c r="C968" s="70"/>
    </row>
    <row r="969" spans="3:3">
      <c r="C969" s="70"/>
    </row>
    <row r="970" spans="3:3">
      <c r="C970" s="70"/>
    </row>
    <row r="971" spans="3:3">
      <c r="C971" s="70"/>
    </row>
    <row r="972" spans="3:3">
      <c r="C972" s="70"/>
    </row>
    <row r="973" spans="3:3">
      <c r="C973" s="70"/>
    </row>
    <row r="974" spans="3:3">
      <c r="C974" s="70"/>
    </row>
    <row r="975" spans="3:3">
      <c r="C975" s="70"/>
    </row>
    <row r="976" spans="3:3">
      <c r="C976" s="70"/>
    </row>
    <row r="977" spans="3:3">
      <c r="C977" s="70"/>
    </row>
    <row r="978" spans="3:3">
      <c r="C978" s="70"/>
    </row>
    <row r="979" spans="3:3">
      <c r="C979" s="70"/>
    </row>
    <row r="980" spans="3:3">
      <c r="C980" s="70"/>
    </row>
    <row r="981" spans="3:3">
      <c r="C981" s="70"/>
    </row>
    <row r="982" spans="3:3">
      <c r="C982" s="70"/>
    </row>
    <row r="983" spans="3:3">
      <c r="C983" s="70"/>
    </row>
    <row r="984" spans="3:3">
      <c r="C984" s="70"/>
    </row>
    <row r="985" spans="3:3">
      <c r="C985" s="70"/>
    </row>
    <row r="986" spans="3:3">
      <c r="C986" s="70"/>
    </row>
    <row r="987" spans="3:3">
      <c r="C987" s="70"/>
    </row>
    <row r="988" spans="3:3">
      <c r="C988" s="70"/>
    </row>
    <row r="989" spans="3:3">
      <c r="C989" s="70"/>
    </row>
    <row r="990" spans="3:3">
      <c r="C990" s="70"/>
    </row>
    <row r="991" spans="3:3">
      <c r="C991" s="70"/>
    </row>
    <row r="992" spans="3:3">
      <c r="C992" s="70"/>
    </row>
    <row r="993" spans="3:3">
      <c r="C993" s="70"/>
    </row>
    <row r="994" spans="3:3">
      <c r="C994" s="70"/>
    </row>
    <row r="995" spans="3:3">
      <c r="C995" s="70"/>
    </row>
    <row r="996" spans="3:3">
      <c r="C996" s="70"/>
    </row>
    <row r="997" spans="3:3">
      <c r="C997" s="70"/>
    </row>
    <row r="998" spans="3:3">
      <c r="C998" s="70"/>
    </row>
    <row r="999" spans="3:3">
      <c r="C999" s="70"/>
    </row>
    <row r="1000" spans="3:3">
      <c r="C1000" s="70"/>
    </row>
    <row r="1001" spans="3:3">
      <c r="C1001" s="70"/>
    </row>
    <row r="1002" spans="3:3">
      <c r="C1002" s="70"/>
    </row>
    <row r="1003" spans="3:3">
      <c r="C1003" s="70"/>
    </row>
    <row r="1004" spans="3:3">
      <c r="C1004" s="70"/>
    </row>
    <row r="1005" spans="3:3">
      <c r="C1005" s="70"/>
    </row>
    <row r="1006" spans="3:3">
      <c r="C1006" s="70"/>
    </row>
    <row r="1007" spans="3:3">
      <c r="C1007" s="70"/>
    </row>
    <row r="1008" spans="3:3">
      <c r="C1008" s="70"/>
    </row>
    <row r="1009" spans="3:3">
      <c r="C1009" s="70"/>
    </row>
    <row r="1010" spans="3:3">
      <c r="C1010" s="70"/>
    </row>
    <row r="1011" spans="3:3">
      <c r="C1011" s="70"/>
    </row>
    <row r="1012" spans="3:3">
      <c r="C1012" s="70"/>
    </row>
    <row r="1013" spans="3:3">
      <c r="C1013" s="70"/>
    </row>
    <row r="1014" spans="3:3">
      <c r="C1014" s="70"/>
    </row>
    <row r="1015" spans="3:3">
      <c r="C1015" s="70"/>
    </row>
    <row r="1016" spans="3:3">
      <c r="C1016" s="70"/>
    </row>
    <row r="1017" spans="3:3">
      <c r="C1017" s="70"/>
    </row>
    <row r="1018" spans="3:3">
      <c r="C1018" s="70"/>
    </row>
    <row r="1019" spans="3:3">
      <c r="C1019" s="70"/>
    </row>
    <row r="1020" spans="3:3">
      <c r="C1020" s="70"/>
    </row>
    <row r="1021" spans="3:3">
      <c r="C1021" s="70"/>
    </row>
    <row r="1022" spans="3:3">
      <c r="C1022" s="70"/>
    </row>
    <row r="1023" spans="3:3">
      <c r="C1023" s="70"/>
    </row>
    <row r="1024" spans="3:3">
      <c r="C1024" s="70"/>
    </row>
    <row r="1025" spans="3:3">
      <c r="C1025" s="70"/>
    </row>
    <row r="1026" spans="3:3">
      <c r="C1026" s="70"/>
    </row>
    <row r="1027" spans="3:3">
      <c r="C1027" s="70"/>
    </row>
    <row r="1028" spans="3:3">
      <c r="C1028" s="70"/>
    </row>
    <row r="1029" spans="3:3">
      <c r="C1029" s="70"/>
    </row>
    <row r="1030" spans="3:3">
      <c r="C1030" s="70"/>
    </row>
    <row r="1031" spans="3:3">
      <c r="C1031" s="70"/>
    </row>
    <row r="1032" spans="3:3">
      <c r="C1032" s="70"/>
    </row>
    <row r="1033" spans="3:3">
      <c r="C1033" s="70"/>
    </row>
    <row r="1034" spans="3:3">
      <c r="C1034" s="70"/>
    </row>
    <row r="1035" spans="3:3">
      <c r="C1035" s="70"/>
    </row>
    <row r="1036" spans="3:3">
      <c r="C1036" s="70"/>
    </row>
    <row r="1037" spans="3:3">
      <c r="C1037" s="70"/>
    </row>
    <row r="1038" spans="3:3">
      <c r="C1038" s="70"/>
    </row>
    <row r="1039" spans="3:3">
      <c r="C1039" s="70"/>
    </row>
    <row r="1040" spans="3:3">
      <c r="C1040" s="70"/>
    </row>
    <row r="1041" spans="3:3">
      <c r="C1041" s="70"/>
    </row>
    <row r="1042" spans="3:3">
      <c r="C1042" s="70"/>
    </row>
  </sheetData>
  <mergeCells count="3">
    <mergeCell ref="B17:C17"/>
    <mergeCell ref="B19:C19"/>
    <mergeCell ref="B21:C21"/>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K1043"/>
  <sheetViews>
    <sheetView showZeros="0" topLeftCell="A96" zoomScale="80" zoomScaleNormal="80" workbookViewId="0">
      <selection activeCell="L123" sqref="L123"/>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6.28515625" style="77" customWidth="1"/>
    <col min="10" max="10" width="9.140625" style="58" customWidth="1"/>
    <col min="11" max="16384" width="8.85546875" style="3"/>
  </cols>
  <sheetData>
    <row r="1" spans="2:11" ht="15.75">
      <c r="B1" s="1" t="str">
        <f>'Drawings &amp; Data'!A1</f>
        <v>ESTATE NAME</v>
      </c>
      <c r="C1" s="1"/>
      <c r="D1" s="1"/>
      <c r="E1" s="1"/>
      <c r="F1" s="1"/>
      <c r="G1" s="1"/>
      <c r="H1" s="1"/>
      <c r="I1" s="1"/>
      <c r="J1" s="3"/>
    </row>
    <row r="2" spans="2:11" ht="15.75">
      <c r="B2" s="4" t="str">
        <f>'Drawings &amp; Data'!A2</f>
        <v>STAGE X</v>
      </c>
      <c r="C2" s="1"/>
      <c r="D2" s="1"/>
      <c r="E2" s="1"/>
      <c r="F2" s="1"/>
      <c r="G2" s="1"/>
      <c r="H2" s="1"/>
      <c r="I2" s="1"/>
      <c r="J2" s="3"/>
    </row>
    <row r="3" spans="2:11" ht="15.75">
      <c r="B3" s="1"/>
      <c r="C3" s="1"/>
      <c r="D3" s="1"/>
      <c r="E3" s="1"/>
      <c r="F3" s="1"/>
      <c r="G3" s="1"/>
      <c r="H3" s="1"/>
      <c r="I3" s="1"/>
      <c r="J3" s="3"/>
    </row>
    <row r="4" spans="2:11" ht="15.75">
      <c r="B4" s="5" t="s">
        <v>9</v>
      </c>
      <c r="C4" s="1"/>
      <c r="D4" s="1"/>
      <c r="E4" s="1"/>
      <c r="F4" s="1"/>
      <c r="G4" s="1"/>
      <c r="H4" s="1"/>
      <c r="I4" s="1"/>
      <c r="J4" s="3"/>
    </row>
    <row r="5" spans="2:11" ht="15.75">
      <c r="B5" s="6" t="str">
        <f>'Drawings &amp; Data'!A5</f>
        <v>Name and/or entity</v>
      </c>
      <c r="C5" s="1"/>
      <c r="D5" s="1"/>
      <c r="E5" s="1"/>
      <c r="F5" s="1"/>
      <c r="G5" s="1"/>
      <c r="H5" s="1"/>
      <c r="I5" s="1"/>
      <c r="J5" s="3"/>
    </row>
    <row r="6" spans="2:11" ht="15.75">
      <c r="B6" s="6" t="str">
        <f>'Drawings &amp; Data'!A6</f>
        <v>Address 1</v>
      </c>
      <c r="C6" s="1"/>
      <c r="D6" s="1"/>
      <c r="E6" s="1"/>
      <c r="F6" s="1"/>
      <c r="G6" s="1"/>
      <c r="H6" s="1"/>
      <c r="I6" s="1"/>
      <c r="J6" s="3"/>
    </row>
    <row r="7" spans="2:11" ht="15.75">
      <c r="B7" s="6" t="str">
        <f>'Drawings &amp; Data'!A7</f>
        <v>Address 2</v>
      </c>
      <c r="C7" s="1"/>
      <c r="D7" s="1"/>
      <c r="E7" s="1"/>
      <c r="F7" s="1"/>
      <c r="G7" s="1"/>
      <c r="H7" s="1"/>
      <c r="I7" s="1"/>
      <c r="J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c r="K10" s="58"/>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24</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0" ht="72" customHeight="1">
      <c r="B17" s="110" t="s">
        <v>182</v>
      </c>
      <c r="C17" s="110"/>
      <c r="D17" s="38"/>
      <c r="E17" s="38"/>
      <c r="F17" s="38"/>
      <c r="G17" s="39"/>
      <c r="H17" s="40"/>
      <c r="I17" s="40"/>
    </row>
    <row r="18" spans="1:10" ht="8.4499999999999993" customHeight="1">
      <c r="B18" s="42"/>
      <c r="C18" s="42"/>
      <c r="D18" s="38"/>
      <c r="E18" s="38"/>
      <c r="F18" s="38"/>
      <c r="G18" s="39"/>
      <c r="H18" s="40"/>
      <c r="I18" s="40"/>
    </row>
    <row r="19" spans="1:10" ht="72.599999999999994" customHeight="1">
      <c r="B19" s="110" t="s">
        <v>532</v>
      </c>
      <c r="C19" s="110"/>
      <c r="D19" s="38"/>
      <c r="E19" s="38"/>
      <c r="F19" s="38"/>
      <c r="G19" s="39"/>
      <c r="H19" s="40"/>
      <c r="I19" s="40"/>
    </row>
    <row r="20" spans="1:10" ht="8.4499999999999993" customHeight="1">
      <c r="B20" s="42"/>
      <c r="C20" s="42"/>
      <c r="D20" s="38"/>
      <c r="E20" s="38"/>
      <c r="F20" s="38"/>
      <c r="G20" s="39"/>
      <c r="H20" s="40"/>
      <c r="I20" s="40"/>
    </row>
    <row r="21" spans="1:10" ht="60.6" customHeight="1">
      <c r="B21" s="110" t="s">
        <v>183</v>
      </c>
      <c r="C21" s="110"/>
      <c r="D21" s="38"/>
      <c r="E21" s="38"/>
      <c r="F21" s="38"/>
      <c r="G21" s="39"/>
      <c r="H21" s="40"/>
      <c r="I21" s="40"/>
    </row>
    <row r="22" spans="1:10" s="41" customFormat="1" ht="15">
      <c r="A22" s="43" t="s">
        <v>513</v>
      </c>
      <c r="B22" s="94"/>
      <c r="C22" s="30"/>
      <c r="D22" s="38"/>
      <c r="E22" s="38"/>
      <c r="F22" s="38"/>
      <c r="G22" s="39"/>
      <c r="H22" s="40"/>
      <c r="I22" s="40"/>
      <c r="J22" s="58"/>
    </row>
    <row r="23" spans="1:10" s="41" customFormat="1" ht="15">
      <c r="A23" s="43" t="s">
        <v>514</v>
      </c>
      <c r="B23" s="46" t="s">
        <v>0</v>
      </c>
      <c r="C23" s="47" t="s">
        <v>1</v>
      </c>
      <c r="D23" s="48" t="s">
        <v>71</v>
      </c>
      <c r="E23" s="48" t="s">
        <v>72</v>
      </c>
      <c r="F23" s="48" t="s">
        <v>3</v>
      </c>
      <c r="G23" s="46" t="s">
        <v>2</v>
      </c>
      <c r="H23" s="49" t="s">
        <v>4</v>
      </c>
      <c r="I23" s="49" t="s">
        <v>5</v>
      </c>
    </row>
    <row r="24" spans="1:10" s="41" customFormat="1" ht="15">
      <c r="A24" s="43" t="s">
        <v>515</v>
      </c>
      <c r="B24" s="46"/>
      <c r="C24" s="47"/>
      <c r="D24" s="48"/>
      <c r="E24" s="48"/>
      <c r="F24" s="48"/>
      <c r="G24" s="46"/>
      <c r="H24" s="49"/>
      <c r="I24" s="49"/>
    </row>
    <row r="25" spans="1:10" s="41" customFormat="1" ht="75">
      <c r="A25" s="50">
        <v>1</v>
      </c>
      <c r="B25" s="51">
        <f ca="1">IF($A25="","",NumList())</f>
        <v>1</v>
      </c>
      <c r="C25" s="63" t="s">
        <v>610</v>
      </c>
      <c r="D25" s="48"/>
      <c r="E25" s="48"/>
      <c r="F25" s="48"/>
      <c r="G25" s="46"/>
      <c r="H25" s="53"/>
      <c r="I25" s="53">
        <f t="shared" ref="I25:I88" si="0">F25*H25</f>
        <v>0</v>
      </c>
    </row>
    <row r="26" spans="1:10" s="41" customFormat="1" ht="45">
      <c r="A26" s="50" t="s">
        <v>516</v>
      </c>
      <c r="B26" s="51" t="str">
        <f>IF($A26="","",NumList())</f>
        <v/>
      </c>
      <c r="C26" s="63" t="s">
        <v>496</v>
      </c>
      <c r="D26" s="48"/>
      <c r="E26" s="48"/>
      <c r="F26" s="48"/>
      <c r="G26" s="46"/>
      <c r="H26" s="53"/>
      <c r="I26" s="53">
        <f t="shared" si="0"/>
        <v>0</v>
      </c>
    </row>
    <row r="27" spans="1:10" s="41" customFormat="1" ht="15">
      <c r="A27" s="50">
        <v>2</v>
      </c>
      <c r="B27" s="51" t="str">
        <f ca="1">IF($A27="","",NumList())</f>
        <v>1.1</v>
      </c>
      <c r="C27" s="61" t="s">
        <v>66</v>
      </c>
      <c r="D27" s="55">
        <f ca="1">IF(ISTEXT(G27),RANDBETWEEN(1,1),0)</f>
        <v>1</v>
      </c>
      <c r="E27" s="55"/>
      <c r="F27" s="55">
        <f ca="1">IF(ISTEXT(G27),RANDBETWEEN(1,100),0)</f>
        <v>51</v>
      </c>
      <c r="G27" s="51" t="s">
        <v>6</v>
      </c>
      <c r="H27" s="78">
        <f ca="1">IF(ISTEXT(G27),RANDBETWEEN(1,100),0)</f>
        <v>69</v>
      </c>
      <c r="I27" s="53">
        <f t="shared" ca="1" si="0"/>
        <v>3519</v>
      </c>
      <c r="J27" s="58"/>
    </row>
    <row r="28" spans="1:10" s="41" customFormat="1" ht="15">
      <c r="A28" s="50">
        <v>2</v>
      </c>
      <c r="B28" s="51" t="str">
        <f ca="1">IF($A28="","",NumList())</f>
        <v>1.2</v>
      </c>
      <c r="C28" s="61" t="s">
        <v>25</v>
      </c>
      <c r="D28" s="55">
        <f t="shared" ref="D28:D91" ca="1" si="1">IF(ISTEXT(G28),RANDBETWEEN(1,1),0)</f>
        <v>1</v>
      </c>
      <c r="E28" s="55"/>
      <c r="F28" s="55">
        <f t="shared" ref="F28:F91" ca="1" si="2">IF(ISTEXT(G28),RANDBETWEEN(1,100),0)</f>
        <v>80</v>
      </c>
      <c r="G28" s="51" t="s">
        <v>6</v>
      </c>
      <c r="H28" s="78">
        <f t="shared" ref="H28:H91" ca="1" si="3">IF(ISTEXT(G28),RANDBETWEEN(1,100),0)</f>
        <v>49</v>
      </c>
      <c r="I28" s="53">
        <f t="shared" ca="1" si="0"/>
        <v>3920</v>
      </c>
      <c r="J28" s="58"/>
    </row>
    <row r="29" spans="1:10" s="41" customFormat="1" ht="15">
      <c r="A29" s="50">
        <v>2</v>
      </c>
      <c r="B29" s="51" t="str">
        <f ca="1">IF($A29="","",NumList())</f>
        <v>1.3</v>
      </c>
      <c r="C29" s="61" t="s">
        <v>41</v>
      </c>
      <c r="D29" s="55">
        <f t="shared" ca="1" si="1"/>
        <v>1</v>
      </c>
      <c r="E29" s="55"/>
      <c r="F29" s="55">
        <f t="shared" ca="1" si="2"/>
        <v>33</v>
      </c>
      <c r="G29" s="51" t="s">
        <v>6</v>
      </c>
      <c r="H29" s="78">
        <f t="shared" ca="1" si="3"/>
        <v>73</v>
      </c>
      <c r="I29" s="53">
        <f t="shared" ca="1" si="0"/>
        <v>2409</v>
      </c>
      <c r="J29" s="58"/>
    </row>
    <row r="30" spans="1:10" s="41" customFormat="1" ht="15">
      <c r="A30" s="50">
        <v>2</v>
      </c>
      <c r="B30" s="51" t="str">
        <f ca="1">IF($A30="","",NumList())</f>
        <v>1.4</v>
      </c>
      <c r="C30" s="61" t="s">
        <v>327</v>
      </c>
      <c r="D30" s="55">
        <f t="shared" ca="1" si="1"/>
        <v>1</v>
      </c>
      <c r="E30" s="55"/>
      <c r="F30" s="55">
        <f t="shared" ca="1" si="2"/>
        <v>87</v>
      </c>
      <c r="G30" s="51" t="s">
        <v>6</v>
      </c>
      <c r="H30" s="78">
        <f t="shared" ca="1" si="3"/>
        <v>70</v>
      </c>
      <c r="I30" s="53">
        <f t="shared" ca="1" si="0"/>
        <v>6090</v>
      </c>
      <c r="J30" s="58"/>
    </row>
    <row r="31" spans="1:10" s="41" customFormat="1" ht="15">
      <c r="A31" s="50">
        <v>2</v>
      </c>
      <c r="B31" s="51" t="str">
        <f ca="1">IF($A31="","",NumList())</f>
        <v>1.5</v>
      </c>
      <c r="C31" s="61" t="s">
        <v>328</v>
      </c>
      <c r="D31" s="55">
        <f t="shared" ca="1" si="1"/>
        <v>1</v>
      </c>
      <c r="E31" s="55"/>
      <c r="F31" s="55">
        <f t="shared" ca="1" si="2"/>
        <v>60</v>
      </c>
      <c r="G31" s="51" t="s">
        <v>6</v>
      </c>
      <c r="H31" s="78">
        <f t="shared" ca="1" si="3"/>
        <v>34</v>
      </c>
      <c r="I31" s="53">
        <f t="shared" ca="1" si="0"/>
        <v>2040</v>
      </c>
      <c r="J31" s="58"/>
    </row>
    <row r="32" spans="1:10" s="41" customFormat="1" ht="15">
      <c r="A32" s="50">
        <v>2</v>
      </c>
      <c r="B32" s="51" t="str">
        <f ca="1">IF($A32="","",NumList())</f>
        <v>1.6</v>
      </c>
      <c r="C32" s="61" t="s">
        <v>329</v>
      </c>
      <c r="D32" s="55">
        <f t="shared" ca="1" si="1"/>
        <v>1</v>
      </c>
      <c r="E32" s="55"/>
      <c r="F32" s="55">
        <f t="shared" ca="1" si="2"/>
        <v>80</v>
      </c>
      <c r="G32" s="51" t="s">
        <v>6</v>
      </c>
      <c r="H32" s="78">
        <f t="shared" ca="1" si="3"/>
        <v>57</v>
      </c>
      <c r="I32" s="53">
        <f t="shared" ca="1" si="0"/>
        <v>4560</v>
      </c>
      <c r="J32" s="58"/>
    </row>
    <row r="33" spans="1:11" s="41" customFormat="1" ht="15">
      <c r="A33" s="50">
        <v>2</v>
      </c>
      <c r="B33" s="51" t="str">
        <f ca="1">IF($A33="","",NumList())</f>
        <v>1.7</v>
      </c>
      <c r="C33" s="61" t="s">
        <v>13</v>
      </c>
      <c r="D33" s="55">
        <f t="shared" ca="1" si="1"/>
        <v>1</v>
      </c>
      <c r="E33" s="55"/>
      <c r="F33" s="55">
        <f t="shared" ca="1" si="2"/>
        <v>24</v>
      </c>
      <c r="G33" s="51" t="s">
        <v>6</v>
      </c>
      <c r="H33" s="78">
        <f t="shared" ca="1" si="3"/>
        <v>33</v>
      </c>
      <c r="I33" s="53">
        <f t="shared" ca="1" si="0"/>
        <v>792</v>
      </c>
      <c r="J33" s="58"/>
    </row>
    <row r="34" spans="1:11" s="41" customFormat="1" ht="15">
      <c r="A34" s="50">
        <v>2</v>
      </c>
      <c r="B34" s="51" t="str">
        <f ca="1">IF($A34="","",NumList())</f>
        <v>1.8</v>
      </c>
      <c r="C34" s="62" t="s">
        <v>21</v>
      </c>
      <c r="D34" s="55">
        <f t="shared" ca="1" si="1"/>
        <v>1</v>
      </c>
      <c r="E34" s="55"/>
      <c r="F34" s="55">
        <f t="shared" ca="1" si="2"/>
        <v>69</v>
      </c>
      <c r="G34" s="51" t="s">
        <v>6</v>
      </c>
      <c r="H34" s="78">
        <f t="shared" ca="1" si="3"/>
        <v>87</v>
      </c>
      <c r="I34" s="53">
        <f t="shared" ca="1" si="0"/>
        <v>6003</v>
      </c>
      <c r="J34" s="58"/>
    </row>
    <row r="35" spans="1:11" s="41" customFormat="1" ht="15">
      <c r="A35" s="50">
        <v>2</v>
      </c>
      <c r="B35" s="51" t="str">
        <f ca="1">IF($A35="","",NumList())</f>
        <v>1.9</v>
      </c>
      <c r="C35" s="61" t="s">
        <v>42</v>
      </c>
      <c r="D35" s="55">
        <f t="shared" ca="1" si="1"/>
        <v>1</v>
      </c>
      <c r="E35" s="55"/>
      <c r="F35" s="55">
        <f t="shared" ca="1" si="2"/>
        <v>40</v>
      </c>
      <c r="G35" s="51" t="s">
        <v>6</v>
      </c>
      <c r="H35" s="78">
        <f t="shared" ca="1" si="3"/>
        <v>80</v>
      </c>
      <c r="I35" s="53">
        <f t="shared" ca="1" si="0"/>
        <v>3200</v>
      </c>
      <c r="J35" s="58"/>
    </row>
    <row r="36" spans="1:11" s="41" customFormat="1" ht="15">
      <c r="A36" s="50">
        <v>2</v>
      </c>
      <c r="B36" s="51" t="str">
        <f ca="1">IF($A36="","",NumList())</f>
        <v>1.10</v>
      </c>
      <c r="C36" s="61" t="s">
        <v>43</v>
      </c>
      <c r="D36" s="55">
        <f t="shared" ca="1" si="1"/>
        <v>1</v>
      </c>
      <c r="E36" s="55"/>
      <c r="F36" s="55">
        <f t="shared" ca="1" si="2"/>
        <v>70</v>
      </c>
      <c r="G36" s="51" t="s">
        <v>6</v>
      </c>
      <c r="H36" s="78">
        <f t="shared" ca="1" si="3"/>
        <v>74</v>
      </c>
      <c r="I36" s="53">
        <f t="shared" ca="1" si="0"/>
        <v>5180</v>
      </c>
      <c r="J36" s="58"/>
    </row>
    <row r="37" spans="1:11" s="41" customFormat="1" ht="15">
      <c r="A37" s="50">
        <v>2</v>
      </c>
      <c r="B37" s="51" t="str">
        <f ca="1">IF($A37="","",NumList())</f>
        <v>1.11</v>
      </c>
      <c r="C37" s="61" t="s">
        <v>292</v>
      </c>
      <c r="D37" s="55">
        <f t="shared" ca="1" si="1"/>
        <v>1</v>
      </c>
      <c r="E37" s="55"/>
      <c r="F37" s="55">
        <f t="shared" ca="1" si="2"/>
        <v>50</v>
      </c>
      <c r="G37" s="51" t="s">
        <v>6</v>
      </c>
      <c r="H37" s="78">
        <f t="shared" ca="1" si="3"/>
        <v>59</v>
      </c>
      <c r="I37" s="53">
        <f t="shared" ca="1" si="0"/>
        <v>2950</v>
      </c>
      <c r="J37" s="58"/>
    </row>
    <row r="38" spans="1:11" s="41" customFormat="1" ht="15">
      <c r="A38" s="50">
        <v>2</v>
      </c>
      <c r="B38" s="51" t="str">
        <f ca="1">IF($A38="","",NumList())</f>
        <v>1.12</v>
      </c>
      <c r="C38" s="62" t="s">
        <v>293</v>
      </c>
      <c r="D38" s="55">
        <f t="shared" ca="1" si="1"/>
        <v>1</v>
      </c>
      <c r="E38" s="55"/>
      <c r="F38" s="55">
        <f t="shared" ca="1" si="2"/>
        <v>6</v>
      </c>
      <c r="G38" s="51" t="s">
        <v>6</v>
      </c>
      <c r="H38" s="78">
        <f t="shared" ca="1" si="3"/>
        <v>78</v>
      </c>
      <c r="I38" s="53">
        <f t="shared" ca="1" si="0"/>
        <v>468</v>
      </c>
      <c r="J38" s="58"/>
    </row>
    <row r="39" spans="1:11" s="41" customFormat="1" ht="15">
      <c r="A39" s="50">
        <v>2</v>
      </c>
      <c r="B39" s="51" t="str">
        <f ca="1">IF($A39="","",NumList())</f>
        <v>1.13</v>
      </c>
      <c r="C39" s="61" t="s">
        <v>294</v>
      </c>
      <c r="D39" s="55">
        <f t="shared" ca="1" si="1"/>
        <v>1</v>
      </c>
      <c r="E39" s="55"/>
      <c r="F39" s="55">
        <f t="shared" ca="1" si="2"/>
        <v>94</v>
      </c>
      <c r="G39" s="51" t="s">
        <v>6</v>
      </c>
      <c r="H39" s="78">
        <f t="shared" ca="1" si="3"/>
        <v>53</v>
      </c>
      <c r="I39" s="53">
        <f t="shared" ca="1" si="0"/>
        <v>4982</v>
      </c>
      <c r="J39" s="58"/>
    </row>
    <row r="40" spans="1:11" s="41" customFormat="1" ht="15">
      <c r="A40" s="50">
        <v>2</v>
      </c>
      <c r="B40" s="51" t="str">
        <f ca="1">IF($A40="","",NumList())</f>
        <v>1.14</v>
      </c>
      <c r="C40" s="61" t="s">
        <v>295</v>
      </c>
      <c r="D40" s="55">
        <f t="shared" ca="1" si="1"/>
        <v>1</v>
      </c>
      <c r="E40" s="55"/>
      <c r="F40" s="55">
        <f t="shared" ca="1" si="2"/>
        <v>17</v>
      </c>
      <c r="G40" s="51" t="s">
        <v>6</v>
      </c>
      <c r="H40" s="78">
        <f t="shared" ca="1" si="3"/>
        <v>83</v>
      </c>
      <c r="I40" s="53">
        <f t="shared" ca="1" si="0"/>
        <v>1411</v>
      </c>
      <c r="J40" s="58"/>
    </row>
    <row r="41" spans="1:11" s="41" customFormat="1" ht="15">
      <c r="A41" s="50" t="s">
        <v>516</v>
      </c>
      <c r="B41" s="51" t="str">
        <f>IF($A41="","",NumList())</f>
        <v/>
      </c>
      <c r="C41" s="62"/>
      <c r="D41" s="55">
        <f t="shared" ca="1" si="1"/>
        <v>0</v>
      </c>
      <c r="E41" s="55"/>
      <c r="F41" s="55">
        <f t="shared" ca="1" si="2"/>
        <v>0</v>
      </c>
      <c r="G41" s="51"/>
      <c r="H41" s="78">
        <f t="shared" ca="1" si="3"/>
        <v>0</v>
      </c>
      <c r="I41" s="53">
        <f t="shared" ca="1" si="0"/>
        <v>0</v>
      </c>
      <c r="J41" s="58"/>
      <c r="K41" s="58"/>
    </row>
    <row r="42" spans="1:11" s="41" customFormat="1" ht="15">
      <c r="A42" s="50">
        <v>2</v>
      </c>
      <c r="B42" s="51" t="str">
        <f ca="1">IF($A42="","",NumList())</f>
        <v>1.15</v>
      </c>
      <c r="C42" s="54" t="s">
        <v>340</v>
      </c>
      <c r="D42" s="55">
        <f t="shared" ca="1" si="1"/>
        <v>0</v>
      </c>
      <c r="E42" s="51"/>
      <c r="F42" s="55">
        <f t="shared" ca="1" si="2"/>
        <v>0</v>
      </c>
      <c r="G42" s="78"/>
      <c r="H42" s="78">
        <f t="shared" ca="1" si="3"/>
        <v>0</v>
      </c>
      <c r="I42" s="53">
        <f t="shared" ca="1" si="0"/>
        <v>0</v>
      </c>
      <c r="J42" s="58"/>
      <c r="K42" s="58"/>
    </row>
    <row r="43" spans="1:11" s="41" customFormat="1" ht="15">
      <c r="A43" s="50">
        <v>3</v>
      </c>
      <c r="B43" s="51" t="str">
        <f ca="1">IF($A43="","",NumList())</f>
        <v>1.15.1</v>
      </c>
      <c r="C43" s="62" t="s">
        <v>341</v>
      </c>
      <c r="D43" s="55">
        <f t="shared" ca="1" si="1"/>
        <v>1</v>
      </c>
      <c r="E43" s="55"/>
      <c r="F43" s="55">
        <f t="shared" ca="1" si="2"/>
        <v>72</v>
      </c>
      <c r="G43" s="78" t="s">
        <v>6</v>
      </c>
      <c r="H43" s="78">
        <f t="shared" ca="1" si="3"/>
        <v>89</v>
      </c>
      <c r="I43" s="53">
        <f t="shared" ca="1" si="0"/>
        <v>6408</v>
      </c>
      <c r="J43" s="58"/>
      <c r="K43" s="58"/>
    </row>
    <row r="44" spans="1:11" s="41" customFormat="1" ht="15">
      <c r="A44" s="50" t="s">
        <v>516</v>
      </c>
      <c r="B44" s="51" t="str">
        <f>IF($A44="","",NumList())</f>
        <v/>
      </c>
      <c r="C44" s="62"/>
      <c r="D44" s="55">
        <f t="shared" ca="1" si="1"/>
        <v>0</v>
      </c>
      <c r="E44" s="55"/>
      <c r="F44" s="55">
        <f t="shared" ca="1" si="2"/>
        <v>0</v>
      </c>
      <c r="G44" s="78"/>
      <c r="H44" s="78">
        <f t="shared" ca="1" si="3"/>
        <v>0</v>
      </c>
      <c r="I44" s="53">
        <f t="shared" ca="1" si="0"/>
        <v>0</v>
      </c>
      <c r="J44" s="58"/>
      <c r="K44" s="58"/>
    </row>
    <row r="45" spans="1:11" s="41" customFormat="1" ht="48.75" customHeight="1">
      <c r="A45" s="50">
        <v>1</v>
      </c>
      <c r="B45" s="51">
        <f ca="1">IF($A45="","",NumList())</f>
        <v>2</v>
      </c>
      <c r="C45" s="52" t="s">
        <v>611</v>
      </c>
      <c r="D45" s="55">
        <f t="shared" ca="1" si="1"/>
        <v>0</v>
      </c>
      <c r="E45" s="48"/>
      <c r="F45" s="55">
        <f t="shared" ca="1" si="2"/>
        <v>0</v>
      </c>
      <c r="G45" s="46"/>
      <c r="H45" s="78">
        <f t="shared" ca="1" si="3"/>
        <v>0</v>
      </c>
      <c r="I45" s="53">
        <f t="shared" ca="1" si="0"/>
        <v>0</v>
      </c>
      <c r="J45" s="95" t="s">
        <v>495</v>
      </c>
    </row>
    <row r="46" spans="1:11" s="58" customFormat="1" ht="15" customHeight="1">
      <c r="A46" s="50">
        <v>2</v>
      </c>
      <c r="B46" s="51" t="str">
        <f ca="1">IF($A46="","",NumList())</f>
        <v>2.1</v>
      </c>
      <c r="C46" s="61" t="s">
        <v>448</v>
      </c>
      <c r="D46" s="55">
        <f t="shared" ca="1" si="1"/>
        <v>0</v>
      </c>
      <c r="E46" s="55"/>
      <c r="F46" s="55">
        <f t="shared" ca="1" si="2"/>
        <v>0</v>
      </c>
      <c r="G46" s="51"/>
      <c r="H46" s="78">
        <f t="shared" ca="1" si="3"/>
        <v>0</v>
      </c>
      <c r="I46" s="53">
        <f t="shared" ca="1" si="0"/>
        <v>0</v>
      </c>
    </row>
    <row r="47" spans="1:11" s="58" customFormat="1" ht="15" customHeight="1">
      <c r="A47" s="50">
        <v>3</v>
      </c>
      <c r="B47" s="51" t="str">
        <f ca="1">IF($A47="","",NumList())</f>
        <v>2.1.1</v>
      </c>
      <c r="C47" s="62" t="s">
        <v>26</v>
      </c>
      <c r="D47" s="55">
        <f t="shared" ca="1" si="1"/>
        <v>1</v>
      </c>
      <c r="E47" s="55"/>
      <c r="F47" s="55">
        <f t="shared" ca="1" si="2"/>
        <v>70</v>
      </c>
      <c r="G47" s="51" t="s">
        <v>8</v>
      </c>
      <c r="H47" s="78">
        <f t="shared" ca="1" si="3"/>
        <v>76</v>
      </c>
      <c r="I47" s="53">
        <f t="shared" ca="1" si="0"/>
        <v>5320</v>
      </c>
    </row>
    <row r="48" spans="1:11" s="58" customFormat="1" ht="15" customHeight="1">
      <c r="A48" s="50">
        <v>3</v>
      </c>
      <c r="B48" s="51" t="str">
        <f ca="1">IF($A48="","",NumList())</f>
        <v>2.1.2</v>
      </c>
      <c r="C48" s="61" t="s">
        <v>27</v>
      </c>
      <c r="D48" s="55">
        <f t="shared" ca="1" si="1"/>
        <v>1</v>
      </c>
      <c r="E48" s="55"/>
      <c r="F48" s="55">
        <f t="shared" ca="1" si="2"/>
        <v>23</v>
      </c>
      <c r="G48" s="51" t="s">
        <v>8</v>
      </c>
      <c r="H48" s="78">
        <f t="shared" ca="1" si="3"/>
        <v>78</v>
      </c>
      <c r="I48" s="53">
        <f t="shared" ca="1" si="0"/>
        <v>1794</v>
      </c>
    </row>
    <row r="49" spans="1:9" s="58" customFormat="1" ht="15" customHeight="1">
      <c r="A49" s="50">
        <v>3</v>
      </c>
      <c r="B49" s="51" t="str">
        <f ca="1">IF($A49="","",NumList())</f>
        <v>2.1.3</v>
      </c>
      <c r="C49" s="61" t="s">
        <v>44</v>
      </c>
      <c r="D49" s="55">
        <f t="shared" ca="1" si="1"/>
        <v>1</v>
      </c>
      <c r="E49" s="55"/>
      <c r="F49" s="55">
        <f t="shared" ca="1" si="2"/>
        <v>91</v>
      </c>
      <c r="G49" s="51" t="s">
        <v>8</v>
      </c>
      <c r="H49" s="78">
        <f t="shared" ca="1" si="3"/>
        <v>3</v>
      </c>
      <c r="I49" s="53">
        <f t="shared" ca="1" si="0"/>
        <v>273</v>
      </c>
    </row>
    <row r="50" spans="1:9" s="58" customFormat="1" ht="15" customHeight="1">
      <c r="A50" s="50">
        <v>3</v>
      </c>
      <c r="B50" s="51" t="str">
        <f ca="1">IF($A50="","",NumList())</f>
        <v>2.1.4</v>
      </c>
      <c r="C50" s="61" t="s">
        <v>45</v>
      </c>
      <c r="D50" s="55">
        <f t="shared" ca="1" si="1"/>
        <v>1</v>
      </c>
      <c r="E50" s="55"/>
      <c r="F50" s="55">
        <f t="shared" ca="1" si="2"/>
        <v>91</v>
      </c>
      <c r="G50" s="51" t="s">
        <v>8</v>
      </c>
      <c r="H50" s="78">
        <f t="shared" ca="1" si="3"/>
        <v>57</v>
      </c>
      <c r="I50" s="53">
        <f t="shared" ca="1" si="0"/>
        <v>5187</v>
      </c>
    </row>
    <row r="51" spans="1:9" s="58" customFormat="1" ht="35.25" customHeight="1">
      <c r="A51" s="50">
        <v>3</v>
      </c>
      <c r="B51" s="51" t="str">
        <f ca="1">IF($A51="","",NumList())</f>
        <v>2.1.5</v>
      </c>
      <c r="C51" s="62" t="s">
        <v>449</v>
      </c>
      <c r="D51" s="55">
        <f t="shared" ca="1" si="1"/>
        <v>1</v>
      </c>
      <c r="E51" s="55"/>
      <c r="F51" s="55">
        <f t="shared" ca="1" si="2"/>
        <v>88</v>
      </c>
      <c r="G51" s="51" t="s">
        <v>8</v>
      </c>
      <c r="H51" s="78">
        <f t="shared" ca="1" si="3"/>
        <v>81</v>
      </c>
      <c r="I51" s="53">
        <f t="shared" ca="1" si="0"/>
        <v>7128</v>
      </c>
    </row>
    <row r="52" spans="1:9" s="58" customFormat="1" ht="15" customHeight="1">
      <c r="A52" s="50">
        <v>2</v>
      </c>
      <c r="B52" s="51" t="str">
        <f ca="1">IF($A52="","",NumList())</f>
        <v>2.2</v>
      </c>
      <c r="C52" s="62" t="s">
        <v>450</v>
      </c>
      <c r="D52" s="55">
        <f t="shared" ca="1" si="1"/>
        <v>0</v>
      </c>
      <c r="E52" s="55"/>
      <c r="F52" s="55">
        <f t="shared" ca="1" si="2"/>
        <v>0</v>
      </c>
      <c r="G52" s="51"/>
      <c r="H52" s="78">
        <f t="shared" ca="1" si="3"/>
        <v>0</v>
      </c>
      <c r="I52" s="53">
        <f t="shared" ca="1" si="0"/>
        <v>0</v>
      </c>
    </row>
    <row r="53" spans="1:9" s="58" customFormat="1" ht="15" customHeight="1">
      <c r="A53" s="50">
        <v>3</v>
      </c>
      <c r="B53" s="51" t="str">
        <f ca="1">IF($A53="","",NumList())</f>
        <v>2.2.1</v>
      </c>
      <c r="C53" s="62" t="s">
        <v>67</v>
      </c>
      <c r="D53" s="55">
        <f t="shared" ca="1" si="1"/>
        <v>1</v>
      </c>
      <c r="E53" s="55"/>
      <c r="F53" s="55">
        <f t="shared" ca="1" si="2"/>
        <v>77</v>
      </c>
      <c r="G53" s="51" t="s">
        <v>8</v>
      </c>
      <c r="H53" s="78">
        <f t="shared" ca="1" si="3"/>
        <v>30</v>
      </c>
      <c r="I53" s="53">
        <f t="shared" ca="1" si="0"/>
        <v>2310</v>
      </c>
    </row>
    <row r="54" spans="1:9" s="58" customFormat="1" ht="15" customHeight="1">
      <c r="A54" s="50">
        <v>3</v>
      </c>
      <c r="B54" s="51" t="str">
        <f ca="1">IF($A54="","",NumList())</f>
        <v>2.2.2</v>
      </c>
      <c r="C54" s="62" t="s">
        <v>28</v>
      </c>
      <c r="D54" s="55">
        <f t="shared" ca="1" si="1"/>
        <v>1</v>
      </c>
      <c r="E54" s="55"/>
      <c r="F54" s="55">
        <f t="shared" ca="1" si="2"/>
        <v>20</v>
      </c>
      <c r="G54" s="51" t="s">
        <v>8</v>
      </c>
      <c r="H54" s="78">
        <f t="shared" ca="1" si="3"/>
        <v>57</v>
      </c>
      <c r="I54" s="53">
        <f t="shared" ca="1" si="0"/>
        <v>1140</v>
      </c>
    </row>
    <row r="55" spans="1:9" s="58" customFormat="1" ht="15" customHeight="1">
      <c r="A55" s="50">
        <v>3</v>
      </c>
      <c r="B55" s="51" t="str">
        <f ca="1">IF($A55="","",NumList())</f>
        <v>2.2.3</v>
      </c>
      <c r="C55" s="62" t="s">
        <v>46</v>
      </c>
      <c r="D55" s="55">
        <f t="shared" ca="1" si="1"/>
        <v>1</v>
      </c>
      <c r="E55" s="55"/>
      <c r="F55" s="55">
        <f t="shared" ca="1" si="2"/>
        <v>95</v>
      </c>
      <c r="G55" s="51" t="s">
        <v>8</v>
      </c>
      <c r="H55" s="78">
        <f t="shared" ca="1" si="3"/>
        <v>43</v>
      </c>
      <c r="I55" s="53">
        <f t="shared" ca="1" si="0"/>
        <v>4085</v>
      </c>
    </row>
    <row r="56" spans="1:9" s="58" customFormat="1" ht="15" customHeight="1">
      <c r="A56" s="50">
        <v>3</v>
      </c>
      <c r="B56" s="51" t="str">
        <f ca="1">IF($A56="","",NumList())</f>
        <v>2.2.4</v>
      </c>
      <c r="C56" s="62" t="s">
        <v>26</v>
      </c>
      <c r="D56" s="55">
        <f t="shared" ca="1" si="1"/>
        <v>1</v>
      </c>
      <c r="E56" s="55"/>
      <c r="F56" s="55">
        <f t="shared" ca="1" si="2"/>
        <v>77</v>
      </c>
      <c r="G56" s="51" t="s">
        <v>8</v>
      </c>
      <c r="H56" s="78">
        <f t="shared" ca="1" si="3"/>
        <v>31</v>
      </c>
      <c r="I56" s="53">
        <f t="shared" ca="1" si="0"/>
        <v>2387</v>
      </c>
    </row>
    <row r="57" spans="1:9" s="58" customFormat="1" ht="15" customHeight="1">
      <c r="A57" s="50">
        <v>3</v>
      </c>
      <c r="B57" s="51" t="str">
        <f ca="1">IF($A57="","",NumList())</f>
        <v>2.2.5</v>
      </c>
      <c r="C57" s="61" t="s">
        <v>27</v>
      </c>
      <c r="D57" s="55">
        <f t="shared" ca="1" si="1"/>
        <v>1</v>
      </c>
      <c r="E57" s="55"/>
      <c r="F57" s="55">
        <f t="shared" ca="1" si="2"/>
        <v>97</v>
      </c>
      <c r="G57" s="51" t="s">
        <v>8</v>
      </c>
      <c r="H57" s="78">
        <f t="shared" ca="1" si="3"/>
        <v>94</v>
      </c>
      <c r="I57" s="53">
        <f t="shared" ca="1" si="0"/>
        <v>9118</v>
      </c>
    </row>
    <row r="58" spans="1:9" s="58" customFormat="1" ht="15" customHeight="1">
      <c r="A58" s="50">
        <v>3</v>
      </c>
      <c r="B58" s="51" t="str">
        <f ca="1">IF($A58="","",NumList())</f>
        <v>2.2.6</v>
      </c>
      <c r="C58" s="61" t="s">
        <v>44</v>
      </c>
      <c r="D58" s="55">
        <f t="shared" ca="1" si="1"/>
        <v>1</v>
      </c>
      <c r="E58" s="55"/>
      <c r="F58" s="55">
        <f t="shared" ca="1" si="2"/>
        <v>4</v>
      </c>
      <c r="G58" s="51" t="s">
        <v>8</v>
      </c>
      <c r="H58" s="78">
        <f t="shared" ca="1" si="3"/>
        <v>97</v>
      </c>
      <c r="I58" s="53">
        <f t="shared" ca="1" si="0"/>
        <v>388</v>
      </c>
    </row>
    <row r="59" spans="1:9" s="58" customFormat="1" ht="15" customHeight="1">
      <c r="A59" s="50">
        <v>3</v>
      </c>
      <c r="B59" s="51" t="str">
        <f ca="1">IF($A59="","",NumList())</f>
        <v>2.2.7</v>
      </c>
      <c r="C59" s="61" t="s">
        <v>45</v>
      </c>
      <c r="D59" s="55">
        <f t="shared" ca="1" si="1"/>
        <v>1</v>
      </c>
      <c r="E59" s="55"/>
      <c r="F59" s="55">
        <f t="shared" ca="1" si="2"/>
        <v>68</v>
      </c>
      <c r="G59" s="51" t="s">
        <v>8</v>
      </c>
      <c r="H59" s="78">
        <f t="shared" ca="1" si="3"/>
        <v>19</v>
      </c>
      <c r="I59" s="53">
        <f t="shared" ca="1" si="0"/>
        <v>1292</v>
      </c>
    </row>
    <row r="60" spans="1:9" s="58" customFormat="1" ht="31.5" customHeight="1">
      <c r="A60" s="50">
        <v>2</v>
      </c>
      <c r="B60" s="51" t="str">
        <f ca="1">IF($A60="","",NumList())</f>
        <v>2.3</v>
      </c>
      <c r="C60" s="61" t="s">
        <v>451</v>
      </c>
      <c r="D60" s="55">
        <f t="shared" ca="1" si="1"/>
        <v>0</v>
      </c>
      <c r="E60" s="55"/>
      <c r="F60" s="55">
        <f t="shared" ca="1" si="2"/>
        <v>0</v>
      </c>
      <c r="G60" s="51"/>
      <c r="H60" s="78">
        <f t="shared" ca="1" si="3"/>
        <v>0</v>
      </c>
      <c r="I60" s="53">
        <f t="shared" ca="1" si="0"/>
        <v>0</v>
      </c>
    </row>
    <row r="61" spans="1:9" s="58" customFormat="1" ht="15" customHeight="1">
      <c r="A61" s="50">
        <v>3</v>
      </c>
      <c r="B61" s="51" t="str">
        <f ca="1">IF($A61="","",NumList())</f>
        <v>2.3.1</v>
      </c>
      <c r="C61" s="62" t="s">
        <v>330</v>
      </c>
      <c r="D61" s="55">
        <f t="shared" ca="1" si="1"/>
        <v>1</v>
      </c>
      <c r="E61" s="55"/>
      <c r="F61" s="55">
        <f t="shared" ca="1" si="2"/>
        <v>6</v>
      </c>
      <c r="G61" s="51" t="s">
        <v>8</v>
      </c>
      <c r="H61" s="78">
        <f t="shared" ca="1" si="3"/>
        <v>8</v>
      </c>
      <c r="I61" s="53">
        <f t="shared" ca="1" si="0"/>
        <v>48</v>
      </c>
    </row>
    <row r="62" spans="1:9" s="58" customFormat="1" ht="15" customHeight="1">
      <c r="A62" s="50">
        <v>3</v>
      </c>
      <c r="B62" s="51" t="str">
        <f ca="1">IF($A62="","",NumList())</f>
        <v>2.3.2</v>
      </c>
      <c r="C62" s="62" t="s">
        <v>331</v>
      </c>
      <c r="D62" s="55">
        <f t="shared" ca="1" si="1"/>
        <v>1</v>
      </c>
      <c r="E62" s="55"/>
      <c r="F62" s="55">
        <f t="shared" ca="1" si="2"/>
        <v>67</v>
      </c>
      <c r="G62" s="51" t="s">
        <v>8</v>
      </c>
      <c r="H62" s="78">
        <f t="shared" ca="1" si="3"/>
        <v>96</v>
      </c>
      <c r="I62" s="53">
        <f t="shared" ca="1" si="0"/>
        <v>6432</v>
      </c>
    </row>
    <row r="63" spans="1:9" s="58" customFormat="1" ht="15" customHeight="1">
      <c r="A63" s="50">
        <v>3</v>
      </c>
      <c r="B63" s="51" t="str">
        <f ca="1">IF($A63="","",NumList())</f>
        <v>2.3.3</v>
      </c>
      <c r="C63" s="62" t="s">
        <v>332</v>
      </c>
      <c r="D63" s="55">
        <f t="shared" ca="1" si="1"/>
        <v>1</v>
      </c>
      <c r="E63" s="55"/>
      <c r="F63" s="55">
        <f t="shared" ca="1" si="2"/>
        <v>46</v>
      </c>
      <c r="G63" s="51" t="s">
        <v>8</v>
      </c>
      <c r="H63" s="78">
        <f t="shared" ca="1" si="3"/>
        <v>43</v>
      </c>
      <c r="I63" s="53">
        <f t="shared" ca="1" si="0"/>
        <v>1978</v>
      </c>
    </row>
    <row r="64" spans="1:9" s="58" customFormat="1" ht="15" customHeight="1">
      <c r="A64" s="50">
        <v>3</v>
      </c>
      <c r="B64" s="51" t="str">
        <f ca="1">IF($A64="","",NumList())</f>
        <v>2.3.4</v>
      </c>
      <c r="C64" s="62" t="s">
        <v>452</v>
      </c>
      <c r="D64" s="55">
        <f t="shared" ca="1" si="1"/>
        <v>1</v>
      </c>
      <c r="E64" s="55"/>
      <c r="F64" s="55">
        <f t="shared" ca="1" si="2"/>
        <v>40</v>
      </c>
      <c r="G64" s="51" t="s">
        <v>8</v>
      </c>
      <c r="H64" s="78">
        <f t="shared" ca="1" si="3"/>
        <v>2</v>
      </c>
      <c r="I64" s="53">
        <f t="shared" ca="1" si="0"/>
        <v>80</v>
      </c>
    </row>
    <row r="65" spans="1:10" s="58" customFormat="1" ht="15" customHeight="1">
      <c r="A65" s="50">
        <v>3</v>
      </c>
      <c r="B65" s="51" t="str">
        <f ca="1">IF($A65="","",NumList())</f>
        <v>2.3.5</v>
      </c>
      <c r="C65" s="61" t="s">
        <v>453</v>
      </c>
      <c r="D65" s="55">
        <f t="shared" ca="1" si="1"/>
        <v>1</v>
      </c>
      <c r="E65" s="55"/>
      <c r="F65" s="55">
        <f t="shared" ca="1" si="2"/>
        <v>79</v>
      </c>
      <c r="G65" s="51" t="s">
        <v>8</v>
      </c>
      <c r="H65" s="78">
        <f t="shared" ca="1" si="3"/>
        <v>82</v>
      </c>
      <c r="I65" s="53">
        <f t="shared" ca="1" si="0"/>
        <v>6478</v>
      </c>
    </row>
    <row r="66" spans="1:10" s="58" customFormat="1" ht="15" customHeight="1">
      <c r="A66" s="50">
        <v>2</v>
      </c>
      <c r="B66" s="51" t="str">
        <f ca="1">IF($A66="","",NumList())</f>
        <v>2.4</v>
      </c>
      <c r="C66" s="62" t="s">
        <v>454</v>
      </c>
      <c r="D66" s="55">
        <f t="shared" ca="1" si="1"/>
        <v>0</v>
      </c>
      <c r="E66" s="55"/>
      <c r="F66" s="55">
        <f t="shared" ca="1" si="2"/>
        <v>0</v>
      </c>
      <c r="G66" s="51"/>
      <c r="H66" s="78">
        <f t="shared" ca="1" si="3"/>
        <v>0</v>
      </c>
      <c r="I66" s="53">
        <f t="shared" ca="1" si="0"/>
        <v>0</v>
      </c>
    </row>
    <row r="67" spans="1:10" s="58" customFormat="1" ht="15" customHeight="1">
      <c r="A67" s="50">
        <v>3</v>
      </c>
      <c r="B67" s="51" t="str">
        <f ca="1">IF($A67="","",NumList())</f>
        <v>2.4.1</v>
      </c>
      <c r="C67" s="61" t="s">
        <v>44</v>
      </c>
      <c r="D67" s="55">
        <f t="shared" ca="1" si="1"/>
        <v>1</v>
      </c>
      <c r="E67" s="55"/>
      <c r="F67" s="55">
        <f t="shared" ca="1" si="2"/>
        <v>90</v>
      </c>
      <c r="G67" s="51" t="s">
        <v>8</v>
      </c>
      <c r="H67" s="78">
        <f t="shared" ca="1" si="3"/>
        <v>36</v>
      </c>
      <c r="I67" s="53">
        <f t="shared" ca="1" si="0"/>
        <v>3240</v>
      </c>
    </row>
    <row r="68" spans="1:10" s="58" customFormat="1" ht="15" customHeight="1">
      <c r="A68" s="50">
        <v>3</v>
      </c>
      <c r="B68" s="51" t="str">
        <f ca="1">IF($A68="","",NumList())</f>
        <v>2.4.2</v>
      </c>
      <c r="C68" s="61" t="s">
        <v>45</v>
      </c>
      <c r="D68" s="55">
        <f t="shared" ca="1" si="1"/>
        <v>1</v>
      </c>
      <c r="E68" s="55"/>
      <c r="F68" s="55">
        <f t="shared" ca="1" si="2"/>
        <v>75</v>
      </c>
      <c r="G68" s="51" t="s">
        <v>8</v>
      </c>
      <c r="H68" s="78">
        <f t="shared" ca="1" si="3"/>
        <v>47</v>
      </c>
      <c r="I68" s="53">
        <f t="shared" ca="1" si="0"/>
        <v>3525</v>
      </c>
    </row>
    <row r="69" spans="1:10" s="58" customFormat="1" ht="15" customHeight="1">
      <c r="A69" s="50">
        <v>2</v>
      </c>
      <c r="B69" s="51" t="str">
        <f ca="1">IF($A69="","",NumList())</f>
        <v>2.5</v>
      </c>
      <c r="C69" s="62" t="s">
        <v>458</v>
      </c>
      <c r="D69" s="55">
        <f t="shared" ca="1" si="1"/>
        <v>0</v>
      </c>
      <c r="E69" s="55"/>
      <c r="F69" s="55">
        <f t="shared" ca="1" si="2"/>
        <v>0</v>
      </c>
      <c r="G69" s="51"/>
      <c r="H69" s="78">
        <f t="shared" ca="1" si="3"/>
        <v>0</v>
      </c>
      <c r="I69" s="53">
        <f t="shared" ca="1" si="0"/>
        <v>0</v>
      </c>
      <c r="J69" s="58" t="s">
        <v>445</v>
      </c>
    </row>
    <row r="70" spans="1:10" s="58" customFormat="1" ht="15" customHeight="1">
      <c r="A70" s="50">
        <v>3</v>
      </c>
      <c r="B70" s="51" t="str">
        <f ca="1">IF($A70="","",NumList())</f>
        <v>2.5.1</v>
      </c>
      <c r="C70" s="62" t="s">
        <v>257</v>
      </c>
      <c r="D70" s="55">
        <f t="shared" ca="1" si="1"/>
        <v>1</v>
      </c>
      <c r="E70" s="55"/>
      <c r="F70" s="55">
        <f t="shared" ca="1" si="2"/>
        <v>38</v>
      </c>
      <c r="G70" s="51" t="s">
        <v>8</v>
      </c>
      <c r="H70" s="78">
        <f t="shared" ca="1" si="3"/>
        <v>32</v>
      </c>
      <c r="I70" s="53">
        <f t="shared" ca="1" si="0"/>
        <v>1216</v>
      </c>
      <c r="J70" s="58" t="s">
        <v>446</v>
      </c>
    </row>
    <row r="71" spans="1:10" s="58" customFormat="1" ht="15" customHeight="1">
      <c r="A71" s="50">
        <v>3</v>
      </c>
      <c r="B71" s="51" t="str">
        <f ca="1">IF($A71="","",NumList())</f>
        <v>2.5.2</v>
      </c>
      <c r="C71" s="61" t="s">
        <v>258</v>
      </c>
      <c r="D71" s="55">
        <f t="shared" ca="1" si="1"/>
        <v>1</v>
      </c>
      <c r="E71" s="55"/>
      <c r="F71" s="55">
        <f t="shared" ca="1" si="2"/>
        <v>13</v>
      </c>
      <c r="G71" s="51" t="s">
        <v>8</v>
      </c>
      <c r="H71" s="78">
        <f t="shared" ca="1" si="3"/>
        <v>83</v>
      </c>
      <c r="I71" s="53">
        <f t="shared" ca="1" si="0"/>
        <v>1079</v>
      </c>
      <c r="J71" s="58" t="s">
        <v>447</v>
      </c>
    </row>
    <row r="72" spans="1:10" s="58" customFormat="1" ht="15" customHeight="1">
      <c r="A72" s="50">
        <v>3</v>
      </c>
      <c r="B72" s="51" t="str">
        <f ca="1">IF($A72="","",NumList())</f>
        <v>2.5.3</v>
      </c>
      <c r="C72" s="61" t="s">
        <v>259</v>
      </c>
      <c r="D72" s="55">
        <f t="shared" ca="1" si="1"/>
        <v>1</v>
      </c>
      <c r="E72" s="55"/>
      <c r="F72" s="55">
        <f t="shared" ca="1" si="2"/>
        <v>91</v>
      </c>
      <c r="G72" s="51" t="s">
        <v>8</v>
      </c>
      <c r="H72" s="78">
        <f t="shared" ca="1" si="3"/>
        <v>78</v>
      </c>
      <c r="I72" s="53">
        <f t="shared" ca="1" si="0"/>
        <v>7098</v>
      </c>
    </row>
    <row r="73" spans="1:10" s="58" customFormat="1" ht="15" customHeight="1">
      <c r="A73" s="50">
        <v>3</v>
      </c>
      <c r="B73" s="51" t="str">
        <f ca="1">IF($A73="","",NumList())</f>
        <v>2.5.4</v>
      </c>
      <c r="C73" s="61" t="s">
        <v>260</v>
      </c>
      <c r="D73" s="55">
        <f t="shared" ca="1" si="1"/>
        <v>1</v>
      </c>
      <c r="E73" s="55"/>
      <c r="F73" s="55">
        <f t="shared" ca="1" si="2"/>
        <v>6</v>
      </c>
      <c r="G73" s="51" t="s">
        <v>8</v>
      </c>
      <c r="H73" s="78">
        <f t="shared" ca="1" si="3"/>
        <v>15</v>
      </c>
      <c r="I73" s="53">
        <f t="shared" ca="1" si="0"/>
        <v>90</v>
      </c>
    </row>
    <row r="74" spans="1:10" s="58" customFormat="1" ht="15" customHeight="1">
      <c r="A74" s="50">
        <v>2</v>
      </c>
      <c r="B74" s="51" t="str">
        <f ca="1">IF($A74="","",NumList())</f>
        <v>2.6</v>
      </c>
      <c r="C74" s="62" t="s">
        <v>261</v>
      </c>
      <c r="D74" s="55">
        <f t="shared" ca="1" si="1"/>
        <v>0</v>
      </c>
      <c r="E74" s="55"/>
      <c r="F74" s="55">
        <f t="shared" ca="1" si="2"/>
        <v>0</v>
      </c>
      <c r="G74" s="51"/>
      <c r="H74" s="78">
        <f t="shared" ca="1" si="3"/>
        <v>0</v>
      </c>
      <c r="I74" s="53">
        <f t="shared" ca="1" si="0"/>
        <v>0</v>
      </c>
    </row>
    <row r="75" spans="1:10" s="58" customFormat="1" ht="15" customHeight="1">
      <c r="A75" s="50">
        <v>3</v>
      </c>
      <c r="B75" s="51" t="str">
        <f ca="1">IF($A75="","",NumList())</f>
        <v>2.6.1</v>
      </c>
      <c r="C75" s="62" t="s">
        <v>606</v>
      </c>
      <c r="D75" s="55">
        <f t="shared" ca="1" si="1"/>
        <v>0</v>
      </c>
      <c r="E75" s="55"/>
      <c r="F75" s="55">
        <f t="shared" ca="1" si="2"/>
        <v>0</v>
      </c>
      <c r="H75" s="78">
        <f t="shared" ca="1" si="3"/>
        <v>0</v>
      </c>
      <c r="I75" s="53">
        <f t="shared" ca="1" si="0"/>
        <v>0</v>
      </c>
    </row>
    <row r="76" spans="1:10" s="58" customFormat="1" ht="15" customHeight="1">
      <c r="A76" s="50">
        <v>4</v>
      </c>
      <c r="B76" s="51" t="str">
        <f ca="1">IF($A76="","",NumList())</f>
        <v>2.6.1.1</v>
      </c>
      <c r="C76" s="62" t="s">
        <v>26</v>
      </c>
      <c r="D76" s="55">
        <f t="shared" ca="1" si="1"/>
        <v>1</v>
      </c>
      <c r="E76" s="55"/>
      <c r="F76" s="55">
        <f t="shared" ca="1" si="2"/>
        <v>66</v>
      </c>
      <c r="G76" s="51" t="s">
        <v>8</v>
      </c>
      <c r="H76" s="78">
        <f t="shared" ca="1" si="3"/>
        <v>5</v>
      </c>
      <c r="I76" s="53">
        <f t="shared" ca="1" si="0"/>
        <v>330</v>
      </c>
    </row>
    <row r="77" spans="1:10" s="58" customFormat="1" ht="15" customHeight="1">
      <c r="A77" s="50">
        <v>4</v>
      </c>
      <c r="B77" s="51" t="str">
        <f ca="1">IF($A77="","",NumList())</f>
        <v>2.6.1.2</v>
      </c>
      <c r="C77" s="61" t="s">
        <v>27</v>
      </c>
      <c r="D77" s="55">
        <f t="shared" ca="1" si="1"/>
        <v>1</v>
      </c>
      <c r="E77" s="55"/>
      <c r="F77" s="55">
        <f t="shared" ca="1" si="2"/>
        <v>59</v>
      </c>
      <c r="G77" s="51" t="s">
        <v>8</v>
      </c>
      <c r="H77" s="78">
        <f t="shared" ca="1" si="3"/>
        <v>94</v>
      </c>
      <c r="I77" s="53">
        <f t="shared" ca="1" si="0"/>
        <v>5546</v>
      </c>
    </row>
    <row r="78" spans="1:10" s="58" customFormat="1" ht="15" customHeight="1">
      <c r="A78" s="50">
        <v>4</v>
      </c>
      <c r="B78" s="51" t="str">
        <f ca="1">IF($A78="","",NumList())</f>
        <v>2.6.1.3</v>
      </c>
      <c r="C78" s="61" t="s">
        <v>44</v>
      </c>
      <c r="D78" s="55">
        <f t="shared" ca="1" si="1"/>
        <v>1</v>
      </c>
      <c r="E78" s="55"/>
      <c r="F78" s="55">
        <f t="shared" ca="1" si="2"/>
        <v>27</v>
      </c>
      <c r="G78" s="51" t="s">
        <v>8</v>
      </c>
      <c r="H78" s="78">
        <f t="shared" ca="1" si="3"/>
        <v>62</v>
      </c>
      <c r="I78" s="53">
        <f t="shared" ca="1" si="0"/>
        <v>1674</v>
      </c>
    </row>
    <row r="79" spans="1:10" s="58" customFormat="1" ht="15" customHeight="1">
      <c r="A79" s="50">
        <v>4</v>
      </c>
      <c r="B79" s="51" t="str">
        <f ca="1">IF($A79="","",NumList())</f>
        <v>2.6.1.4</v>
      </c>
      <c r="C79" s="61" t="s">
        <v>45</v>
      </c>
      <c r="D79" s="55">
        <f t="shared" ca="1" si="1"/>
        <v>1</v>
      </c>
      <c r="E79" s="55"/>
      <c r="F79" s="55">
        <f t="shared" ca="1" si="2"/>
        <v>17</v>
      </c>
      <c r="G79" s="51" t="s">
        <v>8</v>
      </c>
      <c r="H79" s="78">
        <f t="shared" ca="1" si="3"/>
        <v>83</v>
      </c>
      <c r="I79" s="53">
        <f t="shared" ca="1" si="0"/>
        <v>1411</v>
      </c>
    </row>
    <row r="80" spans="1:10" s="58" customFormat="1" ht="15" customHeight="1">
      <c r="A80" s="50">
        <v>3</v>
      </c>
      <c r="B80" s="51" t="str">
        <f ca="1">IF($A80="","",NumList())</f>
        <v>2.6.2</v>
      </c>
      <c r="C80" s="62" t="s">
        <v>607</v>
      </c>
      <c r="D80" s="55">
        <f t="shared" ca="1" si="1"/>
        <v>0</v>
      </c>
      <c r="E80" s="55"/>
      <c r="F80" s="55">
        <f t="shared" ca="1" si="2"/>
        <v>0</v>
      </c>
      <c r="H80" s="78">
        <f t="shared" ca="1" si="3"/>
        <v>0</v>
      </c>
      <c r="I80" s="53">
        <f t="shared" ca="1" si="0"/>
        <v>0</v>
      </c>
    </row>
    <row r="81" spans="1:9" s="58" customFormat="1" ht="15" customHeight="1">
      <c r="A81" s="50">
        <v>4</v>
      </c>
      <c r="B81" s="51" t="str">
        <f ca="1">IF($A81="","",NumList())</f>
        <v>2.6.2.1</v>
      </c>
      <c r="C81" s="62" t="s">
        <v>26</v>
      </c>
      <c r="D81" s="55">
        <f t="shared" ca="1" si="1"/>
        <v>1</v>
      </c>
      <c r="E81" s="55"/>
      <c r="F81" s="55">
        <f t="shared" ca="1" si="2"/>
        <v>87</v>
      </c>
      <c r="G81" s="51" t="s">
        <v>8</v>
      </c>
      <c r="H81" s="78">
        <f t="shared" ca="1" si="3"/>
        <v>34</v>
      </c>
      <c r="I81" s="53">
        <f t="shared" ca="1" si="0"/>
        <v>2958</v>
      </c>
    </row>
    <row r="82" spans="1:9" s="58" customFormat="1" ht="15" customHeight="1">
      <c r="A82" s="50">
        <v>4</v>
      </c>
      <c r="B82" s="51" t="str">
        <f ca="1">IF($A82="","",NumList())</f>
        <v>2.6.2.2</v>
      </c>
      <c r="C82" s="61" t="s">
        <v>27</v>
      </c>
      <c r="D82" s="55">
        <f t="shared" ca="1" si="1"/>
        <v>1</v>
      </c>
      <c r="E82" s="55"/>
      <c r="F82" s="55">
        <f t="shared" ca="1" si="2"/>
        <v>25</v>
      </c>
      <c r="G82" s="51" t="s">
        <v>8</v>
      </c>
      <c r="H82" s="78">
        <f t="shared" ca="1" si="3"/>
        <v>32</v>
      </c>
      <c r="I82" s="53">
        <f t="shared" ca="1" si="0"/>
        <v>800</v>
      </c>
    </row>
    <row r="83" spans="1:9" s="58" customFormat="1" ht="15" customHeight="1">
      <c r="A83" s="50">
        <v>4</v>
      </c>
      <c r="B83" s="51" t="str">
        <f ca="1">IF($A83="","",NumList())</f>
        <v>2.6.2.3</v>
      </c>
      <c r="C83" s="61" t="s">
        <v>44</v>
      </c>
      <c r="D83" s="55">
        <f t="shared" ca="1" si="1"/>
        <v>1</v>
      </c>
      <c r="E83" s="55"/>
      <c r="F83" s="55">
        <f t="shared" ca="1" si="2"/>
        <v>30</v>
      </c>
      <c r="G83" s="51" t="s">
        <v>8</v>
      </c>
      <c r="H83" s="78">
        <f t="shared" ca="1" si="3"/>
        <v>29</v>
      </c>
      <c r="I83" s="53">
        <f t="shared" ca="1" si="0"/>
        <v>870</v>
      </c>
    </row>
    <row r="84" spans="1:9" s="58" customFormat="1" ht="15" customHeight="1">
      <c r="A84" s="50">
        <v>4</v>
      </c>
      <c r="B84" s="51" t="str">
        <f ca="1">IF($A84="","",NumList())</f>
        <v>2.6.2.4</v>
      </c>
      <c r="C84" s="61" t="s">
        <v>45</v>
      </c>
      <c r="D84" s="55">
        <f t="shared" ca="1" si="1"/>
        <v>1</v>
      </c>
      <c r="E84" s="55"/>
      <c r="F84" s="55">
        <f t="shared" ca="1" si="2"/>
        <v>81</v>
      </c>
      <c r="G84" s="51" t="s">
        <v>8</v>
      </c>
      <c r="H84" s="78">
        <f t="shared" ca="1" si="3"/>
        <v>23</v>
      </c>
      <c r="I84" s="53">
        <f t="shared" ca="1" si="0"/>
        <v>1863</v>
      </c>
    </row>
    <row r="85" spans="1:9" s="58" customFormat="1" ht="15" customHeight="1">
      <c r="A85" s="50">
        <v>3</v>
      </c>
      <c r="B85" s="51" t="str">
        <f ca="1">IF($A85="","",NumList())</f>
        <v>2.6.3</v>
      </c>
      <c r="C85" s="62" t="s">
        <v>608</v>
      </c>
      <c r="D85" s="55">
        <f t="shared" ca="1" si="1"/>
        <v>0</v>
      </c>
      <c r="E85" s="55"/>
      <c r="F85" s="55">
        <f t="shared" ca="1" si="2"/>
        <v>0</v>
      </c>
      <c r="H85" s="78">
        <f t="shared" ca="1" si="3"/>
        <v>0</v>
      </c>
      <c r="I85" s="53">
        <f t="shared" ca="1" si="0"/>
        <v>0</v>
      </c>
    </row>
    <row r="86" spans="1:9" s="58" customFormat="1" ht="15" customHeight="1">
      <c r="A86" s="50">
        <v>4</v>
      </c>
      <c r="B86" s="51" t="str">
        <f ca="1">IF($A86="","",NumList())</f>
        <v>2.6.3.1</v>
      </c>
      <c r="C86" s="62" t="s">
        <v>26</v>
      </c>
      <c r="D86" s="55">
        <f t="shared" ca="1" si="1"/>
        <v>1</v>
      </c>
      <c r="E86" s="55"/>
      <c r="F86" s="55">
        <f t="shared" ca="1" si="2"/>
        <v>14</v>
      </c>
      <c r="G86" s="51" t="s">
        <v>8</v>
      </c>
      <c r="H86" s="78">
        <f t="shared" ca="1" si="3"/>
        <v>60</v>
      </c>
      <c r="I86" s="53">
        <f t="shared" ca="1" si="0"/>
        <v>840</v>
      </c>
    </row>
    <row r="87" spans="1:9" s="58" customFormat="1" ht="15" customHeight="1">
      <c r="A87" s="50">
        <v>4</v>
      </c>
      <c r="B87" s="51" t="str">
        <f ca="1">IF($A87="","",NumList())</f>
        <v>2.6.3.2</v>
      </c>
      <c r="C87" s="61" t="s">
        <v>27</v>
      </c>
      <c r="D87" s="55">
        <f t="shared" ca="1" si="1"/>
        <v>1</v>
      </c>
      <c r="E87" s="55"/>
      <c r="F87" s="55">
        <f t="shared" ca="1" si="2"/>
        <v>41</v>
      </c>
      <c r="G87" s="51" t="s">
        <v>8</v>
      </c>
      <c r="H87" s="78">
        <f t="shared" ca="1" si="3"/>
        <v>5</v>
      </c>
      <c r="I87" s="53">
        <f t="shared" ca="1" si="0"/>
        <v>205</v>
      </c>
    </row>
    <row r="88" spans="1:9" s="58" customFormat="1" ht="15" customHeight="1">
      <c r="A88" s="50">
        <v>4</v>
      </c>
      <c r="B88" s="51" t="str">
        <f ca="1">IF($A88="","",NumList())</f>
        <v>2.6.3.3</v>
      </c>
      <c r="C88" s="61" t="s">
        <v>44</v>
      </c>
      <c r="D88" s="55">
        <f t="shared" ca="1" si="1"/>
        <v>1</v>
      </c>
      <c r="E88" s="55"/>
      <c r="F88" s="55">
        <f t="shared" ca="1" si="2"/>
        <v>69</v>
      </c>
      <c r="G88" s="51" t="s">
        <v>8</v>
      </c>
      <c r="H88" s="78">
        <f t="shared" ca="1" si="3"/>
        <v>11</v>
      </c>
      <c r="I88" s="53">
        <f t="shared" ca="1" si="0"/>
        <v>759</v>
      </c>
    </row>
    <row r="89" spans="1:9" s="58" customFormat="1" ht="15" customHeight="1">
      <c r="A89" s="50">
        <v>4</v>
      </c>
      <c r="B89" s="51" t="str">
        <f ca="1">IF($A89="","",NumList())</f>
        <v>2.6.3.4</v>
      </c>
      <c r="C89" s="61" t="s">
        <v>45</v>
      </c>
      <c r="D89" s="55">
        <f t="shared" ca="1" si="1"/>
        <v>1</v>
      </c>
      <c r="E89" s="55"/>
      <c r="F89" s="55">
        <f t="shared" ca="1" si="2"/>
        <v>39</v>
      </c>
      <c r="G89" s="51" t="s">
        <v>8</v>
      </c>
      <c r="H89" s="78">
        <f t="shared" ca="1" si="3"/>
        <v>22</v>
      </c>
      <c r="I89" s="53">
        <f t="shared" ref="I89:I147" ca="1" si="4">F89*H89</f>
        <v>858</v>
      </c>
    </row>
    <row r="90" spans="1:9" s="58" customFormat="1" ht="15" customHeight="1">
      <c r="A90" s="50">
        <v>3</v>
      </c>
      <c r="B90" s="51" t="str">
        <f ca="1">IF($A90="","",NumList())</f>
        <v>2.6.4</v>
      </c>
      <c r="C90" s="62" t="s">
        <v>609</v>
      </c>
      <c r="D90" s="55">
        <f t="shared" ca="1" si="1"/>
        <v>0</v>
      </c>
      <c r="E90" s="55"/>
      <c r="F90" s="55">
        <f t="shared" ca="1" si="2"/>
        <v>0</v>
      </c>
      <c r="H90" s="78">
        <f t="shared" ca="1" si="3"/>
        <v>0</v>
      </c>
      <c r="I90" s="53">
        <f t="shared" ca="1" si="4"/>
        <v>0</v>
      </c>
    </row>
    <row r="91" spans="1:9" s="58" customFormat="1" ht="15" customHeight="1">
      <c r="A91" s="50">
        <v>4</v>
      </c>
      <c r="B91" s="51" t="str">
        <f ca="1">IF($A91="","",NumList())</f>
        <v>2.6.4.1</v>
      </c>
      <c r="C91" s="62" t="s">
        <v>26</v>
      </c>
      <c r="D91" s="55">
        <f t="shared" ca="1" si="1"/>
        <v>1</v>
      </c>
      <c r="E91" s="55"/>
      <c r="F91" s="55">
        <f t="shared" ca="1" si="2"/>
        <v>4</v>
      </c>
      <c r="G91" s="51" t="s">
        <v>8</v>
      </c>
      <c r="H91" s="78">
        <f t="shared" ca="1" si="3"/>
        <v>18</v>
      </c>
      <c r="I91" s="53">
        <f t="shared" ca="1" si="4"/>
        <v>72</v>
      </c>
    </row>
    <row r="92" spans="1:9" s="58" customFormat="1" ht="15" customHeight="1">
      <c r="A92" s="50">
        <v>4</v>
      </c>
      <c r="B92" s="51" t="str">
        <f ca="1">IF($A92="","",NumList())</f>
        <v>2.6.4.2</v>
      </c>
      <c r="C92" s="61" t="s">
        <v>27</v>
      </c>
      <c r="D92" s="55">
        <f t="shared" ref="D92:D151" ca="1" si="5">IF(ISTEXT(G92),RANDBETWEEN(1,1),0)</f>
        <v>1</v>
      </c>
      <c r="E92" s="55"/>
      <c r="F92" s="55">
        <f t="shared" ref="F92:F149" ca="1" si="6">IF(ISTEXT(G92),RANDBETWEEN(1,100),0)</f>
        <v>66</v>
      </c>
      <c r="G92" s="51" t="s">
        <v>8</v>
      </c>
      <c r="H92" s="78">
        <f t="shared" ref="H92:H148" ca="1" si="7">IF(ISTEXT(G92),RANDBETWEEN(1,100),0)</f>
        <v>16</v>
      </c>
      <c r="I92" s="53">
        <f t="shared" ca="1" si="4"/>
        <v>1056</v>
      </c>
    </row>
    <row r="93" spans="1:9" s="58" customFormat="1" ht="15" customHeight="1">
      <c r="A93" s="50">
        <v>4</v>
      </c>
      <c r="B93" s="51" t="str">
        <f ca="1">IF($A93="","",NumList())</f>
        <v>2.6.4.3</v>
      </c>
      <c r="C93" s="61" t="s">
        <v>44</v>
      </c>
      <c r="D93" s="55">
        <f t="shared" ca="1" si="5"/>
        <v>1</v>
      </c>
      <c r="E93" s="55"/>
      <c r="F93" s="55">
        <f t="shared" ca="1" si="6"/>
        <v>16</v>
      </c>
      <c r="G93" s="51" t="s">
        <v>8</v>
      </c>
      <c r="H93" s="78">
        <f t="shared" ca="1" si="7"/>
        <v>70</v>
      </c>
      <c r="I93" s="53">
        <f t="shared" ca="1" si="4"/>
        <v>1120</v>
      </c>
    </row>
    <row r="94" spans="1:9" s="58" customFormat="1" ht="15" customHeight="1">
      <c r="A94" s="50">
        <v>4</v>
      </c>
      <c r="B94" s="51" t="str">
        <f ca="1">IF($A94="","",NumList())</f>
        <v>2.6.4.4</v>
      </c>
      <c r="C94" s="61" t="s">
        <v>45</v>
      </c>
      <c r="D94" s="55">
        <f t="shared" ca="1" si="5"/>
        <v>1</v>
      </c>
      <c r="E94" s="55"/>
      <c r="F94" s="55">
        <f t="shared" ca="1" si="6"/>
        <v>42</v>
      </c>
      <c r="G94" s="51" t="s">
        <v>8</v>
      </c>
      <c r="H94" s="78">
        <f t="shared" ca="1" si="7"/>
        <v>69</v>
      </c>
      <c r="I94" s="53">
        <f t="shared" ca="1" si="4"/>
        <v>2898</v>
      </c>
    </row>
    <row r="95" spans="1:9" s="58" customFormat="1" ht="15" customHeight="1">
      <c r="A95" s="50">
        <v>2</v>
      </c>
      <c r="B95" s="51" t="str">
        <f ca="1">IF($A95="","",NumList())</f>
        <v>2.7</v>
      </c>
      <c r="C95" s="62" t="s">
        <v>459</v>
      </c>
      <c r="D95" s="55">
        <f t="shared" ca="1" si="5"/>
        <v>0</v>
      </c>
      <c r="E95" s="55"/>
      <c r="F95" s="55">
        <f t="shared" ca="1" si="6"/>
        <v>0</v>
      </c>
      <c r="G95" s="51"/>
      <c r="H95" s="78">
        <f t="shared" ca="1" si="7"/>
        <v>0</v>
      </c>
      <c r="I95" s="53">
        <f t="shared" ca="1" si="4"/>
        <v>0</v>
      </c>
    </row>
    <row r="96" spans="1:9" s="58" customFormat="1" ht="15" customHeight="1">
      <c r="A96" s="50">
        <v>3</v>
      </c>
      <c r="B96" s="51" t="str">
        <f ca="1">IF($A96="","",NumList())</f>
        <v>2.7.1</v>
      </c>
      <c r="C96" s="62" t="s">
        <v>26</v>
      </c>
      <c r="D96" s="55">
        <f t="shared" ca="1" si="5"/>
        <v>1</v>
      </c>
      <c r="E96" s="55"/>
      <c r="F96" s="55">
        <f t="shared" ca="1" si="6"/>
        <v>79</v>
      </c>
      <c r="G96" s="51" t="s">
        <v>8</v>
      </c>
      <c r="H96" s="78">
        <f t="shared" ca="1" si="7"/>
        <v>72</v>
      </c>
      <c r="I96" s="53">
        <f t="shared" ca="1" si="4"/>
        <v>5688</v>
      </c>
    </row>
    <row r="97" spans="1:10" s="58" customFormat="1" ht="15" customHeight="1">
      <c r="A97" s="50">
        <v>3</v>
      </c>
      <c r="B97" s="51" t="str">
        <f ca="1">IF($A97="","",NumList())</f>
        <v>2.7.2</v>
      </c>
      <c r="C97" s="61" t="s">
        <v>27</v>
      </c>
      <c r="D97" s="55">
        <f t="shared" ca="1" si="5"/>
        <v>1</v>
      </c>
      <c r="E97" s="55"/>
      <c r="F97" s="55">
        <f t="shared" ca="1" si="6"/>
        <v>69</v>
      </c>
      <c r="G97" s="51" t="s">
        <v>8</v>
      </c>
      <c r="H97" s="78">
        <f t="shared" ca="1" si="7"/>
        <v>14</v>
      </c>
      <c r="I97" s="53">
        <f t="shared" ca="1" si="4"/>
        <v>966</v>
      </c>
    </row>
    <row r="98" spans="1:10" s="58" customFormat="1" ht="15" customHeight="1">
      <c r="A98" s="50">
        <v>3</v>
      </c>
      <c r="B98" s="51" t="str">
        <f ca="1">IF($A98="","",NumList())</f>
        <v>2.7.3</v>
      </c>
      <c r="C98" s="61" t="s">
        <v>44</v>
      </c>
      <c r="D98" s="55">
        <f t="shared" ca="1" si="5"/>
        <v>1</v>
      </c>
      <c r="E98" s="55"/>
      <c r="F98" s="55">
        <f t="shared" ca="1" si="6"/>
        <v>85</v>
      </c>
      <c r="G98" s="51" t="s">
        <v>8</v>
      </c>
      <c r="H98" s="78">
        <f t="shared" ca="1" si="7"/>
        <v>33</v>
      </c>
      <c r="I98" s="53">
        <f t="shared" ca="1" si="4"/>
        <v>2805</v>
      </c>
    </row>
    <row r="99" spans="1:10" s="58" customFormat="1" ht="15" customHeight="1">
      <c r="A99" s="50">
        <v>3</v>
      </c>
      <c r="B99" s="51" t="str">
        <f ca="1">IF($A99="","",NumList())</f>
        <v>2.7.4</v>
      </c>
      <c r="C99" s="61" t="s">
        <v>45</v>
      </c>
      <c r="D99" s="55">
        <f t="shared" ca="1" si="5"/>
        <v>1</v>
      </c>
      <c r="E99" s="55"/>
      <c r="F99" s="55">
        <f t="shared" ca="1" si="6"/>
        <v>76</v>
      </c>
      <c r="G99" s="51" t="s">
        <v>8</v>
      </c>
      <c r="H99" s="78">
        <f t="shared" ca="1" si="7"/>
        <v>73</v>
      </c>
      <c r="I99" s="53">
        <f t="shared" ca="1" si="4"/>
        <v>5548</v>
      </c>
    </row>
    <row r="100" spans="1:10" s="58" customFormat="1" ht="15" customHeight="1">
      <c r="A100" s="50">
        <v>2</v>
      </c>
      <c r="B100" s="51" t="str">
        <f ca="1">IF($A100="","",NumList())</f>
        <v>2.8</v>
      </c>
      <c r="C100" s="61" t="s">
        <v>460</v>
      </c>
      <c r="D100" s="55">
        <f t="shared" ca="1" si="5"/>
        <v>0</v>
      </c>
      <c r="E100" s="55"/>
      <c r="F100" s="55">
        <f t="shared" ca="1" si="6"/>
        <v>0</v>
      </c>
      <c r="G100" s="51"/>
      <c r="H100" s="78">
        <f t="shared" ca="1" si="7"/>
        <v>0</v>
      </c>
      <c r="I100" s="53">
        <f t="shared" ca="1" si="4"/>
        <v>0</v>
      </c>
    </row>
    <row r="101" spans="1:10" s="58" customFormat="1" ht="15" customHeight="1">
      <c r="A101" s="50">
        <v>3</v>
      </c>
      <c r="B101" s="51" t="str">
        <f ca="1">IF($A101="","",NumList())</f>
        <v>2.8.1</v>
      </c>
      <c r="C101" s="62" t="s">
        <v>234</v>
      </c>
      <c r="D101" s="55">
        <f t="shared" ca="1" si="5"/>
        <v>1</v>
      </c>
      <c r="E101" s="55"/>
      <c r="F101" s="55">
        <f t="shared" ca="1" si="6"/>
        <v>27</v>
      </c>
      <c r="G101" s="51" t="s">
        <v>8</v>
      </c>
      <c r="H101" s="78">
        <f t="shared" ca="1" si="7"/>
        <v>76</v>
      </c>
      <c r="I101" s="53">
        <f t="shared" ca="1" si="4"/>
        <v>2052</v>
      </c>
    </row>
    <row r="102" spans="1:10" s="58" customFormat="1" ht="15" customHeight="1">
      <c r="A102" s="50">
        <v>3</v>
      </c>
      <c r="B102" s="51" t="str">
        <f ca="1">IF($A102="","",NumList())</f>
        <v>2.8.2</v>
      </c>
      <c r="C102" s="61" t="s">
        <v>233</v>
      </c>
      <c r="D102" s="55">
        <f t="shared" ca="1" si="5"/>
        <v>1</v>
      </c>
      <c r="E102" s="55"/>
      <c r="F102" s="55">
        <f t="shared" ca="1" si="6"/>
        <v>39</v>
      </c>
      <c r="G102" s="51" t="s">
        <v>8</v>
      </c>
      <c r="H102" s="78">
        <f t="shared" ca="1" si="7"/>
        <v>92</v>
      </c>
      <c r="I102" s="53">
        <f t="shared" ca="1" si="4"/>
        <v>3588</v>
      </c>
    </row>
    <row r="103" spans="1:10" s="58" customFormat="1" ht="15" customHeight="1">
      <c r="A103" s="50">
        <v>3</v>
      </c>
      <c r="B103" s="51" t="str">
        <f ca="1">IF($A103="","",NumList())</f>
        <v>2.8.3</v>
      </c>
      <c r="C103" s="61" t="s">
        <v>232</v>
      </c>
      <c r="D103" s="55">
        <f t="shared" ca="1" si="5"/>
        <v>1</v>
      </c>
      <c r="E103" s="55"/>
      <c r="F103" s="55">
        <f t="shared" ca="1" si="6"/>
        <v>96</v>
      </c>
      <c r="G103" s="51" t="s">
        <v>8</v>
      </c>
      <c r="H103" s="78">
        <f t="shared" ca="1" si="7"/>
        <v>82</v>
      </c>
      <c r="I103" s="53">
        <f t="shared" ca="1" si="4"/>
        <v>7872</v>
      </c>
    </row>
    <row r="104" spans="1:10" s="58" customFormat="1" ht="15" customHeight="1">
      <c r="A104" s="50" t="s">
        <v>516</v>
      </c>
      <c r="B104" s="51" t="str">
        <f>IF($A104="","",NumList())</f>
        <v/>
      </c>
      <c r="C104" s="61"/>
      <c r="D104" s="55">
        <f t="shared" ca="1" si="5"/>
        <v>0</v>
      </c>
      <c r="E104" s="55"/>
      <c r="F104" s="55">
        <f t="shared" ca="1" si="6"/>
        <v>0</v>
      </c>
      <c r="G104" s="51"/>
      <c r="H104" s="78">
        <f t="shared" ca="1" si="7"/>
        <v>0</v>
      </c>
      <c r="I104" s="53">
        <f t="shared" ca="1" si="4"/>
        <v>0</v>
      </c>
    </row>
    <row r="105" spans="1:10" s="41" customFormat="1" ht="15">
      <c r="A105" s="50">
        <v>1</v>
      </c>
      <c r="B105" s="51">
        <f ca="1">IF($A105="","",NumList())</f>
        <v>3</v>
      </c>
      <c r="C105" s="63" t="s">
        <v>497</v>
      </c>
      <c r="D105" s="55">
        <f t="shared" ca="1" si="5"/>
        <v>0</v>
      </c>
      <c r="E105" s="48"/>
      <c r="F105" s="55">
        <f t="shared" ca="1" si="6"/>
        <v>0</v>
      </c>
      <c r="G105" s="46"/>
      <c r="H105" s="78">
        <f t="shared" ca="1" si="7"/>
        <v>0</v>
      </c>
      <c r="I105" s="53">
        <f t="shared" ca="1" si="4"/>
        <v>0</v>
      </c>
    </row>
    <row r="106" spans="1:10" s="58" customFormat="1" ht="44.25">
      <c r="A106" s="50">
        <v>2</v>
      </c>
      <c r="B106" s="51" t="str">
        <f ca="1">IF($A106="","",NumList())</f>
        <v>3.1</v>
      </c>
      <c r="C106" s="62" t="s">
        <v>612</v>
      </c>
      <c r="D106" s="55">
        <f t="shared" ca="1" si="5"/>
        <v>0</v>
      </c>
      <c r="E106" s="55"/>
      <c r="F106" s="55">
        <f t="shared" ca="1" si="6"/>
        <v>0</v>
      </c>
      <c r="G106" s="51"/>
      <c r="H106" s="78">
        <f t="shared" ca="1" si="7"/>
        <v>0</v>
      </c>
      <c r="I106" s="53">
        <f t="shared" ca="1" si="4"/>
        <v>0</v>
      </c>
      <c r="J106" s="95" t="s">
        <v>494</v>
      </c>
    </row>
    <row r="107" spans="1:10" s="58" customFormat="1" ht="15" customHeight="1">
      <c r="A107" s="50">
        <v>3</v>
      </c>
      <c r="B107" s="51" t="str">
        <f ca="1">IF($A107="","",NumList())</f>
        <v>3.1.1</v>
      </c>
      <c r="C107" s="62" t="s">
        <v>613</v>
      </c>
      <c r="D107" s="55">
        <f t="shared" ca="1" si="5"/>
        <v>1</v>
      </c>
      <c r="E107" s="55"/>
      <c r="F107" s="55">
        <f t="shared" ca="1" si="6"/>
        <v>64</v>
      </c>
      <c r="G107" s="51" t="s">
        <v>8</v>
      </c>
      <c r="H107" s="78">
        <f t="shared" ca="1" si="7"/>
        <v>93</v>
      </c>
      <c r="I107" s="53">
        <f t="shared" ca="1" si="4"/>
        <v>5952</v>
      </c>
    </row>
    <row r="108" spans="1:10" s="58" customFormat="1" ht="15" customHeight="1">
      <c r="A108" s="50">
        <v>3</v>
      </c>
      <c r="B108" s="51" t="str">
        <f ca="1">IF($A108="","",NumList())</f>
        <v>3.1.2</v>
      </c>
      <c r="C108" s="62" t="s">
        <v>614</v>
      </c>
      <c r="D108" s="55">
        <f t="shared" ca="1" si="5"/>
        <v>1</v>
      </c>
      <c r="E108" s="55"/>
      <c r="F108" s="55">
        <f t="shared" ca="1" si="6"/>
        <v>25</v>
      </c>
      <c r="G108" s="51" t="s">
        <v>8</v>
      </c>
      <c r="H108" s="78">
        <f t="shared" ca="1" si="7"/>
        <v>7</v>
      </c>
      <c r="I108" s="53">
        <f t="shared" ca="1" si="4"/>
        <v>175</v>
      </c>
    </row>
    <row r="109" spans="1:10" s="58" customFormat="1" ht="15" customHeight="1">
      <c r="A109" s="50">
        <v>3</v>
      </c>
      <c r="B109" s="51" t="str">
        <f ca="1">IF($A109="","",NumList())</f>
        <v>3.1.3</v>
      </c>
      <c r="C109" s="62" t="s">
        <v>615</v>
      </c>
      <c r="D109" s="55">
        <f t="shared" ca="1" si="5"/>
        <v>1</v>
      </c>
      <c r="E109" s="55"/>
      <c r="F109" s="55">
        <f t="shared" ca="1" si="6"/>
        <v>84</v>
      </c>
      <c r="G109" s="51" t="s">
        <v>8</v>
      </c>
      <c r="H109" s="78">
        <f t="shared" ca="1" si="7"/>
        <v>86</v>
      </c>
      <c r="I109" s="53">
        <f t="shared" ca="1" si="4"/>
        <v>7224</v>
      </c>
    </row>
    <row r="110" spans="1:10" s="58" customFormat="1" ht="15" customHeight="1">
      <c r="A110" s="50" t="s">
        <v>516</v>
      </c>
      <c r="B110" s="51" t="str">
        <f>IF($A110="","",NumList())</f>
        <v/>
      </c>
      <c r="C110" s="62"/>
      <c r="D110" s="55">
        <f t="shared" ca="1" si="5"/>
        <v>0</v>
      </c>
      <c r="E110" s="55"/>
      <c r="F110" s="55">
        <f t="shared" ca="1" si="6"/>
        <v>0</v>
      </c>
      <c r="G110" s="51"/>
      <c r="H110" s="78">
        <f t="shared" ca="1" si="7"/>
        <v>0</v>
      </c>
      <c r="I110" s="53">
        <f t="shared" ca="1" si="4"/>
        <v>0</v>
      </c>
    </row>
    <row r="111" spans="1:10" s="58" customFormat="1" ht="31.5" customHeight="1">
      <c r="A111" s="50">
        <v>2</v>
      </c>
      <c r="B111" s="51" t="str">
        <f ca="1">IF($A111="","",NumList())</f>
        <v>3.2</v>
      </c>
      <c r="C111" s="62" t="s">
        <v>616</v>
      </c>
      <c r="D111" s="55">
        <f t="shared" ca="1" si="5"/>
        <v>1</v>
      </c>
      <c r="E111" s="55"/>
      <c r="F111" s="55">
        <f t="shared" ca="1" si="6"/>
        <v>20</v>
      </c>
      <c r="G111" s="51" t="s">
        <v>8</v>
      </c>
      <c r="H111" s="78">
        <f t="shared" ca="1" si="7"/>
        <v>68</v>
      </c>
      <c r="I111" s="53">
        <f t="shared" ca="1" si="4"/>
        <v>1360</v>
      </c>
      <c r="J111" s="95" t="s">
        <v>494</v>
      </c>
    </row>
    <row r="112" spans="1:10" s="58" customFormat="1" ht="15" customHeight="1">
      <c r="A112" s="50">
        <v>3</v>
      </c>
      <c r="B112" s="51" t="str">
        <f ca="1">IF($A112="","",NumList())</f>
        <v>3.2.1</v>
      </c>
      <c r="C112" s="62" t="s">
        <v>613</v>
      </c>
      <c r="D112" s="55">
        <f t="shared" ca="1" si="5"/>
        <v>1</v>
      </c>
      <c r="E112" s="55"/>
      <c r="F112" s="55">
        <f t="shared" ca="1" si="6"/>
        <v>86</v>
      </c>
      <c r="G112" s="51" t="s">
        <v>8</v>
      </c>
      <c r="H112" s="78">
        <f t="shared" ca="1" si="7"/>
        <v>93</v>
      </c>
      <c r="I112" s="53">
        <f t="shared" ca="1" si="4"/>
        <v>7998</v>
      </c>
    </row>
    <row r="113" spans="1:10" s="58" customFormat="1" ht="15" customHeight="1">
      <c r="A113" s="50">
        <v>3</v>
      </c>
      <c r="B113" s="51" t="str">
        <f ca="1">IF($A113="","",NumList())</f>
        <v>3.2.2</v>
      </c>
      <c r="C113" s="62" t="s">
        <v>614</v>
      </c>
      <c r="D113" s="55">
        <f t="shared" ca="1" si="5"/>
        <v>1</v>
      </c>
      <c r="E113" s="55"/>
      <c r="F113" s="55">
        <f t="shared" ca="1" si="6"/>
        <v>87</v>
      </c>
      <c r="G113" s="51" t="s">
        <v>8</v>
      </c>
      <c r="H113" s="78">
        <f t="shared" ca="1" si="7"/>
        <v>5</v>
      </c>
      <c r="I113" s="53">
        <f t="shared" ca="1" si="4"/>
        <v>435</v>
      </c>
    </row>
    <row r="114" spans="1:10" s="58" customFormat="1" ht="15" customHeight="1">
      <c r="A114" s="50">
        <v>3</v>
      </c>
      <c r="B114" s="51" t="str">
        <f ca="1">IF($A114="","",NumList())</f>
        <v>3.2.3</v>
      </c>
      <c r="C114" s="62" t="s">
        <v>615</v>
      </c>
      <c r="D114" s="55">
        <f t="shared" ca="1" si="5"/>
        <v>1</v>
      </c>
      <c r="E114" s="55"/>
      <c r="F114" s="55">
        <f t="shared" ca="1" si="6"/>
        <v>65</v>
      </c>
      <c r="G114" s="51" t="s">
        <v>8</v>
      </c>
      <c r="H114" s="78">
        <f t="shared" ca="1" si="7"/>
        <v>72</v>
      </c>
      <c r="I114" s="53">
        <f t="shared" ca="1" si="4"/>
        <v>4680</v>
      </c>
    </row>
    <row r="115" spans="1:10" s="41" customFormat="1" ht="15">
      <c r="A115" s="50" t="s">
        <v>516</v>
      </c>
      <c r="B115" s="51" t="str">
        <f>IF($A115="","",NumList())</f>
        <v/>
      </c>
      <c r="C115" s="54"/>
      <c r="D115" s="55">
        <f t="shared" ca="1" si="5"/>
        <v>0</v>
      </c>
      <c r="E115" s="55"/>
      <c r="F115" s="55">
        <f t="shared" ca="1" si="6"/>
        <v>0</v>
      </c>
      <c r="G115" s="51"/>
      <c r="H115" s="78">
        <f t="shared" ca="1" si="7"/>
        <v>0</v>
      </c>
      <c r="I115" s="53">
        <f t="shared" ca="1" si="4"/>
        <v>0</v>
      </c>
      <c r="J115" s="58"/>
    </row>
    <row r="116" spans="1:10" s="41" customFormat="1" ht="15">
      <c r="A116" s="50">
        <v>1</v>
      </c>
      <c r="B116" s="51">
        <f ca="1">IF($A116="","",NumList())</f>
        <v>4</v>
      </c>
      <c r="C116" s="63" t="s">
        <v>231</v>
      </c>
      <c r="D116" s="55">
        <f t="shared" ca="1" si="5"/>
        <v>0</v>
      </c>
      <c r="E116" s="48"/>
      <c r="F116" s="55">
        <f t="shared" ca="1" si="6"/>
        <v>0</v>
      </c>
      <c r="G116" s="46"/>
      <c r="H116" s="78">
        <f t="shared" ca="1" si="7"/>
        <v>0</v>
      </c>
      <c r="I116" s="53">
        <f t="shared" ca="1" si="4"/>
        <v>0</v>
      </c>
    </row>
    <row r="117" spans="1:10" s="58" customFormat="1" ht="28.5">
      <c r="A117" s="50">
        <v>2</v>
      </c>
      <c r="B117" s="51" t="str">
        <f ca="1">IF($A117="","",NumList())</f>
        <v>4.1</v>
      </c>
      <c r="C117" s="61" t="s">
        <v>455</v>
      </c>
      <c r="D117" s="55">
        <f t="shared" ca="1" si="5"/>
        <v>0</v>
      </c>
      <c r="E117" s="55"/>
      <c r="F117" s="55">
        <f t="shared" ca="1" si="6"/>
        <v>0</v>
      </c>
      <c r="G117" s="51"/>
      <c r="H117" s="78">
        <f t="shared" ca="1" si="7"/>
        <v>0</v>
      </c>
      <c r="I117" s="53">
        <f t="shared" ca="1" si="4"/>
        <v>0</v>
      </c>
    </row>
    <row r="118" spans="1:10" s="41" customFormat="1" ht="15">
      <c r="A118" s="50">
        <v>3</v>
      </c>
      <c r="B118" s="51" t="str">
        <f ca="1">IF($A118="","",NumList())</f>
        <v>4.1.1</v>
      </c>
      <c r="C118" s="62" t="s">
        <v>14</v>
      </c>
      <c r="D118" s="55">
        <f t="shared" ca="1" si="5"/>
        <v>1</v>
      </c>
      <c r="E118" s="55"/>
      <c r="F118" s="55">
        <f t="shared" ca="1" si="6"/>
        <v>96</v>
      </c>
      <c r="G118" s="51" t="s">
        <v>8</v>
      </c>
      <c r="H118" s="78">
        <f t="shared" ca="1" si="7"/>
        <v>92</v>
      </c>
      <c r="I118" s="53">
        <f t="shared" ca="1" si="4"/>
        <v>8832</v>
      </c>
      <c r="J118" s="58"/>
    </row>
    <row r="119" spans="1:10" s="41" customFormat="1" ht="15">
      <c r="A119" s="50">
        <v>3</v>
      </c>
      <c r="B119" s="51" t="str">
        <f ca="1">IF($A119="","",NumList())</f>
        <v>4.1.2</v>
      </c>
      <c r="C119" s="62" t="s">
        <v>22</v>
      </c>
      <c r="D119" s="55">
        <f t="shared" ca="1" si="5"/>
        <v>1</v>
      </c>
      <c r="E119" s="55"/>
      <c r="F119" s="55">
        <f t="shared" ca="1" si="6"/>
        <v>28</v>
      </c>
      <c r="G119" s="51" t="s">
        <v>8</v>
      </c>
      <c r="H119" s="78">
        <f t="shared" ca="1" si="7"/>
        <v>51</v>
      </c>
      <c r="I119" s="53">
        <f t="shared" ca="1" si="4"/>
        <v>1428</v>
      </c>
      <c r="J119" s="58"/>
    </row>
    <row r="120" spans="1:10" s="41" customFormat="1" ht="15">
      <c r="A120" s="50">
        <v>3</v>
      </c>
      <c r="B120" s="51" t="str">
        <f ca="1">IF($A120="","",NumList())</f>
        <v>4.1.3</v>
      </c>
      <c r="C120" s="61" t="s">
        <v>34</v>
      </c>
      <c r="D120" s="55">
        <f t="shared" ca="1" si="5"/>
        <v>1</v>
      </c>
      <c r="E120" s="55"/>
      <c r="F120" s="55">
        <f t="shared" ca="1" si="6"/>
        <v>43</v>
      </c>
      <c r="G120" s="51" t="s">
        <v>8</v>
      </c>
      <c r="H120" s="78">
        <f t="shared" ca="1" si="7"/>
        <v>100</v>
      </c>
      <c r="I120" s="53">
        <f t="shared" ca="1" si="4"/>
        <v>4300</v>
      </c>
      <c r="J120" s="58"/>
    </row>
    <row r="121" spans="1:10" s="41" customFormat="1" ht="15">
      <c r="A121" s="50">
        <v>3</v>
      </c>
      <c r="B121" s="51" t="str">
        <f ca="1">IF($A121="","",NumList())</f>
        <v>4.1.4</v>
      </c>
      <c r="C121" s="61" t="s">
        <v>35</v>
      </c>
      <c r="D121" s="55">
        <f t="shared" ca="1" si="5"/>
        <v>1</v>
      </c>
      <c r="E121" s="55"/>
      <c r="F121" s="55">
        <f t="shared" ca="1" si="6"/>
        <v>56</v>
      </c>
      <c r="G121" s="51" t="s">
        <v>8</v>
      </c>
      <c r="H121" s="78">
        <f t="shared" ca="1" si="7"/>
        <v>39</v>
      </c>
      <c r="I121" s="53">
        <f t="shared" ca="1" si="4"/>
        <v>2184</v>
      </c>
      <c r="J121" s="58"/>
    </row>
    <row r="122" spans="1:10" s="41" customFormat="1" ht="15">
      <c r="A122" s="50">
        <v>2</v>
      </c>
      <c r="B122" s="51" t="str">
        <f ca="1">IF($A122="","",NumList())</f>
        <v>4.2</v>
      </c>
      <c r="C122" s="62" t="s">
        <v>333</v>
      </c>
      <c r="D122" s="55">
        <f t="shared" ca="1" si="5"/>
        <v>0</v>
      </c>
      <c r="E122" s="55"/>
      <c r="F122" s="55">
        <f t="shared" ca="1" si="6"/>
        <v>0</v>
      </c>
      <c r="G122" s="51"/>
      <c r="H122" s="78">
        <f t="shared" ca="1" si="7"/>
        <v>0</v>
      </c>
      <c r="I122" s="53">
        <f t="shared" ca="1" si="4"/>
        <v>0</v>
      </c>
      <c r="J122" s="58"/>
    </row>
    <row r="123" spans="1:10" s="41" customFormat="1" ht="15">
      <c r="A123" s="50">
        <v>3</v>
      </c>
      <c r="B123" s="51" t="str">
        <f ca="1">IF($A123="","",NumList())</f>
        <v>4.2.1</v>
      </c>
      <c r="C123" s="62" t="s">
        <v>335</v>
      </c>
      <c r="D123" s="55">
        <f t="shared" ca="1" si="5"/>
        <v>1</v>
      </c>
      <c r="E123" s="55"/>
      <c r="F123" s="55">
        <f t="shared" ca="1" si="6"/>
        <v>26</v>
      </c>
      <c r="G123" s="51" t="s">
        <v>8</v>
      </c>
      <c r="H123" s="78">
        <f t="shared" ca="1" si="7"/>
        <v>98</v>
      </c>
      <c r="I123" s="53">
        <f t="shared" ca="1" si="4"/>
        <v>2548</v>
      </c>
      <c r="J123" s="58"/>
    </row>
    <row r="124" spans="1:10" s="41" customFormat="1" ht="15">
      <c r="A124" s="50">
        <v>3</v>
      </c>
      <c r="B124" s="51" t="str">
        <f ca="1">IF($A124="","",NumList())</f>
        <v>4.2.2</v>
      </c>
      <c r="C124" s="62" t="s">
        <v>336</v>
      </c>
      <c r="D124" s="55">
        <f t="shared" ca="1" si="5"/>
        <v>1</v>
      </c>
      <c r="E124" s="55"/>
      <c r="F124" s="55">
        <f t="shared" ca="1" si="6"/>
        <v>48</v>
      </c>
      <c r="G124" s="51" t="s">
        <v>8</v>
      </c>
      <c r="H124" s="78">
        <f t="shared" ca="1" si="7"/>
        <v>53</v>
      </c>
      <c r="I124" s="53">
        <f t="shared" ca="1" si="4"/>
        <v>2544</v>
      </c>
      <c r="J124" s="58"/>
    </row>
    <row r="125" spans="1:10" s="41" customFormat="1" ht="15">
      <c r="A125" s="50">
        <v>3</v>
      </c>
      <c r="B125" s="51" t="str">
        <f ca="1">IF($A125="","",NumList())</f>
        <v>4.2.3</v>
      </c>
      <c r="C125" s="62" t="s">
        <v>337</v>
      </c>
      <c r="D125" s="55">
        <f t="shared" ca="1" si="5"/>
        <v>1</v>
      </c>
      <c r="E125" s="55"/>
      <c r="F125" s="55">
        <f t="shared" ca="1" si="6"/>
        <v>90</v>
      </c>
      <c r="G125" s="51" t="s">
        <v>8</v>
      </c>
      <c r="H125" s="78">
        <f t="shared" ca="1" si="7"/>
        <v>21</v>
      </c>
      <c r="I125" s="53">
        <f t="shared" ca="1" si="4"/>
        <v>1890</v>
      </c>
      <c r="J125" s="58"/>
    </row>
    <row r="126" spans="1:10" s="41" customFormat="1" ht="15">
      <c r="A126" s="50">
        <v>3</v>
      </c>
      <c r="B126" s="51" t="str">
        <f ca="1">IF($A126="","",NumList())</f>
        <v>4.2.4</v>
      </c>
      <c r="C126" s="62" t="s">
        <v>338</v>
      </c>
      <c r="D126" s="55">
        <f t="shared" ca="1" si="5"/>
        <v>1</v>
      </c>
      <c r="E126" s="55"/>
      <c r="F126" s="55">
        <f t="shared" ca="1" si="6"/>
        <v>54</v>
      </c>
      <c r="G126" s="51" t="s">
        <v>8</v>
      </c>
      <c r="H126" s="78">
        <f t="shared" ca="1" si="7"/>
        <v>99</v>
      </c>
      <c r="I126" s="53">
        <f t="shared" ca="1" si="4"/>
        <v>5346</v>
      </c>
      <c r="J126" s="58"/>
    </row>
    <row r="127" spans="1:10" s="41" customFormat="1" ht="15">
      <c r="A127" s="50">
        <v>2</v>
      </c>
      <c r="B127" s="51" t="str">
        <f ca="1">IF($A127="","",NumList())</f>
        <v>4.3</v>
      </c>
      <c r="C127" s="62" t="s">
        <v>334</v>
      </c>
      <c r="D127" s="55">
        <f t="shared" ca="1" si="5"/>
        <v>0</v>
      </c>
      <c r="E127" s="55"/>
      <c r="F127" s="55">
        <f t="shared" ca="1" si="6"/>
        <v>0</v>
      </c>
      <c r="G127" s="51"/>
      <c r="H127" s="78">
        <f t="shared" ca="1" si="7"/>
        <v>0</v>
      </c>
      <c r="I127" s="53">
        <f t="shared" ca="1" si="4"/>
        <v>0</v>
      </c>
      <c r="J127" s="58"/>
    </row>
    <row r="128" spans="1:10" s="41" customFormat="1" ht="15">
      <c r="A128" s="50">
        <v>3</v>
      </c>
      <c r="B128" s="51" t="str">
        <f ca="1">IF($A128="","",NumList())</f>
        <v>4.3.1</v>
      </c>
      <c r="C128" s="62" t="s">
        <v>335</v>
      </c>
      <c r="D128" s="55">
        <f t="shared" ca="1" si="5"/>
        <v>1</v>
      </c>
      <c r="E128" s="55"/>
      <c r="F128" s="55">
        <f t="shared" ca="1" si="6"/>
        <v>28</v>
      </c>
      <c r="G128" s="51" t="s">
        <v>8</v>
      </c>
      <c r="H128" s="78">
        <f t="shared" ca="1" si="7"/>
        <v>77</v>
      </c>
      <c r="I128" s="53">
        <f t="shared" ca="1" si="4"/>
        <v>2156</v>
      </c>
      <c r="J128" s="58"/>
    </row>
    <row r="129" spans="1:10" s="41" customFormat="1" ht="15">
      <c r="A129" s="50">
        <v>3</v>
      </c>
      <c r="B129" s="51" t="str">
        <f ca="1">IF($A129="","",NumList())</f>
        <v>4.3.2</v>
      </c>
      <c r="C129" s="62" t="s">
        <v>336</v>
      </c>
      <c r="D129" s="55">
        <f t="shared" ca="1" si="5"/>
        <v>1</v>
      </c>
      <c r="E129" s="55"/>
      <c r="F129" s="55">
        <f t="shared" ca="1" si="6"/>
        <v>36</v>
      </c>
      <c r="G129" s="51" t="s">
        <v>8</v>
      </c>
      <c r="H129" s="78">
        <f t="shared" ca="1" si="7"/>
        <v>6</v>
      </c>
      <c r="I129" s="53">
        <f t="shared" ca="1" si="4"/>
        <v>216</v>
      </c>
      <c r="J129" s="58"/>
    </row>
    <row r="130" spans="1:10" s="41" customFormat="1" ht="15">
      <c r="A130" s="50">
        <v>3</v>
      </c>
      <c r="B130" s="51" t="str">
        <f ca="1">IF($A130="","",NumList())</f>
        <v>4.3.3</v>
      </c>
      <c r="C130" s="62" t="s">
        <v>337</v>
      </c>
      <c r="D130" s="55">
        <f t="shared" ca="1" si="5"/>
        <v>1</v>
      </c>
      <c r="E130" s="55"/>
      <c r="F130" s="55">
        <f t="shared" ca="1" si="6"/>
        <v>99</v>
      </c>
      <c r="G130" s="51" t="s">
        <v>8</v>
      </c>
      <c r="H130" s="78">
        <f t="shared" ca="1" si="7"/>
        <v>63</v>
      </c>
      <c r="I130" s="53">
        <f t="shared" ca="1" si="4"/>
        <v>6237</v>
      </c>
      <c r="J130" s="58"/>
    </row>
    <row r="131" spans="1:10" s="41" customFormat="1" ht="15">
      <c r="A131" s="50">
        <v>3</v>
      </c>
      <c r="B131" s="51" t="str">
        <f ca="1">IF($A131="","",NumList())</f>
        <v>4.3.4</v>
      </c>
      <c r="C131" s="62" t="s">
        <v>338</v>
      </c>
      <c r="D131" s="55">
        <f t="shared" ca="1" si="5"/>
        <v>1</v>
      </c>
      <c r="E131" s="55"/>
      <c r="F131" s="55">
        <f t="shared" ca="1" si="6"/>
        <v>13</v>
      </c>
      <c r="G131" s="51" t="s">
        <v>8</v>
      </c>
      <c r="H131" s="78">
        <f t="shared" ca="1" si="7"/>
        <v>6</v>
      </c>
      <c r="I131" s="53">
        <f t="shared" ca="1" si="4"/>
        <v>78</v>
      </c>
      <c r="J131" s="58"/>
    </row>
    <row r="132" spans="1:10" s="41" customFormat="1" ht="15">
      <c r="A132" s="50" t="s">
        <v>516</v>
      </c>
      <c r="B132" s="51" t="str">
        <f>IF($A132="","",NumList())</f>
        <v/>
      </c>
      <c r="C132" s="62"/>
      <c r="D132" s="55">
        <f t="shared" ca="1" si="5"/>
        <v>0</v>
      </c>
      <c r="E132" s="55"/>
      <c r="F132" s="55">
        <f t="shared" ca="1" si="6"/>
        <v>0</v>
      </c>
      <c r="G132" s="51"/>
      <c r="H132" s="78">
        <f t="shared" ca="1" si="7"/>
        <v>0</v>
      </c>
      <c r="I132" s="53">
        <f t="shared" ca="1" si="4"/>
        <v>0</v>
      </c>
      <c r="J132" s="58"/>
    </row>
    <row r="133" spans="1:10" s="41" customFormat="1" ht="15">
      <c r="A133" s="50">
        <v>2</v>
      </c>
      <c r="B133" s="51" t="str">
        <f ca="1">IF($A133="","",NumList())</f>
        <v>4.4</v>
      </c>
      <c r="C133" s="62" t="s">
        <v>47</v>
      </c>
      <c r="D133" s="55">
        <f t="shared" ca="1" si="5"/>
        <v>1</v>
      </c>
      <c r="E133" s="55"/>
      <c r="F133" s="55">
        <f t="shared" ca="1" si="6"/>
        <v>9</v>
      </c>
      <c r="G133" s="51" t="s">
        <v>0</v>
      </c>
      <c r="H133" s="78">
        <f t="shared" ca="1" si="7"/>
        <v>55</v>
      </c>
      <c r="I133" s="53">
        <f t="shared" ca="1" si="4"/>
        <v>495</v>
      </c>
      <c r="J133" s="58"/>
    </row>
    <row r="134" spans="1:10" s="41" customFormat="1" ht="15">
      <c r="A134" s="50" t="s">
        <v>516</v>
      </c>
      <c r="B134" s="51" t="str">
        <f>IF($A134="","",NumList())</f>
        <v/>
      </c>
      <c r="C134" s="61"/>
      <c r="D134" s="55">
        <f t="shared" ca="1" si="5"/>
        <v>0</v>
      </c>
      <c r="E134" s="55"/>
      <c r="F134" s="55">
        <f t="shared" ca="1" si="6"/>
        <v>0</v>
      </c>
      <c r="G134" s="51"/>
      <c r="H134" s="78">
        <f t="shared" ca="1" si="7"/>
        <v>0</v>
      </c>
      <c r="I134" s="53">
        <f t="shared" ca="1" si="4"/>
        <v>0</v>
      </c>
      <c r="J134" s="58"/>
    </row>
    <row r="135" spans="1:10" s="41" customFormat="1" ht="15">
      <c r="A135" s="50">
        <v>1</v>
      </c>
      <c r="B135" s="51">
        <f ca="1">IF($A135="","",NumList())</f>
        <v>5</v>
      </c>
      <c r="C135" s="69" t="s">
        <v>456</v>
      </c>
      <c r="D135" s="55">
        <f t="shared" ca="1" si="5"/>
        <v>0</v>
      </c>
      <c r="E135" s="48"/>
      <c r="F135" s="55">
        <f t="shared" ca="1" si="6"/>
        <v>0</v>
      </c>
      <c r="G135" s="46"/>
      <c r="H135" s="78">
        <f t="shared" ca="1" si="7"/>
        <v>0</v>
      </c>
      <c r="I135" s="53">
        <f t="shared" ca="1" si="4"/>
        <v>0</v>
      </c>
    </row>
    <row r="136" spans="1:10" s="41" customFormat="1" ht="15">
      <c r="A136" s="50">
        <v>2</v>
      </c>
      <c r="B136" s="51" t="str">
        <f ca="1">IF($A136="","",NumList())</f>
        <v>5.1</v>
      </c>
      <c r="C136" s="62" t="s">
        <v>15</v>
      </c>
      <c r="D136" s="55">
        <f t="shared" ca="1" si="5"/>
        <v>1</v>
      </c>
      <c r="E136" s="55"/>
      <c r="F136" s="55">
        <f t="shared" ca="1" si="6"/>
        <v>24</v>
      </c>
      <c r="G136" s="51" t="s">
        <v>8</v>
      </c>
      <c r="H136" s="78">
        <f t="shared" ca="1" si="7"/>
        <v>19</v>
      </c>
      <c r="I136" s="53">
        <f t="shared" ca="1" si="4"/>
        <v>456</v>
      </c>
      <c r="J136" s="58"/>
    </row>
    <row r="137" spans="1:10" s="41" customFormat="1" ht="15">
      <c r="A137" s="50">
        <v>2</v>
      </c>
      <c r="B137" s="51" t="str">
        <f ca="1">IF($A137="","",NumList())</f>
        <v>5.2</v>
      </c>
      <c r="C137" s="62" t="s">
        <v>16</v>
      </c>
      <c r="D137" s="55">
        <f t="shared" ca="1" si="5"/>
        <v>1</v>
      </c>
      <c r="E137" s="55"/>
      <c r="F137" s="55">
        <f t="shared" ca="1" si="6"/>
        <v>25</v>
      </c>
      <c r="G137" s="51" t="s">
        <v>8</v>
      </c>
      <c r="H137" s="78">
        <f t="shared" ca="1" si="7"/>
        <v>35</v>
      </c>
      <c r="I137" s="53">
        <f t="shared" ca="1" si="4"/>
        <v>875</v>
      </c>
      <c r="J137" s="58"/>
    </row>
    <row r="138" spans="1:10" s="41" customFormat="1" ht="28.5">
      <c r="A138" s="50">
        <v>2</v>
      </c>
      <c r="B138" s="51" t="str">
        <f ca="1">IF($A138="","",NumList())</f>
        <v>5.3</v>
      </c>
      <c r="C138" s="62" t="s">
        <v>70</v>
      </c>
      <c r="D138" s="55">
        <f t="shared" ca="1" si="5"/>
        <v>1</v>
      </c>
      <c r="E138" s="55"/>
      <c r="F138" s="55">
        <f t="shared" ca="1" si="6"/>
        <v>95</v>
      </c>
      <c r="G138" s="51" t="s">
        <v>8</v>
      </c>
      <c r="H138" s="78">
        <f t="shared" ca="1" si="7"/>
        <v>25</v>
      </c>
      <c r="I138" s="53">
        <f t="shared" ca="1" si="4"/>
        <v>2375</v>
      </c>
      <c r="J138" s="58"/>
    </row>
    <row r="139" spans="1:10" s="41" customFormat="1" ht="28.5">
      <c r="A139" s="50">
        <v>2</v>
      </c>
      <c r="B139" s="51" t="str">
        <f ca="1">IF($A139="","",NumList())</f>
        <v>5.4</v>
      </c>
      <c r="C139" s="62" t="s">
        <v>235</v>
      </c>
      <c r="D139" s="55">
        <f t="shared" ca="1" si="5"/>
        <v>1</v>
      </c>
      <c r="E139" s="55"/>
      <c r="F139" s="55">
        <f t="shared" ca="1" si="6"/>
        <v>18</v>
      </c>
      <c r="G139" s="51" t="s">
        <v>8</v>
      </c>
      <c r="H139" s="78">
        <f t="shared" ca="1" si="7"/>
        <v>61</v>
      </c>
      <c r="I139" s="53">
        <f t="shared" ca="1" si="4"/>
        <v>1098</v>
      </c>
      <c r="J139" s="58"/>
    </row>
    <row r="140" spans="1:10" s="41" customFormat="1" ht="15">
      <c r="A140" s="50" t="s">
        <v>516</v>
      </c>
      <c r="B140" s="51" t="str">
        <f>IF($A140="","",NumList())</f>
        <v/>
      </c>
      <c r="C140" s="62"/>
      <c r="D140" s="55">
        <f t="shared" ca="1" si="5"/>
        <v>0</v>
      </c>
      <c r="E140" s="55"/>
      <c r="F140" s="55">
        <f t="shared" ca="1" si="6"/>
        <v>0</v>
      </c>
      <c r="G140" s="51"/>
      <c r="H140" s="78">
        <f t="shared" ca="1" si="7"/>
        <v>0</v>
      </c>
      <c r="I140" s="53">
        <f t="shared" ca="1" si="4"/>
        <v>0</v>
      </c>
      <c r="J140" s="58"/>
    </row>
    <row r="141" spans="1:10" s="41" customFormat="1" ht="45">
      <c r="A141" s="50">
        <v>1</v>
      </c>
      <c r="B141" s="51">
        <f ca="1">IF($A141="","",NumList())</f>
        <v>6</v>
      </c>
      <c r="C141" s="69" t="s">
        <v>457</v>
      </c>
      <c r="D141" s="55">
        <f t="shared" ca="1" si="5"/>
        <v>0</v>
      </c>
      <c r="E141" s="55"/>
      <c r="F141" s="55">
        <f t="shared" ca="1" si="6"/>
        <v>0</v>
      </c>
      <c r="G141" s="51"/>
      <c r="H141" s="78">
        <f t="shared" ca="1" si="7"/>
        <v>0</v>
      </c>
      <c r="I141" s="53">
        <f t="shared" ca="1" si="4"/>
        <v>0</v>
      </c>
      <c r="J141" s="58"/>
    </row>
    <row r="142" spans="1:10" s="41" customFormat="1" ht="15">
      <c r="A142" s="50">
        <v>2</v>
      </c>
      <c r="B142" s="51" t="str">
        <f ca="1">IF($A142="","",NumList())</f>
        <v>6.1</v>
      </c>
      <c r="C142" s="62" t="s">
        <v>369</v>
      </c>
      <c r="D142" s="55">
        <f t="shared" ca="1" si="5"/>
        <v>1</v>
      </c>
      <c r="E142" s="55"/>
      <c r="F142" s="55">
        <f t="shared" ca="1" si="6"/>
        <v>53</v>
      </c>
      <c r="G142" s="51" t="s">
        <v>0</v>
      </c>
      <c r="H142" s="78">
        <f t="shared" ca="1" si="7"/>
        <v>68</v>
      </c>
      <c r="I142" s="53">
        <f t="shared" ca="1" si="4"/>
        <v>3604</v>
      </c>
      <c r="J142" s="58"/>
    </row>
    <row r="143" spans="1:10" s="41" customFormat="1" ht="15">
      <c r="A143" s="50">
        <v>2</v>
      </c>
      <c r="B143" s="51" t="str">
        <f ca="1">IF($A143="","",NumList())</f>
        <v>6.2</v>
      </c>
      <c r="C143" s="62" t="s">
        <v>370</v>
      </c>
      <c r="D143" s="55">
        <f t="shared" ca="1" si="5"/>
        <v>1</v>
      </c>
      <c r="E143" s="55"/>
      <c r="F143" s="55">
        <f t="shared" ca="1" si="6"/>
        <v>64</v>
      </c>
      <c r="G143" s="51" t="s">
        <v>0</v>
      </c>
      <c r="H143" s="78">
        <f t="shared" ca="1" si="7"/>
        <v>18</v>
      </c>
      <c r="I143" s="53">
        <f t="shared" ca="1" si="4"/>
        <v>1152</v>
      </c>
      <c r="J143" s="58"/>
    </row>
    <row r="144" spans="1:10" s="41" customFormat="1" ht="15">
      <c r="A144" s="50">
        <v>2</v>
      </c>
      <c r="B144" s="51" t="str">
        <f ca="1">IF($A144="","",NumList())</f>
        <v>6.3</v>
      </c>
      <c r="C144" s="62" t="s">
        <v>511</v>
      </c>
      <c r="D144" s="55">
        <f t="shared" ca="1" si="5"/>
        <v>1</v>
      </c>
      <c r="E144" s="55"/>
      <c r="F144" s="55">
        <f t="shared" ca="1" si="6"/>
        <v>29</v>
      </c>
      <c r="G144" s="51" t="str">
        <f>G143</f>
        <v>Item</v>
      </c>
      <c r="H144" s="78">
        <f t="shared" ca="1" si="7"/>
        <v>59</v>
      </c>
      <c r="I144" s="53"/>
      <c r="J144" s="58"/>
    </row>
    <row r="145" spans="1:11" s="58" customFormat="1" ht="15">
      <c r="A145" s="50" t="s">
        <v>516</v>
      </c>
      <c r="B145" s="51" t="str">
        <f>IF($A145="","",NumList())</f>
        <v/>
      </c>
      <c r="C145" s="54"/>
      <c r="D145" s="55">
        <f t="shared" ca="1" si="5"/>
        <v>0</v>
      </c>
      <c r="E145" s="55"/>
      <c r="F145" s="55">
        <f t="shared" ca="1" si="6"/>
        <v>0</v>
      </c>
      <c r="G145" s="51"/>
      <c r="H145" s="78">
        <f t="shared" ca="1" si="7"/>
        <v>0</v>
      </c>
      <c r="I145" s="53">
        <f t="shared" ca="1" si="4"/>
        <v>0</v>
      </c>
    </row>
    <row r="146" spans="1:11" s="41" customFormat="1" ht="15">
      <c r="A146" s="50">
        <v>1</v>
      </c>
      <c r="B146" s="51">
        <f ca="1">IF($A146="","",NumList())</f>
        <v>7</v>
      </c>
      <c r="C146" s="52" t="s">
        <v>11</v>
      </c>
      <c r="D146" s="55">
        <f t="shared" ca="1" si="5"/>
        <v>0</v>
      </c>
      <c r="E146" s="48"/>
      <c r="F146" s="55">
        <f t="shared" ca="1" si="6"/>
        <v>0</v>
      </c>
      <c r="G146" s="46"/>
      <c r="H146" s="78">
        <f t="shared" ca="1" si="7"/>
        <v>0</v>
      </c>
      <c r="I146" s="53">
        <f t="shared" ca="1" si="4"/>
        <v>0</v>
      </c>
    </row>
    <row r="147" spans="1:11" s="58" customFormat="1" ht="57">
      <c r="A147" s="50">
        <v>2</v>
      </c>
      <c r="B147" s="51" t="str">
        <f ca="1">IF($A147="","",NumList())</f>
        <v>7.1</v>
      </c>
      <c r="C147" s="62" t="s">
        <v>276</v>
      </c>
      <c r="D147" s="55">
        <f t="shared" ca="1" si="5"/>
        <v>1</v>
      </c>
      <c r="E147" s="55"/>
      <c r="F147" s="55">
        <f t="shared" ca="1" si="6"/>
        <v>98</v>
      </c>
      <c r="G147" s="51" t="s">
        <v>0</v>
      </c>
      <c r="H147" s="78">
        <f t="shared" ca="1" si="7"/>
        <v>28</v>
      </c>
      <c r="I147" s="53">
        <f t="shared" ca="1" si="4"/>
        <v>2744</v>
      </c>
    </row>
    <row r="148" spans="1:11" s="58" customFormat="1" ht="28.5">
      <c r="A148" s="50">
        <v>2</v>
      </c>
      <c r="B148" s="51" t="str">
        <f ca="1">IF($A148="","",NumList())</f>
        <v>7.2</v>
      </c>
      <c r="C148" s="62" t="s">
        <v>48</v>
      </c>
      <c r="D148" s="55">
        <f t="shared" ca="1" si="5"/>
        <v>1</v>
      </c>
      <c r="E148" s="55"/>
      <c r="F148" s="55">
        <f t="shared" ca="1" si="6"/>
        <v>55</v>
      </c>
      <c r="G148" s="51" t="s">
        <v>0</v>
      </c>
      <c r="H148" s="78">
        <f t="shared" ca="1" si="7"/>
        <v>97</v>
      </c>
      <c r="I148" s="53">
        <f ca="1">F148*H148</f>
        <v>5335</v>
      </c>
    </row>
    <row r="149" spans="1:11" s="58" customFormat="1" ht="15">
      <c r="A149" s="50" t="s">
        <v>516</v>
      </c>
      <c r="B149" s="51" t="str">
        <f>IF($A149="","",NumList())</f>
        <v/>
      </c>
      <c r="C149" s="62"/>
      <c r="D149" s="55">
        <f t="shared" ca="1" si="5"/>
        <v>0</v>
      </c>
      <c r="E149" s="55"/>
      <c r="F149" s="55">
        <f t="shared" ca="1" si="6"/>
        <v>0</v>
      </c>
      <c r="G149" s="51"/>
      <c r="H149" s="78"/>
      <c r="I149" s="53">
        <f ca="1">F149*H149</f>
        <v>0</v>
      </c>
    </row>
    <row r="150" spans="1:11" s="41" customFormat="1" ht="15">
      <c r="A150" s="50">
        <v>1</v>
      </c>
      <c r="B150" s="51">
        <f ca="1">IF($A150="","",NumList())</f>
        <v>8</v>
      </c>
      <c r="C150" s="52" t="s">
        <v>65</v>
      </c>
      <c r="D150" s="55">
        <f t="shared" ca="1" si="5"/>
        <v>0</v>
      </c>
      <c r="E150" s="55"/>
      <c r="F150" s="55"/>
      <c r="G150" s="51"/>
      <c r="H150" s="78"/>
      <c r="I150" s="53">
        <f>F150*H150</f>
        <v>0</v>
      </c>
      <c r="J150" s="58"/>
      <c r="K150" s="58"/>
    </row>
    <row r="151" spans="1:11" s="41" customFormat="1" ht="28.5">
      <c r="A151" s="50" t="s">
        <v>516</v>
      </c>
      <c r="B151" s="51" t="str">
        <f>IF($A151="","",NumList())</f>
        <v/>
      </c>
      <c r="C151" s="62" t="s">
        <v>283</v>
      </c>
      <c r="D151" s="55">
        <f t="shared" ca="1" si="5"/>
        <v>1</v>
      </c>
      <c r="E151" s="55"/>
      <c r="F151" s="55">
        <v>1</v>
      </c>
      <c r="G151" s="51" t="s">
        <v>0</v>
      </c>
      <c r="H151" s="62" t="s">
        <v>73</v>
      </c>
      <c r="I151" s="53"/>
      <c r="J151" s="58"/>
      <c r="K151" s="58"/>
    </row>
    <row r="152" spans="1:11" s="58" customFormat="1" ht="15" customHeight="1">
      <c r="A152" s="50"/>
      <c r="B152" s="32"/>
      <c r="C152" s="70"/>
      <c r="D152" s="71"/>
      <c r="E152" s="71"/>
      <c r="F152" s="71"/>
      <c r="G152" s="30"/>
      <c r="H152" s="82" t="s">
        <v>17</v>
      </c>
      <c r="I152" s="78">
        <f ca="1">SUM(I25:I151)</f>
        <v>261114</v>
      </c>
    </row>
    <row r="153" spans="1:11" s="58" customFormat="1" ht="14.25" customHeight="1">
      <c r="A153" s="50"/>
      <c r="B153" s="32"/>
      <c r="C153" s="70"/>
      <c r="D153" s="71"/>
      <c r="E153" s="71"/>
      <c r="F153" s="71"/>
      <c r="G153" s="30"/>
      <c r="H153" s="83"/>
      <c r="I153" s="77"/>
    </row>
    <row r="154" spans="1:11" s="58" customFormat="1" ht="14.25" customHeight="1">
      <c r="A154" s="50"/>
      <c r="B154" s="30"/>
      <c r="C154" s="70"/>
      <c r="D154" s="71"/>
      <c r="E154" s="71"/>
      <c r="F154" s="71"/>
      <c r="G154" s="30"/>
      <c r="H154" s="77"/>
      <c r="I154" s="77"/>
    </row>
    <row r="155" spans="1:11" s="58" customFormat="1" ht="14.25" customHeight="1">
      <c r="A155" s="50"/>
      <c r="B155" s="30"/>
      <c r="C155" s="30" t="s">
        <v>18</v>
      </c>
      <c r="D155" s="31"/>
      <c r="E155" s="31"/>
      <c r="F155" s="31"/>
      <c r="G155" s="31"/>
      <c r="H155" s="31"/>
      <c r="I155" s="31"/>
    </row>
    <row r="156" spans="1:11" s="58" customFormat="1" ht="14.25" customHeight="1">
      <c r="A156" s="50"/>
      <c r="B156" s="30"/>
      <c r="C156" s="30"/>
      <c r="D156" s="34"/>
      <c r="E156" s="34"/>
      <c r="F156" s="34"/>
      <c r="G156" s="32"/>
      <c r="H156" s="33"/>
      <c r="I156" s="30"/>
    </row>
    <row r="157" spans="1:11" s="58" customFormat="1" ht="14.25" customHeight="1">
      <c r="A157" s="50"/>
      <c r="B157" s="30"/>
      <c r="C157" s="30" t="s">
        <v>19</v>
      </c>
      <c r="D157" s="31"/>
      <c r="E157" s="31"/>
      <c r="F157" s="31"/>
      <c r="G157" s="31"/>
      <c r="H157" s="31"/>
      <c r="I157" s="31"/>
    </row>
    <row r="158" spans="1:11" s="58" customFormat="1" ht="14.25" customHeight="1">
      <c r="A158" s="50"/>
      <c r="B158" s="30"/>
      <c r="C158" s="30"/>
      <c r="D158" s="34"/>
      <c r="E158" s="34"/>
      <c r="F158" s="34"/>
      <c r="G158" s="32"/>
      <c r="H158" s="33"/>
      <c r="I158" s="30"/>
    </row>
    <row r="159" spans="1:11" ht="67.5">
      <c r="A159" s="50"/>
      <c r="C159" s="74" t="s">
        <v>188</v>
      </c>
    </row>
    <row r="160" spans="1:11">
      <c r="A160" s="50"/>
      <c r="C160" s="70"/>
    </row>
    <row r="161" spans="1:11">
      <c r="A161" s="50"/>
      <c r="C161" s="70"/>
    </row>
    <row r="162" spans="1:11">
      <c r="A162" s="50"/>
      <c r="C162" s="70"/>
    </row>
    <row r="163" spans="1:11" s="58" customFormat="1">
      <c r="A163" s="50"/>
      <c r="B163" s="30"/>
      <c r="C163" s="70"/>
      <c r="D163" s="71"/>
      <c r="E163" s="71"/>
      <c r="F163" s="71"/>
      <c r="G163" s="30"/>
      <c r="H163" s="77"/>
      <c r="I163" s="77"/>
      <c r="K163" s="3"/>
    </row>
    <row r="164" spans="1:11" s="58" customFormat="1">
      <c r="A164" s="50"/>
      <c r="B164" s="30"/>
      <c r="C164" s="70"/>
      <c r="D164" s="71"/>
      <c r="E164" s="71"/>
      <c r="F164" s="71"/>
      <c r="G164" s="30"/>
      <c r="H164" s="77"/>
      <c r="I164" s="77"/>
      <c r="K164" s="3"/>
    </row>
    <row r="165" spans="1:11" s="58" customFormat="1">
      <c r="A165" s="50"/>
      <c r="B165" s="30"/>
      <c r="C165" s="70"/>
      <c r="D165" s="71"/>
      <c r="E165" s="71"/>
      <c r="F165" s="71"/>
      <c r="G165" s="30"/>
      <c r="H165" s="77"/>
      <c r="I165" s="77"/>
      <c r="K165" s="3"/>
    </row>
    <row r="166" spans="1:11" s="58" customFormat="1">
      <c r="A166" s="50"/>
      <c r="B166" s="30"/>
      <c r="C166" s="70"/>
      <c r="D166" s="71"/>
      <c r="E166" s="71"/>
      <c r="F166" s="71"/>
      <c r="G166" s="30"/>
      <c r="H166" s="77"/>
      <c r="I166" s="77"/>
      <c r="K166" s="3"/>
    </row>
    <row r="167" spans="1:11" s="58" customFormat="1">
      <c r="A167" s="50"/>
      <c r="B167" s="30"/>
      <c r="C167" s="70"/>
      <c r="D167" s="71"/>
      <c r="E167" s="71"/>
      <c r="F167" s="71"/>
      <c r="G167" s="30"/>
      <c r="H167" s="77"/>
      <c r="I167" s="77"/>
      <c r="K167" s="3"/>
    </row>
    <row r="168" spans="1:11" s="58" customFormat="1">
      <c r="A168" s="50"/>
      <c r="B168" s="30"/>
      <c r="C168" s="70"/>
      <c r="D168" s="71"/>
      <c r="E168" s="71"/>
      <c r="F168" s="71"/>
      <c r="G168" s="30"/>
      <c r="H168" s="77"/>
      <c r="I168" s="77"/>
      <c r="K168" s="3"/>
    </row>
    <row r="169" spans="1:11" s="58" customFormat="1">
      <c r="A169" s="50"/>
      <c r="B169" s="30"/>
      <c r="C169" s="70"/>
      <c r="D169" s="71"/>
      <c r="E169" s="71"/>
      <c r="F169" s="71"/>
      <c r="G169" s="30"/>
      <c r="H169" s="77"/>
      <c r="I169" s="77"/>
      <c r="K169" s="3"/>
    </row>
    <row r="170" spans="1:11" s="58" customFormat="1">
      <c r="A170" s="50"/>
      <c r="B170" s="30"/>
      <c r="C170" s="70"/>
      <c r="D170" s="71"/>
      <c r="E170" s="71"/>
      <c r="F170" s="71"/>
      <c r="G170" s="30"/>
      <c r="H170" s="77"/>
      <c r="I170" s="77"/>
      <c r="K170" s="3"/>
    </row>
    <row r="171" spans="1:11" s="58" customFormat="1">
      <c r="A171" s="50"/>
      <c r="B171" s="30"/>
      <c r="C171" s="70"/>
      <c r="D171" s="71"/>
      <c r="E171" s="71"/>
      <c r="F171" s="71"/>
      <c r="G171" s="30"/>
      <c r="H171" s="77"/>
      <c r="I171" s="77"/>
      <c r="K171" s="3"/>
    </row>
    <row r="172" spans="1:11" s="58" customFormat="1">
      <c r="A172" s="50"/>
      <c r="B172" s="30"/>
      <c r="C172" s="70"/>
      <c r="D172" s="71"/>
      <c r="E172" s="71"/>
      <c r="F172" s="71"/>
      <c r="G172" s="30"/>
      <c r="H172" s="77"/>
      <c r="I172" s="77"/>
      <c r="K172" s="3"/>
    </row>
    <row r="173" spans="1:11" s="58" customFormat="1">
      <c r="A173" s="50"/>
      <c r="B173" s="30"/>
      <c r="C173" s="70"/>
      <c r="D173" s="71"/>
      <c r="E173" s="71"/>
      <c r="F173" s="71"/>
      <c r="G173" s="30"/>
      <c r="H173" s="77"/>
      <c r="I173" s="77"/>
      <c r="K173" s="3"/>
    </row>
    <row r="174" spans="1:11" s="58" customFormat="1">
      <c r="A174" s="50"/>
      <c r="B174" s="30"/>
      <c r="C174" s="70"/>
      <c r="D174" s="71"/>
      <c r="E174" s="71"/>
      <c r="F174" s="71"/>
      <c r="G174" s="30"/>
      <c r="H174" s="77"/>
      <c r="I174" s="77"/>
      <c r="K174" s="3"/>
    </row>
    <row r="175" spans="1:11" s="58" customFormat="1">
      <c r="A175" s="50"/>
      <c r="B175" s="30"/>
      <c r="C175" s="70"/>
      <c r="D175" s="71"/>
      <c r="E175" s="71"/>
      <c r="F175" s="71"/>
      <c r="G175" s="30"/>
      <c r="H175" s="77"/>
      <c r="I175" s="77"/>
      <c r="K175" s="3"/>
    </row>
    <row r="176" spans="1:11" s="58" customFormat="1">
      <c r="A176" s="50"/>
      <c r="B176" s="30"/>
      <c r="C176" s="70"/>
      <c r="D176" s="71"/>
      <c r="E176" s="71"/>
      <c r="F176" s="71"/>
      <c r="G176" s="30"/>
      <c r="H176" s="77"/>
      <c r="I176" s="77"/>
      <c r="K176" s="3"/>
    </row>
    <row r="177" spans="1:11" s="58" customFormat="1">
      <c r="A177" s="50"/>
      <c r="B177" s="30"/>
      <c r="C177" s="70"/>
      <c r="D177" s="71"/>
      <c r="E177" s="71"/>
      <c r="F177" s="71"/>
      <c r="G177" s="30"/>
      <c r="H177" s="77"/>
      <c r="I177" s="77"/>
      <c r="K177" s="3"/>
    </row>
    <row r="178" spans="1:11" s="58" customFormat="1">
      <c r="A178" s="50"/>
      <c r="B178" s="30"/>
      <c r="C178" s="70"/>
      <c r="D178" s="71"/>
      <c r="E178" s="71"/>
      <c r="F178" s="71"/>
      <c r="G178" s="30"/>
      <c r="H178" s="77"/>
      <c r="I178" s="77"/>
      <c r="K178" s="3"/>
    </row>
    <row r="179" spans="1:11" s="58" customFormat="1">
      <c r="A179" s="50"/>
      <c r="B179" s="30"/>
      <c r="C179" s="70"/>
      <c r="D179" s="71"/>
      <c r="E179" s="71"/>
      <c r="F179" s="71"/>
      <c r="G179" s="30"/>
      <c r="H179" s="77"/>
      <c r="I179" s="77"/>
      <c r="K179" s="3"/>
    </row>
    <row r="180" spans="1:11" s="58" customFormat="1">
      <c r="A180" s="50"/>
      <c r="B180" s="30"/>
      <c r="C180" s="70"/>
      <c r="D180" s="71"/>
      <c r="E180" s="71"/>
      <c r="F180" s="71"/>
      <c r="G180" s="30"/>
      <c r="H180" s="77"/>
      <c r="I180" s="77"/>
      <c r="K180" s="3"/>
    </row>
    <row r="181" spans="1:11" s="58" customFormat="1">
      <c r="A181" s="50"/>
      <c r="B181" s="30"/>
      <c r="C181" s="70"/>
      <c r="D181" s="71"/>
      <c r="E181" s="71"/>
      <c r="F181" s="71"/>
      <c r="G181" s="30"/>
      <c r="H181" s="77"/>
      <c r="I181" s="77"/>
      <c r="K181" s="3"/>
    </row>
    <row r="182" spans="1:11" s="58" customFormat="1">
      <c r="A182" s="50"/>
      <c r="B182" s="30"/>
      <c r="C182" s="70"/>
      <c r="D182" s="71"/>
      <c r="E182" s="71"/>
      <c r="F182" s="71"/>
      <c r="G182" s="30"/>
      <c r="H182" s="77"/>
      <c r="I182" s="77"/>
      <c r="K182" s="3"/>
    </row>
    <row r="183" spans="1:11" s="58" customFormat="1">
      <c r="A183" s="50"/>
      <c r="B183" s="30"/>
      <c r="C183" s="70"/>
      <c r="D183" s="71"/>
      <c r="E183" s="71"/>
      <c r="F183" s="71"/>
      <c r="G183" s="30"/>
      <c r="H183" s="77"/>
      <c r="I183" s="77"/>
      <c r="K183" s="3"/>
    </row>
    <row r="184" spans="1:11" s="58" customFormat="1">
      <c r="A184" s="50"/>
      <c r="B184" s="30"/>
      <c r="C184" s="70"/>
      <c r="D184" s="71"/>
      <c r="E184" s="71"/>
      <c r="F184" s="71"/>
      <c r="G184" s="30"/>
      <c r="H184" s="77"/>
      <c r="I184" s="77"/>
      <c r="K184" s="3"/>
    </row>
    <row r="185" spans="1:11" s="58" customFormat="1">
      <c r="A185" s="50"/>
      <c r="B185" s="30"/>
      <c r="C185" s="70"/>
      <c r="D185" s="71"/>
      <c r="E185" s="71"/>
      <c r="F185" s="71"/>
      <c r="G185" s="30"/>
      <c r="H185" s="77"/>
      <c r="I185" s="77"/>
      <c r="K185" s="3"/>
    </row>
    <row r="186" spans="1:11" s="58" customFormat="1">
      <c r="A186" s="50"/>
      <c r="B186" s="30"/>
      <c r="C186" s="70"/>
      <c r="D186" s="71"/>
      <c r="E186" s="71"/>
      <c r="F186" s="71"/>
      <c r="G186" s="30"/>
      <c r="H186" s="77"/>
      <c r="I186" s="77"/>
      <c r="K186" s="3"/>
    </row>
    <row r="187" spans="1:11" s="58" customFormat="1">
      <c r="A187" s="50"/>
      <c r="B187" s="30"/>
      <c r="C187" s="70"/>
      <c r="D187" s="71"/>
      <c r="E187" s="71"/>
      <c r="F187" s="71"/>
      <c r="G187" s="30"/>
      <c r="H187" s="77"/>
      <c r="I187" s="77"/>
      <c r="K187" s="3"/>
    </row>
    <row r="188" spans="1:11" s="58" customFormat="1">
      <c r="A188" s="50"/>
      <c r="B188" s="30"/>
      <c r="C188" s="70"/>
      <c r="D188" s="71"/>
      <c r="E188" s="71"/>
      <c r="F188" s="71"/>
      <c r="G188" s="30"/>
      <c r="H188" s="77"/>
      <c r="I188" s="77"/>
      <c r="K188" s="3"/>
    </row>
    <row r="189" spans="1:11" s="58" customFormat="1">
      <c r="A189" s="50"/>
      <c r="B189" s="30"/>
      <c r="C189" s="70"/>
      <c r="D189" s="71"/>
      <c r="E189" s="71"/>
      <c r="F189" s="71"/>
      <c r="G189" s="30"/>
      <c r="H189" s="77"/>
      <c r="I189" s="77"/>
      <c r="K189" s="3"/>
    </row>
    <row r="190" spans="1:11" s="58" customFormat="1">
      <c r="A190" s="50"/>
      <c r="B190" s="30"/>
      <c r="C190" s="70"/>
      <c r="D190" s="71"/>
      <c r="E190" s="71"/>
      <c r="F190" s="71"/>
      <c r="G190" s="30"/>
      <c r="H190" s="77"/>
      <c r="I190" s="77"/>
      <c r="K190" s="3"/>
    </row>
    <row r="191" spans="1:11" s="58" customFormat="1">
      <c r="A191" s="50"/>
      <c r="B191" s="30"/>
      <c r="C191" s="70"/>
      <c r="D191" s="71"/>
      <c r="E191" s="71"/>
      <c r="F191" s="71"/>
      <c r="G191" s="30"/>
      <c r="H191" s="77"/>
      <c r="I191" s="77"/>
      <c r="K191" s="3"/>
    </row>
    <row r="192" spans="1:11" s="58" customFormat="1">
      <c r="A192" s="50"/>
      <c r="B192" s="30"/>
      <c r="C192" s="70"/>
      <c r="D192" s="71"/>
      <c r="E192" s="71"/>
      <c r="F192" s="71"/>
      <c r="G192" s="30"/>
      <c r="H192" s="77"/>
      <c r="I192" s="77"/>
      <c r="K192" s="3"/>
    </row>
    <row r="193" spans="1:11" s="58" customFormat="1">
      <c r="A193" s="50"/>
      <c r="B193" s="30"/>
      <c r="C193" s="70"/>
      <c r="D193" s="71"/>
      <c r="E193" s="71"/>
      <c r="F193" s="71"/>
      <c r="G193" s="30"/>
      <c r="H193" s="77"/>
      <c r="I193" s="77"/>
      <c r="K193" s="3"/>
    </row>
    <row r="194" spans="1:11" s="58" customFormat="1">
      <c r="A194" s="50"/>
      <c r="B194" s="30"/>
      <c r="C194" s="70"/>
      <c r="D194" s="71"/>
      <c r="E194" s="71"/>
      <c r="F194" s="71"/>
      <c r="G194" s="30"/>
      <c r="H194" s="77"/>
      <c r="I194" s="77"/>
      <c r="K194" s="3"/>
    </row>
    <row r="195" spans="1:11" s="58" customFormat="1">
      <c r="A195" s="50"/>
      <c r="B195" s="30"/>
      <c r="C195" s="70"/>
      <c r="D195" s="71"/>
      <c r="E195" s="71"/>
      <c r="F195" s="71"/>
      <c r="G195" s="30"/>
      <c r="H195" s="77"/>
      <c r="I195" s="77"/>
      <c r="K195" s="3"/>
    </row>
    <row r="196" spans="1:11" s="58" customFormat="1">
      <c r="A196" s="50"/>
      <c r="B196" s="30"/>
      <c r="C196" s="70"/>
      <c r="D196" s="71"/>
      <c r="E196" s="71"/>
      <c r="F196" s="71"/>
      <c r="G196" s="30"/>
      <c r="H196" s="77"/>
      <c r="I196" s="77"/>
      <c r="K196" s="3"/>
    </row>
    <row r="197" spans="1:11" s="58" customFormat="1">
      <c r="A197" s="50"/>
      <c r="B197" s="30"/>
      <c r="C197" s="70"/>
      <c r="D197" s="71"/>
      <c r="E197" s="71"/>
      <c r="F197" s="71"/>
      <c r="G197" s="30"/>
      <c r="H197" s="77"/>
      <c r="I197" s="77"/>
      <c r="K197" s="3"/>
    </row>
    <row r="198" spans="1:11" s="58" customFormat="1">
      <c r="A198" s="50"/>
      <c r="B198" s="30"/>
      <c r="C198" s="70"/>
      <c r="D198" s="71"/>
      <c r="E198" s="71"/>
      <c r="F198" s="71"/>
      <c r="G198" s="30"/>
      <c r="H198" s="77"/>
      <c r="I198" s="77"/>
      <c r="K198" s="3"/>
    </row>
    <row r="199" spans="1:11" s="58" customFormat="1">
      <c r="A199" s="50"/>
      <c r="B199" s="30"/>
      <c r="C199" s="70"/>
      <c r="D199" s="71"/>
      <c r="E199" s="71"/>
      <c r="F199" s="71"/>
      <c r="G199" s="30"/>
      <c r="H199" s="77"/>
      <c r="I199" s="77"/>
      <c r="K199" s="3"/>
    </row>
    <row r="200" spans="1:11" s="58" customFormat="1">
      <c r="A200" s="50"/>
      <c r="B200" s="30"/>
      <c r="C200" s="70"/>
      <c r="D200" s="71"/>
      <c r="E200" s="71"/>
      <c r="F200" s="71"/>
      <c r="G200" s="30"/>
      <c r="H200" s="77"/>
      <c r="I200" s="77"/>
      <c r="K200" s="3"/>
    </row>
    <row r="201" spans="1:11" s="58" customFormat="1">
      <c r="A201" s="50"/>
      <c r="B201" s="30"/>
      <c r="C201" s="70"/>
      <c r="D201" s="71"/>
      <c r="E201" s="71"/>
      <c r="F201" s="71"/>
      <c r="G201" s="30"/>
      <c r="H201" s="77"/>
      <c r="I201" s="77"/>
      <c r="K201" s="3"/>
    </row>
    <row r="202" spans="1:11" s="58" customFormat="1">
      <c r="A202" s="50"/>
      <c r="B202" s="30"/>
      <c r="C202" s="70"/>
      <c r="D202" s="71"/>
      <c r="E202" s="71"/>
      <c r="F202" s="71"/>
      <c r="G202" s="30"/>
      <c r="H202" s="77"/>
      <c r="I202" s="77"/>
      <c r="K202" s="3"/>
    </row>
    <row r="203" spans="1:11" s="58" customFormat="1">
      <c r="A203" s="50"/>
      <c r="B203" s="30"/>
      <c r="C203" s="70"/>
      <c r="D203" s="71"/>
      <c r="E203" s="71"/>
      <c r="F203" s="71"/>
      <c r="G203" s="30"/>
      <c r="H203" s="77"/>
      <c r="I203" s="77"/>
      <c r="K203" s="3"/>
    </row>
    <row r="204" spans="1:11" s="58" customFormat="1">
      <c r="A204" s="50"/>
      <c r="B204" s="30"/>
      <c r="C204" s="70"/>
      <c r="D204" s="71"/>
      <c r="E204" s="71"/>
      <c r="F204" s="71"/>
      <c r="G204" s="30"/>
      <c r="H204" s="77"/>
      <c r="I204" s="77"/>
      <c r="K204" s="3"/>
    </row>
    <row r="205" spans="1:11" s="58" customFormat="1">
      <c r="A205" s="50"/>
      <c r="B205" s="30"/>
      <c r="C205" s="70"/>
      <c r="D205" s="71"/>
      <c r="E205" s="71"/>
      <c r="F205" s="71"/>
      <c r="G205" s="30"/>
      <c r="H205" s="77"/>
      <c r="I205" s="77"/>
      <c r="K205" s="3"/>
    </row>
    <row r="206" spans="1:11" s="58" customFormat="1">
      <c r="A206" s="50"/>
      <c r="B206" s="30"/>
      <c r="C206" s="70"/>
      <c r="D206" s="71"/>
      <c r="E206" s="71"/>
      <c r="F206" s="71"/>
      <c r="G206" s="30"/>
      <c r="H206" s="77"/>
      <c r="I206" s="77"/>
      <c r="K206" s="3"/>
    </row>
    <row r="207" spans="1:11" s="58" customFormat="1">
      <c r="A207" s="50"/>
      <c r="B207" s="30"/>
      <c r="C207" s="70"/>
      <c r="D207" s="71"/>
      <c r="E207" s="71"/>
      <c r="F207" s="71"/>
      <c r="G207" s="30"/>
      <c r="H207" s="77"/>
      <c r="I207" s="77"/>
      <c r="K207" s="3"/>
    </row>
    <row r="208" spans="1:11" s="58" customFormat="1">
      <c r="A208" s="50"/>
      <c r="B208" s="30"/>
      <c r="C208" s="70"/>
      <c r="D208" s="71"/>
      <c r="E208" s="71"/>
      <c r="F208" s="71"/>
      <c r="G208" s="30"/>
      <c r="H208" s="77"/>
      <c r="I208" s="77"/>
      <c r="K208" s="3"/>
    </row>
    <row r="209" spans="1:11" s="58" customFormat="1">
      <c r="A209" s="50"/>
      <c r="B209" s="30"/>
      <c r="C209" s="70"/>
      <c r="D209" s="71"/>
      <c r="E209" s="71"/>
      <c r="F209" s="71"/>
      <c r="G209" s="30"/>
      <c r="H209" s="77"/>
      <c r="I209" s="77"/>
      <c r="K209" s="3"/>
    </row>
    <row r="210" spans="1:11" s="58" customFormat="1">
      <c r="A210" s="50"/>
      <c r="B210" s="30"/>
      <c r="C210" s="70"/>
      <c r="D210" s="71"/>
      <c r="E210" s="71"/>
      <c r="F210" s="71"/>
      <c r="G210" s="30"/>
      <c r="H210" s="77"/>
      <c r="I210" s="77"/>
      <c r="K210" s="3"/>
    </row>
    <row r="211" spans="1:11" s="58" customFormat="1">
      <c r="A211" s="50"/>
      <c r="B211" s="30"/>
      <c r="C211" s="70"/>
      <c r="D211" s="71"/>
      <c r="E211" s="71"/>
      <c r="F211" s="71"/>
      <c r="G211" s="30"/>
      <c r="H211" s="77"/>
      <c r="I211" s="77"/>
      <c r="K211" s="3"/>
    </row>
    <row r="212" spans="1:11" s="58" customFormat="1">
      <c r="A212" s="50"/>
      <c r="B212" s="30"/>
      <c r="C212" s="70"/>
      <c r="D212" s="71"/>
      <c r="E212" s="71"/>
      <c r="F212" s="71"/>
      <c r="G212" s="30"/>
      <c r="H212" s="77"/>
      <c r="I212" s="77"/>
      <c r="K212" s="3"/>
    </row>
    <row r="213" spans="1:11" s="58" customFormat="1">
      <c r="A213" s="50"/>
      <c r="B213" s="30"/>
      <c r="C213" s="70"/>
      <c r="D213" s="71"/>
      <c r="E213" s="71"/>
      <c r="F213" s="71"/>
      <c r="G213" s="30"/>
      <c r="H213" s="77"/>
      <c r="I213" s="77"/>
      <c r="K213" s="3"/>
    </row>
    <row r="214" spans="1:11" s="58" customFormat="1">
      <c r="A214" s="50"/>
      <c r="B214" s="30"/>
      <c r="C214" s="70"/>
      <c r="D214" s="71"/>
      <c r="E214" s="71"/>
      <c r="F214" s="71"/>
      <c r="G214" s="30"/>
      <c r="H214" s="77"/>
      <c r="I214" s="77"/>
      <c r="K214" s="3"/>
    </row>
    <row r="215" spans="1:11" s="58" customFormat="1">
      <c r="A215" s="50"/>
      <c r="B215" s="30"/>
      <c r="C215" s="70"/>
      <c r="D215" s="71"/>
      <c r="E215" s="71"/>
      <c r="F215" s="71"/>
      <c r="G215" s="30"/>
      <c r="H215" s="77"/>
      <c r="I215" s="77"/>
      <c r="K215" s="3"/>
    </row>
    <row r="216" spans="1:11" s="58" customFormat="1">
      <c r="A216" s="50"/>
      <c r="B216" s="30"/>
      <c r="C216" s="70"/>
      <c r="D216" s="71"/>
      <c r="E216" s="71"/>
      <c r="F216" s="71"/>
      <c r="G216" s="30"/>
      <c r="H216" s="77"/>
      <c r="I216" s="77"/>
      <c r="K216" s="3"/>
    </row>
    <row r="217" spans="1:11" s="58" customFormat="1">
      <c r="A217" s="50"/>
      <c r="B217" s="30"/>
      <c r="C217" s="70"/>
      <c r="D217" s="71"/>
      <c r="E217" s="71"/>
      <c r="F217" s="71"/>
      <c r="G217" s="30"/>
      <c r="H217" s="77"/>
      <c r="I217" s="77"/>
      <c r="K217" s="3"/>
    </row>
    <row r="218" spans="1:11" s="58" customFormat="1">
      <c r="A218" s="50"/>
      <c r="B218" s="30"/>
      <c r="C218" s="70"/>
      <c r="D218" s="71"/>
      <c r="E218" s="71"/>
      <c r="F218" s="71"/>
      <c r="G218" s="30"/>
      <c r="H218" s="77"/>
      <c r="I218" s="77"/>
      <c r="K218" s="3"/>
    </row>
    <row r="219" spans="1:11" s="58" customFormat="1">
      <c r="A219" s="50"/>
      <c r="B219" s="30"/>
      <c r="C219" s="70"/>
      <c r="D219" s="71"/>
      <c r="E219" s="71"/>
      <c r="F219" s="71"/>
      <c r="G219" s="30"/>
      <c r="H219" s="77"/>
      <c r="I219" s="77"/>
      <c r="K219" s="3"/>
    </row>
    <row r="220" spans="1:11" s="58" customFormat="1">
      <c r="A220" s="50"/>
      <c r="B220" s="30"/>
      <c r="C220" s="70"/>
      <c r="D220" s="71"/>
      <c r="E220" s="71"/>
      <c r="F220" s="71"/>
      <c r="G220" s="30"/>
      <c r="H220" s="77"/>
      <c r="I220" s="77"/>
      <c r="K220" s="3"/>
    </row>
    <row r="221" spans="1:11" s="58" customFormat="1">
      <c r="A221" s="50"/>
      <c r="B221" s="30"/>
      <c r="C221" s="70"/>
      <c r="D221" s="71"/>
      <c r="E221" s="71"/>
      <c r="F221" s="71"/>
      <c r="G221" s="30"/>
      <c r="H221" s="77"/>
      <c r="I221" s="77"/>
      <c r="K221" s="3"/>
    </row>
    <row r="222" spans="1:11" s="58" customFormat="1">
      <c r="A222" s="50"/>
      <c r="B222" s="30"/>
      <c r="C222" s="70"/>
      <c r="D222" s="71"/>
      <c r="E222" s="71"/>
      <c r="F222" s="71"/>
      <c r="G222" s="30"/>
      <c r="H222" s="77"/>
      <c r="I222" s="77"/>
      <c r="K222" s="3"/>
    </row>
    <row r="223" spans="1:11" s="58" customFormat="1">
      <c r="A223" s="50"/>
      <c r="B223" s="30"/>
      <c r="C223" s="70"/>
      <c r="D223" s="71"/>
      <c r="E223" s="71"/>
      <c r="F223" s="71"/>
      <c r="G223" s="30"/>
      <c r="H223" s="77"/>
      <c r="I223" s="77"/>
      <c r="K223" s="3"/>
    </row>
    <row r="224" spans="1:11" s="58" customFormat="1">
      <c r="A224" s="50"/>
      <c r="B224" s="30"/>
      <c r="C224" s="70"/>
      <c r="D224" s="71"/>
      <c r="E224" s="71"/>
      <c r="F224" s="71"/>
      <c r="G224" s="30"/>
      <c r="H224" s="77"/>
      <c r="I224" s="77"/>
      <c r="K224" s="3"/>
    </row>
    <row r="225" spans="1:11" s="58" customFormat="1">
      <c r="A225" s="50"/>
      <c r="B225" s="30"/>
      <c r="C225" s="70"/>
      <c r="D225" s="71"/>
      <c r="E225" s="71"/>
      <c r="F225" s="71"/>
      <c r="G225" s="30"/>
      <c r="H225" s="77"/>
      <c r="I225" s="77"/>
      <c r="K225" s="3"/>
    </row>
    <row r="226" spans="1:11" s="58" customFormat="1">
      <c r="A226" s="50"/>
      <c r="B226" s="30"/>
      <c r="C226" s="70"/>
      <c r="D226" s="71"/>
      <c r="E226" s="71"/>
      <c r="F226" s="71"/>
      <c r="G226" s="30"/>
      <c r="H226" s="77"/>
      <c r="I226" s="77"/>
      <c r="K226" s="3"/>
    </row>
    <row r="227" spans="1:11" s="58" customFormat="1">
      <c r="A227" s="50"/>
      <c r="B227" s="30"/>
      <c r="C227" s="70"/>
      <c r="D227" s="71"/>
      <c r="E227" s="71"/>
      <c r="F227" s="71"/>
      <c r="G227" s="30"/>
      <c r="H227" s="77"/>
      <c r="I227" s="77"/>
      <c r="K227" s="3"/>
    </row>
    <row r="228" spans="1:11" s="58" customFormat="1">
      <c r="A228" s="50"/>
      <c r="B228" s="30"/>
      <c r="C228" s="70"/>
      <c r="D228" s="71"/>
      <c r="E228" s="71"/>
      <c r="F228" s="71"/>
      <c r="G228" s="30"/>
      <c r="H228" s="77"/>
      <c r="I228" s="77"/>
      <c r="K228" s="3"/>
    </row>
    <row r="229" spans="1:11" s="58" customFormat="1">
      <c r="A229" s="50"/>
      <c r="B229" s="30"/>
      <c r="C229" s="70"/>
      <c r="D229" s="71"/>
      <c r="E229" s="71"/>
      <c r="F229" s="71"/>
      <c r="G229" s="30"/>
      <c r="H229" s="77"/>
      <c r="I229" s="77"/>
      <c r="K229" s="3"/>
    </row>
    <row r="230" spans="1:11" s="58" customFormat="1">
      <c r="A230" s="50"/>
      <c r="B230" s="30"/>
      <c r="C230" s="70"/>
      <c r="D230" s="71"/>
      <c r="E230" s="71"/>
      <c r="F230" s="71"/>
      <c r="G230" s="30"/>
      <c r="H230" s="77"/>
      <c r="I230" s="77"/>
      <c r="K230" s="3"/>
    </row>
    <row r="231" spans="1:11" s="58" customFormat="1">
      <c r="A231" s="50"/>
      <c r="B231" s="30"/>
      <c r="C231" s="70"/>
      <c r="D231" s="71"/>
      <c r="E231" s="71"/>
      <c r="F231" s="71"/>
      <c r="G231" s="30"/>
      <c r="H231" s="77"/>
      <c r="I231" s="77"/>
      <c r="K231" s="3"/>
    </row>
    <row r="232" spans="1:11" s="58" customFormat="1">
      <c r="A232" s="50"/>
      <c r="B232" s="30"/>
      <c r="C232" s="70"/>
      <c r="D232" s="71"/>
      <c r="E232" s="71"/>
      <c r="F232" s="71"/>
      <c r="G232" s="30"/>
      <c r="H232" s="77"/>
      <c r="I232" s="77"/>
      <c r="K232" s="3"/>
    </row>
    <row r="233" spans="1:11" s="58" customFormat="1">
      <c r="A233" s="50"/>
      <c r="B233" s="30"/>
      <c r="C233" s="70"/>
      <c r="D233" s="71"/>
      <c r="E233" s="71"/>
      <c r="F233" s="71"/>
      <c r="G233" s="30"/>
      <c r="H233" s="77"/>
      <c r="I233" s="77"/>
      <c r="K233" s="3"/>
    </row>
    <row r="234" spans="1:11" s="58" customFormat="1">
      <c r="A234" s="50"/>
      <c r="B234" s="30"/>
      <c r="C234" s="70"/>
      <c r="D234" s="71"/>
      <c r="E234" s="71"/>
      <c r="F234" s="71"/>
      <c r="G234" s="30"/>
      <c r="H234" s="77"/>
      <c r="I234" s="77"/>
      <c r="K234" s="3"/>
    </row>
    <row r="235" spans="1:11" s="58" customFormat="1">
      <c r="A235" s="50"/>
      <c r="B235" s="30"/>
      <c r="C235" s="70"/>
      <c r="D235" s="71"/>
      <c r="E235" s="71"/>
      <c r="F235" s="71"/>
      <c r="G235" s="30"/>
      <c r="H235" s="77"/>
      <c r="I235" s="77"/>
      <c r="K235" s="3"/>
    </row>
    <row r="236" spans="1:11" s="58" customFormat="1">
      <c r="A236" s="50"/>
      <c r="B236" s="30"/>
      <c r="C236" s="70"/>
      <c r="D236" s="71"/>
      <c r="E236" s="71"/>
      <c r="F236" s="71"/>
      <c r="G236" s="30"/>
      <c r="H236" s="77"/>
      <c r="I236" s="77"/>
      <c r="K236" s="3"/>
    </row>
    <row r="237" spans="1:11" s="58" customFormat="1">
      <c r="A237" s="50"/>
      <c r="B237" s="30"/>
      <c r="C237" s="70"/>
      <c r="D237" s="71"/>
      <c r="E237" s="71"/>
      <c r="F237" s="71"/>
      <c r="G237" s="30"/>
      <c r="H237" s="77"/>
      <c r="I237" s="77"/>
      <c r="K237" s="3"/>
    </row>
    <row r="238" spans="1:11" s="58" customFormat="1">
      <c r="A238" s="50"/>
      <c r="B238" s="30"/>
      <c r="C238" s="70"/>
      <c r="D238" s="71"/>
      <c r="E238" s="71"/>
      <c r="F238" s="71"/>
      <c r="G238" s="30"/>
      <c r="H238" s="77"/>
      <c r="I238" s="77"/>
      <c r="K238" s="3"/>
    </row>
    <row r="239" spans="1:11" s="58" customFormat="1">
      <c r="A239" s="50"/>
      <c r="B239" s="30"/>
      <c r="C239" s="70"/>
      <c r="D239" s="71"/>
      <c r="E239" s="71"/>
      <c r="F239" s="71"/>
      <c r="G239" s="30"/>
      <c r="H239" s="77"/>
      <c r="I239" s="77"/>
      <c r="K239" s="3"/>
    </row>
    <row r="240" spans="1:11" s="58" customFormat="1">
      <c r="A240" s="50"/>
      <c r="B240" s="30"/>
      <c r="C240" s="70"/>
      <c r="D240" s="71"/>
      <c r="E240" s="71"/>
      <c r="F240" s="71"/>
      <c r="G240" s="30"/>
      <c r="H240" s="77"/>
      <c r="I240" s="77"/>
      <c r="K240" s="3"/>
    </row>
    <row r="241" spans="1:11" s="58" customFormat="1">
      <c r="A241" s="50"/>
      <c r="B241" s="30"/>
      <c r="C241" s="70"/>
      <c r="D241" s="71"/>
      <c r="E241" s="71"/>
      <c r="F241" s="71"/>
      <c r="G241" s="30"/>
      <c r="H241" s="77"/>
      <c r="I241" s="77"/>
      <c r="K241" s="3"/>
    </row>
    <row r="242" spans="1:11" s="58" customFormat="1">
      <c r="A242" s="50"/>
      <c r="B242" s="30"/>
      <c r="C242" s="70"/>
      <c r="D242" s="71"/>
      <c r="E242" s="71"/>
      <c r="F242" s="71"/>
      <c r="G242" s="30"/>
      <c r="H242" s="77"/>
      <c r="I242" s="77"/>
      <c r="K242" s="3"/>
    </row>
    <row r="243" spans="1:11" s="58" customFormat="1">
      <c r="A243" s="50"/>
      <c r="B243" s="30"/>
      <c r="C243" s="70"/>
      <c r="D243" s="71"/>
      <c r="E243" s="71"/>
      <c r="F243" s="71"/>
      <c r="G243" s="30"/>
      <c r="H243" s="77"/>
      <c r="I243" s="77"/>
      <c r="K243" s="3"/>
    </row>
    <row r="244" spans="1:11" s="58" customFormat="1">
      <c r="A244" s="50"/>
      <c r="B244" s="30"/>
      <c r="C244" s="70"/>
      <c r="D244" s="71"/>
      <c r="E244" s="71"/>
      <c r="F244" s="71"/>
      <c r="G244" s="30"/>
      <c r="H244" s="77"/>
      <c r="I244" s="77"/>
      <c r="K244" s="3"/>
    </row>
    <row r="245" spans="1:11" s="58" customFormat="1">
      <c r="A245" s="50"/>
      <c r="B245" s="30"/>
      <c r="C245" s="70"/>
      <c r="D245" s="71"/>
      <c r="E245" s="71"/>
      <c r="F245" s="71"/>
      <c r="G245" s="30"/>
      <c r="H245" s="77"/>
      <c r="I245" s="77"/>
      <c r="K245" s="3"/>
    </row>
    <row r="246" spans="1:11" s="58" customFormat="1">
      <c r="A246" s="50"/>
      <c r="B246" s="30"/>
      <c r="C246" s="70"/>
      <c r="D246" s="71"/>
      <c r="E246" s="71"/>
      <c r="F246" s="71"/>
      <c r="G246" s="30"/>
      <c r="H246" s="77"/>
      <c r="I246" s="77"/>
      <c r="K246" s="3"/>
    </row>
    <row r="247" spans="1:11" s="58" customFormat="1">
      <c r="A247" s="50"/>
      <c r="B247" s="30"/>
      <c r="C247" s="70"/>
      <c r="D247" s="71"/>
      <c r="E247" s="71"/>
      <c r="F247" s="71"/>
      <c r="G247" s="30"/>
      <c r="H247" s="77"/>
      <c r="I247" s="77"/>
      <c r="K247" s="3"/>
    </row>
    <row r="248" spans="1:11" s="58" customFormat="1">
      <c r="A248" s="50"/>
      <c r="B248" s="30"/>
      <c r="C248" s="70"/>
      <c r="D248" s="71"/>
      <c r="E248" s="71"/>
      <c r="F248" s="71"/>
      <c r="G248" s="30"/>
      <c r="H248" s="77"/>
      <c r="I248" s="77"/>
      <c r="K248" s="3"/>
    </row>
    <row r="249" spans="1:11" s="58" customFormat="1">
      <c r="A249" s="50"/>
      <c r="B249" s="30"/>
      <c r="C249" s="70"/>
      <c r="D249" s="71"/>
      <c r="E249" s="71"/>
      <c r="F249" s="71"/>
      <c r="G249" s="30"/>
      <c r="H249" s="77"/>
      <c r="I249" s="77"/>
      <c r="K249" s="3"/>
    </row>
    <row r="250" spans="1:11" s="58" customFormat="1">
      <c r="A250" s="50"/>
      <c r="B250" s="30"/>
      <c r="C250" s="70"/>
      <c r="D250" s="71"/>
      <c r="E250" s="71"/>
      <c r="F250" s="71"/>
      <c r="G250" s="30"/>
      <c r="H250" s="77"/>
      <c r="I250" s="77"/>
      <c r="K250" s="3"/>
    </row>
    <row r="251" spans="1:11" s="58" customFormat="1">
      <c r="A251" s="50"/>
      <c r="B251" s="30"/>
      <c r="C251" s="70"/>
      <c r="D251" s="71"/>
      <c r="E251" s="71"/>
      <c r="F251" s="71"/>
      <c r="G251" s="30"/>
      <c r="H251" s="77"/>
      <c r="I251" s="77"/>
      <c r="K251" s="3"/>
    </row>
    <row r="252" spans="1:11" s="58" customFormat="1">
      <c r="A252" s="50"/>
      <c r="B252" s="30"/>
      <c r="C252" s="70"/>
      <c r="D252" s="71"/>
      <c r="E252" s="71"/>
      <c r="F252" s="71"/>
      <c r="G252" s="30"/>
      <c r="H252" s="77"/>
      <c r="I252" s="77"/>
      <c r="K252" s="3"/>
    </row>
    <row r="253" spans="1:11" s="58" customFormat="1">
      <c r="A253" s="50"/>
      <c r="B253" s="30"/>
      <c r="C253" s="70"/>
      <c r="D253" s="71"/>
      <c r="E253" s="71"/>
      <c r="F253" s="71"/>
      <c r="G253" s="30"/>
      <c r="H253" s="77"/>
      <c r="I253" s="77"/>
      <c r="K253" s="3"/>
    </row>
    <row r="254" spans="1:11" s="58" customFormat="1">
      <c r="A254" s="50"/>
      <c r="B254" s="30"/>
      <c r="C254" s="70"/>
      <c r="D254" s="71"/>
      <c r="E254" s="71"/>
      <c r="F254" s="71"/>
      <c r="G254" s="30"/>
      <c r="H254" s="77"/>
      <c r="I254" s="77"/>
      <c r="K254" s="3"/>
    </row>
    <row r="255" spans="1:11" s="58" customFormat="1">
      <c r="A255" s="50"/>
      <c r="B255" s="30"/>
      <c r="C255" s="70"/>
      <c r="D255" s="71"/>
      <c r="E255" s="71"/>
      <c r="F255" s="71"/>
      <c r="G255" s="30"/>
      <c r="H255" s="77"/>
      <c r="I255" s="77"/>
      <c r="K255" s="3"/>
    </row>
    <row r="256" spans="1:11" s="58" customFormat="1">
      <c r="A256" s="50"/>
      <c r="B256" s="30"/>
      <c r="C256" s="70"/>
      <c r="D256" s="71"/>
      <c r="E256" s="71"/>
      <c r="F256" s="71"/>
      <c r="G256" s="30"/>
      <c r="H256" s="77"/>
      <c r="I256" s="77"/>
      <c r="K256" s="3"/>
    </row>
    <row r="257" spans="1:11" s="58" customFormat="1">
      <c r="A257" s="50"/>
      <c r="B257" s="30"/>
      <c r="C257" s="70"/>
      <c r="D257" s="71"/>
      <c r="E257" s="71"/>
      <c r="F257" s="71"/>
      <c r="G257" s="30"/>
      <c r="H257" s="77"/>
      <c r="I257" s="77"/>
      <c r="K257" s="3"/>
    </row>
    <row r="258" spans="1:11" s="58" customFormat="1">
      <c r="A258" s="50"/>
      <c r="B258" s="30"/>
      <c r="C258" s="70"/>
      <c r="D258" s="71"/>
      <c r="E258" s="71"/>
      <c r="F258" s="71"/>
      <c r="G258" s="30"/>
      <c r="H258" s="77"/>
      <c r="I258" s="77"/>
      <c r="K258" s="3"/>
    </row>
    <row r="259" spans="1:11" s="71" customFormat="1">
      <c r="A259" s="50"/>
      <c r="B259" s="30"/>
      <c r="C259" s="70"/>
      <c r="G259" s="30"/>
      <c r="H259" s="77"/>
      <c r="I259" s="77"/>
      <c r="J259" s="58"/>
      <c r="K259" s="3"/>
    </row>
    <row r="260" spans="1:11" s="71" customFormat="1">
      <c r="A260" s="50"/>
      <c r="B260" s="30"/>
      <c r="C260" s="70"/>
      <c r="G260" s="30"/>
      <c r="H260" s="77"/>
      <c r="I260" s="77"/>
      <c r="J260" s="58"/>
      <c r="K260" s="3"/>
    </row>
    <row r="261" spans="1:11" s="71" customFormat="1">
      <c r="A261" s="50"/>
      <c r="B261" s="30"/>
      <c r="C261" s="70"/>
      <c r="G261" s="30"/>
      <c r="H261" s="77"/>
      <c r="I261" s="77"/>
      <c r="J261" s="58"/>
      <c r="K261" s="3"/>
    </row>
    <row r="262" spans="1:11" s="71" customFormat="1">
      <c r="A262" s="50"/>
      <c r="B262" s="30"/>
      <c r="C262" s="70"/>
      <c r="G262" s="30"/>
      <c r="H262" s="77"/>
      <c r="I262" s="77"/>
      <c r="J262" s="58"/>
      <c r="K262" s="3"/>
    </row>
    <row r="263" spans="1:11" s="71" customFormat="1">
      <c r="A263" s="50"/>
      <c r="B263" s="30"/>
      <c r="C263" s="70"/>
      <c r="G263" s="30"/>
      <c r="H263" s="77"/>
      <c r="I263" s="77"/>
      <c r="J263" s="58"/>
      <c r="K263" s="3"/>
    </row>
    <row r="264" spans="1:11" s="71" customFormat="1">
      <c r="A264" s="50"/>
      <c r="B264" s="30"/>
      <c r="C264" s="70"/>
      <c r="G264" s="30"/>
      <c r="H264" s="77"/>
      <c r="I264" s="77"/>
      <c r="J264" s="58"/>
      <c r="K264" s="3"/>
    </row>
    <row r="265" spans="1:11" s="71" customFormat="1">
      <c r="A265" s="50"/>
      <c r="B265" s="30"/>
      <c r="C265" s="70"/>
      <c r="G265" s="30"/>
      <c r="H265" s="77"/>
      <c r="I265" s="77"/>
      <c r="J265" s="58"/>
      <c r="K265" s="3"/>
    </row>
    <row r="266" spans="1:11" s="71" customFormat="1">
      <c r="A266" s="50"/>
      <c r="B266" s="30"/>
      <c r="C266" s="70"/>
      <c r="G266" s="30"/>
      <c r="H266" s="77"/>
      <c r="I266" s="77"/>
      <c r="J266" s="58"/>
      <c r="K266" s="3"/>
    </row>
    <row r="267" spans="1:11" s="71" customFormat="1">
      <c r="A267" s="50"/>
      <c r="B267" s="30"/>
      <c r="C267" s="70"/>
      <c r="G267" s="30"/>
      <c r="H267" s="77"/>
      <c r="I267" s="77"/>
      <c r="J267" s="58"/>
      <c r="K267" s="3"/>
    </row>
    <row r="268" spans="1:11" s="71" customFormat="1">
      <c r="A268" s="50"/>
      <c r="B268" s="30"/>
      <c r="C268" s="70"/>
      <c r="G268" s="30"/>
      <c r="H268" s="77"/>
      <c r="I268" s="77"/>
      <c r="J268" s="58"/>
      <c r="K268" s="3"/>
    </row>
    <row r="269" spans="1:11" s="71" customFormat="1">
      <c r="A269" s="50"/>
      <c r="B269" s="30"/>
      <c r="C269" s="70"/>
      <c r="G269" s="30"/>
      <c r="H269" s="77"/>
      <c r="I269" s="77"/>
      <c r="J269" s="58"/>
      <c r="K269" s="3"/>
    </row>
    <row r="270" spans="1:11" s="71" customFormat="1">
      <c r="A270" s="50"/>
      <c r="B270" s="30"/>
      <c r="C270" s="70"/>
      <c r="G270" s="30"/>
      <c r="H270" s="77"/>
      <c r="I270" s="77"/>
      <c r="J270" s="58"/>
      <c r="K270" s="3"/>
    </row>
    <row r="271" spans="1:11" s="71" customFormat="1">
      <c r="A271" s="50"/>
      <c r="B271" s="30"/>
      <c r="C271" s="70"/>
      <c r="G271" s="30"/>
      <c r="H271" s="77"/>
      <c r="I271" s="77"/>
      <c r="J271" s="58"/>
      <c r="K271" s="3"/>
    </row>
    <row r="272" spans="1:11" s="71" customFormat="1">
      <c r="A272" s="50"/>
      <c r="B272" s="30"/>
      <c r="C272" s="70"/>
      <c r="G272" s="30"/>
      <c r="H272" s="77"/>
      <c r="I272" s="77"/>
      <c r="J272" s="58"/>
      <c r="K272" s="3"/>
    </row>
    <row r="273" spans="1:11" s="71" customFormat="1">
      <c r="A273" s="50"/>
      <c r="B273" s="30"/>
      <c r="C273" s="70"/>
      <c r="G273" s="30"/>
      <c r="H273" s="77"/>
      <c r="I273" s="77"/>
      <c r="J273" s="58"/>
      <c r="K273" s="3"/>
    </row>
    <row r="274" spans="1:11" s="71" customFormat="1">
      <c r="A274" s="50"/>
      <c r="B274" s="30"/>
      <c r="C274" s="70"/>
      <c r="G274" s="30"/>
      <c r="H274" s="77"/>
      <c r="I274" s="77"/>
      <c r="J274" s="58"/>
      <c r="K274" s="3"/>
    </row>
    <row r="275" spans="1:11" s="71" customFormat="1">
      <c r="A275" s="50"/>
      <c r="B275" s="30"/>
      <c r="C275" s="70"/>
      <c r="G275" s="30"/>
      <c r="H275" s="77"/>
      <c r="I275" s="77"/>
      <c r="J275" s="58"/>
      <c r="K275" s="3"/>
    </row>
    <row r="276" spans="1:11" s="71" customFormat="1">
      <c r="A276" s="50"/>
      <c r="B276" s="30"/>
      <c r="C276" s="70"/>
      <c r="G276" s="30"/>
      <c r="H276" s="77"/>
      <c r="I276" s="77"/>
      <c r="J276" s="58"/>
      <c r="K276" s="3"/>
    </row>
    <row r="277" spans="1:11" s="71" customFormat="1">
      <c r="A277" s="50"/>
      <c r="B277" s="30"/>
      <c r="C277" s="70"/>
      <c r="G277" s="30"/>
      <c r="H277" s="77"/>
      <c r="I277" s="77"/>
      <c r="J277" s="58"/>
      <c r="K277" s="3"/>
    </row>
    <row r="278" spans="1:11" s="71" customFormat="1">
      <c r="A278" s="50"/>
      <c r="B278" s="30"/>
      <c r="C278" s="70"/>
      <c r="G278" s="30"/>
      <c r="H278" s="77"/>
      <c r="I278" s="77"/>
      <c r="J278" s="58"/>
      <c r="K278" s="3"/>
    </row>
    <row r="279" spans="1:11" s="71" customFormat="1">
      <c r="A279" s="50"/>
      <c r="B279" s="30"/>
      <c r="C279" s="70"/>
      <c r="G279" s="30"/>
      <c r="H279" s="77"/>
      <c r="I279" s="77"/>
      <c r="J279" s="58"/>
      <c r="K279" s="3"/>
    </row>
    <row r="280" spans="1:11" s="71" customFormat="1">
      <c r="A280" s="50"/>
      <c r="B280" s="30"/>
      <c r="C280" s="70"/>
      <c r="G280" s="30"/>
      <c r="H280" s="77"/>
      <c r="I280" s="77"/>
      <c r="J280" s="58"/>
      <c r="K280" s="3"/>
    </row>
    <row r="281" spans="1:11" s="71" customFormat="1">
      <c r="A281" s="50"/>
      <c r="B281" s="30"/>
      <c r="C281" s="70"/>
      <c r="G281" s="30"/>
      <c r="H281" s="77"/>
      <c r="I281" s="77"/>
      <c r="J281" s="58"/>
      <c r="K281" s="3"/>
    </row>
    <row r="282" spans="1:11" s="71" customFormat="1">
      <c r="A282" s="50"/>
      <c r="B282" s="30"/>
      <c r="C282" s="70"/>
      <c r="G282" s="30"/>
      <c r="H282" s="77"/>
      <c r="I282" s="77"/>
      <c r="J282" s="58"/>
      <c r="K282" s="3"/>
    </row>
    <row r="283" spans="1:11" s="71" customFormat="1">
      <c r="A283" s="50"/>
      <c r="B283" s="30"/>
      <c r="C283" s="70"/>
      <c r="G283" s="30"/>
      <c r="H283" s="77"/>
      <c r="I283" s="77"/>
      <c r="J283" s="58"/>
      <c r="K283" s="3"/>
    </row>
    <row r="284" spans="1:11" s="71" customFormat="1">
      <c r="A284" s="50"/>
      <c r="B284" s="30"/>
      <c r="C284" s="70"/>
      <c r="G284" s="30"/>
      <c r="H284" s="77"/>
      <c r="I284" s="77"/>
      <c r="J284" s="58"/>
      <c r="K284" s="3"/>
    </row>
    <row r="285" spans="1:11" s="71" customFormat="1">
      <c r="A285" s="50"/>
      <c r="B285" s="30"/>
      <c r="C285" s="70"/>
      <c r="G285" s="30"/>
      <c r="H285" s="77"/>
      <c r="I285" s="77"/>
      <c r="J285" s="58"/>
      <c r="K285" s="3"/>
    </row>
    <row r="286" spans="1:11" s="71" customFormat="1">
      <c r="A286" s="50"/>
      <c r="B286" s="30"/>
      <c r="C286" s="70"/>
      <c r="G286" s="30"/>
      <c r="H286" s="77"/>
      <c r="I286" s="77"/>
      <c r="J286" s="58"/>
      <c r="K286" s="3"/>
    </row>
    <row r="287" spans="1:11" s="71" customFormat="1">
      <c r="A287" s="50"/>
      <c r="B287" s="30"/>
      <c r="C287" s="70"/>
      <c r="G287" s="30"/>
      <c r="H287" s="77"/>
      <c r="I287" s="77"/>
      <c r="J287" s="58"/>
      <c r="K287" s="3"/>
    </row>
    <row r="288" spans="1:11" s="71" customFormat="1">
      <c r="A288" s="50"/>
      <c r="B288" s="30"/>
      <c r="C288" s="70"/>
      <c r="G288" s="30"/>
      <c r="H288" s="77"/>
      <c r="I288" s="77"/>
      <c r="J288" s="58"/>
      <c r="K288" s="3"/>
    </row>
    <row r="289" spans="1:11" s="71" customFormat="1">
      <c r="A289" s="50"/>
      <c r="B289" s="30"/>
      <c r="C289" s="70"/>
      <c r="G289" s="30"/>
      <c r="H289" s="77"/>
      <c r="I289" s="77"/>
      <c r="J289" s="58"/>
      <c r="K289" s="3"/>
    </row>
    <row r="290" spans="1:11" s="71" customFormat="1">
      <c r="A290" s="50"/>
      <c r="B290" s="30"/>
      <c r="C290" s="70"/>
      <c r="G290" s="30"/>
      <c r="H290" s="77"/>
      <c r="I290" s="77"/>
      <c r="J290" s="58"/>
      <c r="K290" s="3"/>
    </row>
    <row r="291" spans="1:11" s="71" customFormat="1">
      <c r="A291" s="50"/>
      <c r="B291" s="30"/>
      <c r="C291" s="70"/>
      <c r="G291" s="30"/>
      <c r="H291" s="77"/>
      <c r="I291" s="77"/>
      <c r="J291" s="58"/>
      <c r="K291" s="3"/>
    </row>
    <row r="292" spans="1:11" s="71" customFormat="1">
      <c r="A292" s="50"/>
      <c r="B292" s="30"/>
      <c r="C292" s="70"/>
      <c r="G292" s="30"/>
      <c r="H292" s="77"/>
      <c r="I292" s="77"/>
      <c r="J292" s="58"/>
      <c r="K292" s="3"/>
    </row>
    <row r="293" spans="1:11" s="71" customFormat="1">
      <c r="A293" s="50"/>
      <c r="B293" s="30"/>
      <c r="C293" s="70"/>
      <c r="G293" s="30"/>
      <c r="H293" s="77"/>
      <c r="I293" s="77"/>
      <c r="J293" s="58"/>
      <c r="K293" s="3"/>
    </row>
    <row r="294" spans="1:11" s="71" customFormat="1">
      <c r="A294" s="50"/>
      <c r="B294" s="30"/>
      <c r="C294" s="70"/>
      <c r="G294" s="30"/>
      <c r="H294" s="77"/>
      <c r="I294" s="77"/>
      <c r="J294" s="58"/>
      <c r="K294" s="3"/>
    </row>
    <row r="295" spans="1:11" s="71" customFormat="1">
      <c r="A295" s="50"/>
      <c r="B295" s="30"/>
      <c r="C295" s="70"/>
      <c r="G295" s="30"/>
      <c r="H295" s="77"/>
      <c r="I295" s="77"/>
      <c r="J295" s="58"/>
      <c r="K295" s="3"/>
    </row>
    <row r="296" spans="1:11" s="71" customFormat="1">
      <c r="A296" s="50"/>
      <c r="B296" s="30"/>
      <c r="C296" s="70"/>
      <c r="G296" s="30"/>
      <c r="H296" s="77"/>
      <c r="I296" s="77"/>
      <c r="J296" s="58"/>
      <c r="K296" s="3"/>
    </row>
    <row r="297" spans="1:11" s="71" customFormat="1">
      <c r="A297" s="50"/>
      <c r="B297" s="30"/>
      <c r="C297" s="70"/>
      <c r="G297" s="30"/>
      <c r="H297" s="77"/>
      <c r="I297" s="77"/>
      <c r="J297" s="58"/>
      <c r="K297" s="3"/>
    </row>
    <row r="298" spans="1:11" s="71" customFormat="1">
      <c r="A298" s="50"/>
      <c r="B298" s="30"/>
      <c r="C298" s="70"/>
      <c r="G298" s="30"/>
      <c r="H298" s="77"/>
      <c r="I298" s="77"/>
      <c r="J298" s="58"/>
      <c r="K298" s="3"/>
    </row>
    <row r="299" spans="1:11" s="71" customFormat="1">
      <c r="A299" s="50"/>
      <c r="B299" s="30"/>
      <c r="C299" s="70"/>
      <c r="G299" s="30"/>
      <c r="H299" s="77"/>
      <c r="I299" s="77"/>
      <c r="J299" s="58"/>
      <c r="K299" s="3"/>
    </row>
    <row r="300" spans="1:11" s="71" customFormat="1">
      <c r="A300" s="50"/>
      <c r="B300" s="30"/>
      <c r="C300" s="70"/>
      <c r="G300" s="30"/>
      <c r="H300" s="77"/>
      <c r="I300" s="77"/>
      <c r="J300" s="58"/>
      <c r="K300" s="3"/>
    </row>
    <row r="301" spans="1:11" s="71" customFormat="1">
      <c r="A301" s="50"/>
      <c r="B301" s="30"/>
      <c r="C301" s="70"/>
      <c r="G301" s="30"/>
      <c r="H301" s="77"/>
      <c r="I301" s="77"/>
      <c r="J301" s="58"/>
      <c r="K301" s="3"/>
    </row>
    <row r="302" spans="1:11" s="71" customFormat="1">
      <c r="A302" s="50"/>
      <c r="B302" s="30"/>
      <c r="C302" s="70"/>
      <c r="G302" s="30"/>
      <c r="H302" s="77"/>
      <c r="I302" s="77"/>
      <c r="J302" s="58"/>
      <c r="K302" s="3"/>
    </row>
    <row r="303" spans="1:11" s="71" customFormat="1">
      <c r="A303" s="50"/>
      <c r="B303" s="30"/>
      <c r="C303" s="70"/>
      <c r="G303" s="30"/>
      <c r="H303" s="77"/>
      <c r="I303" s="77"/>
      <c r="J303" s="58"/>
      <c r="K303" s="3"/>
    </row>
    <row r="304" spans="1:11" s="71" customFormat="1">
      <c r="A304" s="50"/>
      <c r="B304" s="30"/>
      <c r="C304" s="70"/>
      <c r="G304" s="30"/>
      <c r="H304" s="77"/>
      <c r="I304" s="77"/>
      <c r="J304" s="58"/>
      <c r="K304" s="3"/>
    </row>
    <row r="305" spans="1:11" s="71" customFormat="1">
      <c r="A305" s="50"/>
      <c r="B305" s="30"/>
      <c r="C305" s="70"/>
      <c r="G305" s="30"/>
      <c r="H305" s="77"/>
      <c r="I305" s="77"/>
      <c r="J305" s="58"/>
      <c r="K305" s="3"/>
    </row>
    <row r="306" spans="1:11" s="71" customFormat="1">
      <c r="A306" s="50"/>
      <c r="B306" s="30"/>
      <c r="C306" s="70"/>
      <c r="G306" s="30"/>
      <c r="H306" s="77"/>
      <c r="I306" s="77"/>
      <c r="J306" s="58"/>
      <c r="K306" s="3"/>
    </row>
    <row r="307" spans="1:11" s="71" customFormat="1">
      <c r="A307" s="50"/>
      <c r="B307" s="30"/>
      <c r="C307" s="70"/>
      <c r="G307" s="30"/>
      <c r="H307" s="77"/>
      <c r="I307" s="77"/>
      <c r="J307" s="58"/>
      <c r="K307" s="3"/>
    </row>
    <row r="308" spans="1:11" s="71" customFormat="1">
      <c r="A308" s="50"/>
      <c r="B308" s="30"/>
      <c r="C308" s="70"/>
      <c r="G308" s="30"/>
      <c r="H308" s="77"/>
      <c r="I308" s="77"/>
      <c r="J308" s="58"/>
      <c r="K308" s="3"/>
    </row>
    <row r="309" spans="1:11" s="71" customFormat="1">
      <c r="A309" s="50"/>
      <c r="B309" s="30"/>
      <c r="C309" s="70"/>
      <c r="G309" s="30"/>
      <c r="H309" s="77"/>
      <c r="I309" s="77"/>
      <c r="J309" s="58"/>
      <c r="K309" s="3"/>
    </row>
    <row r="310" spans="1:11" s="71" customFormat="1">
      <c r="A310" s="50"/>
      <c r="B310" s="30"/>
      <c r="C310" s="70"/>
      <c r="G310" s="30"/>
      <c r="H310" s="77"/>
      <c r="I310" s="77"/>
      <c r="J310" s="58"/>
      <c r="K310" s="3"/>
    </row>
    <row r="311" spans="1:11" s="71" customFormat="1">
      <c r="A311" s="50"/>
      <c r="B311" s="30"/>
      <c r="C311" s="70"/>
      <c r="G311" s="30"/>
      <c r="H311" s="77"/>
      <c r="I311" s="77"/>
      <c r="J311" s="58"/>
      <c r="K311" s="3"/>
    </row>
    <row r="312" spans="1:11" s="71" customFormat="1">
      <c r="A312" s="50"/>
      <c r="B312" s="30"/>
      <c r="C312" s="70"/>
      <c r="G312" s="30"/>
      <c r="H312" s="77"/>
      <c r="I312" s="77"/>
      <c r="J312" s="58"/>
      <c r="K312" s="3"/>
    </row>
    <row r="313" spans="1:11" s="71" customFormat="1">
      <c r="A313" s="50"/>
      <c r="B313" s="30"/>
      <c r="C313" s="70"/>
      <c r="G313" s="30"/>
      <c r="H313" s="77"/>
      <c r="I313" s="77"/>
      <c r="J313" s="58"/>
      <c r="K313" s="3"/>
    </row>
    <row r="314" spans="1:11" s="71" customFormat="1">
      <c r="A314" s="50"/>
      <c r="B314" s="30"/>
      <c r="C314" s="70"/>
      <c r="G314" s="30"/>
      <c r="H314" s="77"/>
      <c r="I314" s="77"/>
      <c r="J314" s="58"/>
      <c r="K314" s="3"/>
    </row>
    <row r="315" spans="1:11" s="71" customFormat="1">
      <c r="A315" s="50"/>
      <c r="B315" s="30"/>
      <c r="C315" s="70"/>
      <c r="G315" s="30"/>
      <c r="H315" s="77"/>
      <c r="I315" s="77"/>
      <c r="J315" s="58"/>
      <c r="K315" s="3"/>
    </row>
    <row r="316" spans="1:11" s="71" customFormat="1">
      <c r="A316" s="50"/>
      <c r="B316" s="30"/>
      <c r="C316" s="70"/>
      <c r="G316" s="30"/>
      <c r="H316" s="77"/>
      <c r="I316" s="77"/>
      <c r="J316" s="58"/>
      <c r="K316" s="3"/>
    </row>
    <row r="317" spans="1:11" s="71" customFormat="1">
      <c r="A317" s="50"/>
      <c r="B317" s="30"/>
      <c r="C317" s="70"/>
      <c r="G317" s="30"/>
      <c r="H317" s="77"/>
      <c r="I317" s="77"/>
      <c r="J317" s="58"/>
      <c r="K317" s="3"/>
    </row>
    <row r="318" spans="1:11" s="71" customFormat="1">
      <c r="A318" s="50"/>
      <c r="B318" s="30"/>
      <c r="C318" s="70"/>
      <c r="G318" s="30"/>
      <c r="H318" s="77"/>
      <c r="I318" s="77"/>
      <c r="J318" s="58"/>
      <c r="K318" s="3"/>
    </row>
    <row r="319" spans="1:11" s="71" customFormat="1">
      <c r="A319" s="50"/>
      <c r="B319" s="30"/>
      <c r="C319" s="70"/>
      <c r="G319" s="30"/>
      <c r="H319" s="77"/>
      <c r="I319" s="77"/>
      <c r="J319" s="58"/>
      <c r="K319" s="3"/>
    </row>
    <row r="320" spans="1:11" s="71" customFormat="1">
      <c r="A320" s="50"/>
      <c r="B320" s="30"/>
      <c r="C320" s="70"/>
      <c r="G320" s="30"/>
      <c r="H320" s="77"/>
      <c r="I320" s="77"/>
      <c r="J320" s="58"/>
      <c r="K320" s="3"/>
    </row>
    <row r="321" spans="1:11" s="71" customFormat="1">
      <c r="A321" s="50"/>
      <c r="B321" s="30"/>
      <c r="C321" s="70"/>
      <c r="G321" s="30"/>
      <c r="H321" s="77"/>
      <c r="I321" s="77"/>
      <c r="J321" s="58"/>
      <c r="K321" s="3"/>
    </row>
    <row r="322" spans="1:11" s="71" customFormat="1">
      <c r="A322" s="50"/>
      <c r="B322" s="30"/>
      <c r="C322" s="70"/>
      <c r="G322" s="30"/>
      <c r="H322" s="77"/>
      <c r="I322" s="77"/>
      <c r="J322" s="58"/>
      <c r="K322" s="3"/>
    </row>
    <row r="323" spans="1:11" s="71" customFormat="1">
      <c r="A323" s="50"/>
      <c r="B323" s="30"/>
      <c r="C323" s="70"/>
      <c r="G323" s="30"/>
      <c r="H323" s="77"/>
      <c r="I323" s="77"/>
      <c r="J323" s="58"/>
      <c r="K323" s="3"/>
    </row>
    <row r="324" spans="1:11" s="71" customFormat="1">
      <c r="A324" s="50"/>
      <c r="B324" s="30"/>
      <c r="C324" s="70"/>
      <c r="G324" s="30"/>
      <c r="H324" s="77"/>
      <c r="I324" s="77"/>
      <c r="J324" s="58"/>
      <c r="K324" s="3"/>
    </row>
    <row r="325" spans="1:11" s="71" customFormat="1">
      <c r="A325" s="50"/>
      <c r="B325" s="30"/>
      <c r="C325" s="70"/>
      <c r="G325" s="30"/>
      <c r="H325" s="77"/>
      <c r="I325" s="77"/>
      <c r="J325" s="58"/>
      <c r="K325" s="3"/>
    </row>
    <row r="326" spans="1:11" s="71" customFormat="1">
      <c r="A326" s="50"/>
      <c r="B326" s="30"/>
      <c r="C326" s="70"/>
      <c r="G326" s="30"/>
      <c r="H326" s="77"/>
      <c r="I326" s="77"/>
      <c r="J326" s="58"/>
      <c r="K326" s="3"/>
    </row>
    <row r="327" spans="1:11" s="71" customFormat="1">
      <c r="A327" s="50"/>
      <c r="B327" s="30"/>
      <c r="C327" s="70"/>
      <c r="G327" s="30"/>
      <c r="H327" s="77"/>
      <c r="I327" s="77"/>
      <c r="J327" s="58"/>
      <c r="K327" s="3"/>
    </row>
    <row r="328" spans="1:11" s="71" customFormat="1">
      <c r="A328" s="50"/>
      <c r="B328" s="30"/>
      <c r="C328" s="70"/>
      <c r="G328" s="30"/>
      <c r="H328" s="77"/>
      <c r="I328" s="77"/>
      <c r="J328" s="58"/>
      <c r="K328" s="3"/>
    </row>
    <row r="329" spans="1:11" s="71" customFormat="1">
      <c r="A329" s="50"/>
      <c r="B329" s="30"/>
      <c r="C329" s="70"/>
      <c r="G329" s="30"/>
      <c r="H329" s="77"/>
      <c r="I329" s="77"/>
      <c r="J329" s="58"/>
      <c r="K329" s="3"/>
    </row>
    <row r="330" spans="1:11" s="71" customFormat="1">
      <c r="A330" s="50"/>
      <c r="B330" s="30"/>
      <c r="C330" s="70"/>
      <c r="G330" s="30"/>
      <c r="H330" s="77"/>
      <c r="I330" s="77"/>
      <c r="J330" s="58"/>
      <c r="K330" s="3"/>
    </row>
    <row r="331" spans="1:11" s="71" customFormat="1">
      <c r="A331" s="50"/>
      <c r="B331" s="30"/>
      <c r="C331" s="70"/>
      <c r="G331" s="30"/>
      <c r="H331" s="77"/>
      <c r="I331" s="77"/>
      <c r="J331" s="58"/>
      <c r="K331" s="3"/>
    </row>
    <row r="332" spans="1:11" s="71" customFormat="1">
      <c r="A332" s="50"/>
      <c r="B332" s="30"/>
      <c r="C332" s="70"/>
      <c r="G332" s="30"/>
      <c r="H332" s="77"/>
      <c r="I332" s="77"/>
      <c r="J332" s="58"/>
      <c r="K332" s="3"/>
    </row>
    <row r="333" spans="1:11" s="71" customFormat="1">
      <c r="A333" s="50"/>
      <c r="B333" s="30"/>
      <c r="C333" s="70"/>
      <c r="G333" s="30"/>
      <c r="H333" s="77"/>
      <c r="I333" s="77"/>
      <c r="J333" s="58"/>
      <c r="K333" s="3"/>
    </row>
    <row r="334" spans="1:11" s="71" customFormat="1">
      <c r="A334" s="50"/>
      <c r="B334" s="30"/>
      <c r="C334" s="70"/>
      <c r="G334" s="30"/>
      <c r="H334" s="77"/>
      <c r="I334" s="77"/>
      <c r="J334" s="58"/>
      <c r="K334" s="3"/>
    </row>
    <row r="335" spans="1:11" s="71" customFormat="1">
      <c r="A335" s="50"/>
      <c r="B335" s="30"/>
      <c r="C335" s="70"/>
      <c r="G335" s="30"/>
      <c r="H335" s="77"/>
      <c r="I335" s="77"/>
      <c r="J335" s="58"/>
      <c r="K335" s="3"/>
    </row>
    <row r="336" spans="1:11" s="71" customFormat="1">
      <c r="A336" s="50"/>
      <c r="B336" s="30"/>
      <c r="C336" s="70"/>
      <c r="G336" s="30"/>
      <c r="H336" s="77"/>
      <c r="I336" s="77"/>
      <c r="J336" s="58"/>
      <c r="K336" s="3"/>
    </row>
    <row r="337" spans="1:11" s="71" customFormat="1">
      <c r="A337" s="50"/>
      <c r="B337" s="30"/>
      <c r="C337" s="70"/>
      <c r="G337" s="30"/>
      <c r="H337" s="77"/>
      <c r="I337" s="77"/>
      <c r="J337" s="58"/>
      <c r="K337" s="3"/>
    </row>
    <row r="338" spans="1:11" s="71" customFormat="1">
      <c r="A338" s="50"/>
      <c r="B338" s="30"/>
      <c r="C338" s="70"/>
      <c r="G338" s="30"/>
      <c r="H338" s="77"/>
      <c r="I338" s="77"/>
      <c r="J338" s="58"/>
      <c r="K338" s="3"/>
    </row>
    <row r="339" spans="1:11" s="71" customFormat="1">
      <c r="A339" s="50"/>
      <c r="B339" s="30"/>
      <c r="C339" s="70"/>
      <c r="G339" s="30"/>
      <c r="H339" s="77"/>
      <c r="I339" s="77"/>
      <c r="J339" s="58"/>
      <c r="K339" s="3"/>
    </row>
    <row r="340" spans="1:11" s="71" customFormat="1">
      <c r="A340" s="50"/>
      <c r="B340" s="30"/>
      <c r="C340" s="70"/>
      <c r="G340" s="30"/>
      <c r="H340" s="77"/>
      <c r="I340" s="77"/>
      <c r="J340" s="58"/>
      <c r="K340" s="3"/>
    </row>
    <row r="341" spans="1:11" s="71" customFormat="1">
      <c r="A341" s="50"/>
      <c r="B341" s="30"/>
      <c r="C341" s="70"/>
      <c r="G341" s="30"/>
      <c r="H341" s="77"/>
      <c r="I341" s="77"/>
      <c r="J341" s="58"/>
      <c r="K341" s="3"/>
    </row>
    <row r="342" spans="1:11" s="71" customFormat="1">
      <c r="A342" s="50"/>
      <c r="B342" s="30"/>
      <c r="C342" s="70"/>
      <c r="G342" s="30"/>
      <c r="H342" s="77"/>
      <c r="I342" s="77"/>
      <c r="J342" s="58"/>
      <c r="K342" s="3"/>
    </row>
    <row r="343" spans="1:11" s="71" customFormat="1">
      <c r="A343" s="50"/>
      <c r="B343" s="30"/>
      <c r="C343" s="70"/>
      <c r="G343" s="30"/>
      <c r="H343" s="77"/>
      <c r="I343" s="77"/>
      <c r="J343" s="58"/>
      <c r="K343" s="3"/>
    </row>
    <row r="344" spans="1:11" s="71" customFormat="1">
      <c r="A344" s="50"/>
      <c r="B344" s="30"/>
      <c r="C344" s="70"/>
      <c r="G344" s="30"/>
      <c r="H344" s="77"/>
      <c r="I344" s="77"/>
      <c r="J344" s="58"/>
      <c r="K344" s="3"/>
    </row>
    <row r="345" spans="1:11" s="71" customFormat="1">
      <c r="A345" s="50"/>
      <c r="B345" s="30"/>
      <c r="C345" s="70"/>
      <c r="G345" s="30"/>
      <c r="H345" s="77"/>
      <c r="I345" s="77"/>
      <c r="J345" s="58"/>
      <c r="K345" s="3"/>
    </row>
    <row r="346" spans="1:11" s="71" customFormat="1">
      <c r="A346" s="50"/>
      <c r="B346" s="30"/>
      <c r="C346" s="70"/>
      <c r="G346" s="30"/>
      <c r="H346" s="77"/>
      <c r="I346" s="77"/>
      <c r="J346" s="58"/>
      <c r="K346" s="3"/>
    </row>
    <row r="347" spans="1:11" s="71" customFormat="1">
      <c r="A347" s="50"/>
      <c r="B347" s="30"/>
      <c r="C347" s="70"/>
      <c r="G347" s="30"/>
      <c r="H347" s="77"/>
      <c r="I347" s="77"/>
      <c r="J347" s="58"/>
      <c r="K347" s="3"/>
    </row>
    <row r="348" spans="1:11" s="71" customFormat="1">
      <c r="A348" s="50"/>
      <c r="B348" s="30"/>
      <c r="C348" s="70"/>
      <c r="G348" s="30"/>
      <c r="H348" s="77"/>
      <c r="I348" s="77"/>
      <c r="J348" s="58"/>
      <c r="K348" s="3"/>
    </row>
    <row r="349" spans="1:11" s="71" customFormat="1">
      <c r="A349" s="50"/>
      <c r="B349" s="30"/>
      <c r="C349" s="70"/>
      <c r="G349" s="30"/>
      <c r="H349" s="77"/>
      <c r="I349" s="77"/>
      <c r="J349" s="58"/>
      <c r="K349" s="3"/>
    </row>
    <row r="350" spans="1:11" s="71" customFormat="1">
      <c r="A350" s="50"/>
      <c r="B350" s="30"/>
      <c r="C350" s="70"/>
      <c r="G350" s="30"/>
      <c r="H350" s="77"/>
      <c r="I350" s="77"/>
      <c r="J350" s="58"/>
      <c r="K350" s="3"/>
    </row>
    <row r="351" spans="1:11" s="71" customFormat="1">
      <c r="A351" s="50"/>
      <c r="B351" s="30"/>
      <c r="C351" s="70"/>
      <c r="G351" s="30"/>
      <c r="H351" s="77"/>
      <c r="I351" s="77"/>
      <c r="J351" s="58"/>
      <c r="K351" s="3"/>
    </row>
    <row r="352" spans="1:11" s="71" customFormat="1">
      <c r="A352" s="50"/>
      <c r="B352" s="30"/>
      <c r="C352" s="70"/>
      <c r="G352" s="30"/>
      <c r="H352" s="77"/>
      <c r="I352" s="77"/>
      <c r="J352" s="58"/>
      <c r="K352" s="3"/>
    </row>
    <row r="353" spans="1:11" s="71" customFormat="1">
      <c r="A353" s="50"/>
      <c r="B353" s="30"/>
      <c r="C353" s="70"/>
      <c r="G353" s="30"/>
      <c r="H353" s="77"/>
      <c r="I353" s="77"/>
      <c r="J353" s="58"/>
      <c r="K353" s="3"/>
    </row>
    <row r="354" spans="1:11" s="71" customFormat="1">
      <c r="A354" s="50"/>
      <c r="B354" s="30"/>
      <c r="C354" s="70"/>
      <c r="G354" s="30"/>
      <c r="H354" s="77"/>
      <c r="I354" s="77"/>
      <c r="J354" s="58"/>
      <c r="K354" s="3"/>
    </row>
    <row r="355" spans="1:11" s="71" customFormat="1">
      <c r="A355" s="50"/>
      <c r="B355" s="30"/>
      <c r="C355" s="70"/>
      <c r="G355" s="30"/>
      <c r="H355" s="77"/>
      <c r="I355" s="77"/>
      <c r="J355" s="58"/>
      <c r="K355" s="3"/>
    </row>
    <row r="356" spans="1:11" s="71" customFormat="1">
      <c r="A356" s="50"/>
      <c r="B356" s="30"/>
      <c r="C356" s="70"/>
      <c r="G356" s="30"/>
      <c r="H356" s="77"/>
      <c r="I356" s="77"/>
      <c r="J356" s="58"/>
      <c r="K356" s="3"/>
    </row>
    <row r="357" spans="1:11" s="71" customFormat="1">
      <c r="A357" s="50"/>
      <c r="B357" s="30"/>
      <c r="C357" s="70"/>
      <c r="G357" s="30"/>
      <c r="H357" s="77"/>
      <c r="I357" s="77"/>
      <c r="J357" s="58"/>
      <c r="K357" s="3"/>
    </row>
    <row r="358" spans="1:11" s="71" customFormat="1">
      <c r="A358" s="50"/>
      <c r="B358" s="30"/>
      <c r="C358" s="70"/>
      <c r="G358" s="30"/>
      <c r="H358" s="77"/>
      <c r="I358" s="77"/>
      <c r="J358" s="58"/>
      <c r="K358" s="3"/>
    </row>
    <row r="359" spans="1:11" s="71" customFormat="1">
      <c r="A359" s="50"/>
      <c r="B359" s="30"/>
      <c r="C359" s="70"/>
      <c r="G359" s="30"/>
      <c r="H359" s="77"/>
      <c r="I359" s="77"/>
      <c r="J359" s="58"/>
      <c r="K359" s="3"/>
    </row>
    <row r="360" spans="1:11" s="71" customFormat="1">
      <c r="A360" s="50"/>
      <c r="B360" s="30"/>
      <c r="C360" s="70"/>
      <c r="G360" s="30"/>
      <c r="H360" s="77"/>
      <c r="I360" s="77"/>
      <c r="J360" s="58"/>
      <c r="K360" s="3"/>
    </row>
    <row r="361" spans="1:11" s="71" customFormat="1">
      <c r="A361" s="50"/>
      <c r="B361" s="30"/>
      <c r="C361" s="70"/>
      <c r="G361" s="30"/>
      <c r="H361" s="77"/>
      <c r="I361" s="77"/>
      <c r="J361" s="58"/>
      <c r="K361" s="3"/>
    </row>
    <row r="362" spans="1:11" s="71" customFormat="1">
      <c r="A362" s="50"/>
      <c r="B362" s="30"/>
      <c r="C362" s="70"/>
      <c r="G362" s="30"/>
      <c r="H362" s="77"/>
      <c r="I362" s="77"/>
      <c r="J362" s="58"/>
      <c r="K362" s="3"/>
    </row>
    <row r="363" spans="1:11" s="71" customFormat="1">
      <c r="A363" s="50"/>
      <c r="B363" s="30"/>
      <c r="C363" s="70"/>
      <c r="G363" s="30"/>
      <c r="H363" s="77"/>
      <c r="I363" s="77"/>
      <c r="J363" s="58"/>
      <c r="K363" s="3"/>
    </row>
    <row r="364" spans="1:11" s="71" customFormat="1">
      <c r="A364" s="50"/>
      <c r="B364" s="30"/>
      <c r="C364" s="70"/>
      <c r="G364" s="30"/>
      <c r="H364" s="77"/>
      <c r="I364" s="77"/>
      <c r="J364" s="58"/>
      <c r="K364" s="3"/>
    </row>
    <row r="365" spans="1:11" s="71" customFormat="1">
      <c r="A365" s="50"/>
      <c r="B365" s="30"/>
      <c r="C365" s="70"/>
      <c r="G365" s="30"/>
      <c r="H365" s="77"/>
      <c r="I365" s="77"/>
      <c r="J365" s="58"/>
      <c r="K365" s="3"/>
    </row>
    <row r="366" spans="1:11" s="71" customFormat="1">
      <c r="A366" s="50"/>
      <c r="B366" s="30"/>
      <c r="C366" s="70"/>
      <c r="G366" s="30"/>
      <c r="H366" s="77"/>
      <c r="I366" s="77"/>
      <c r="J366" s="58"/>
      <c r="K366" s="3"/>
    </row>
    <row r="367" spans="1:11" s="71" customFormat="1">
      <c r="A367" s="50"/>
      <c r="B367" s="30"/>
      <c r="C367" s="70"/>
      <c r="G367" s="30"/>
      <c r="H367" s="77"/>
      <c r="I367" s="77"/>
      <c r="J367" s="58"/>
      <c r="K367" s="3"/>
    </row>
    <row r="368" spans="1:11" s="71" customFormat="1">
      <c r="A368" s="50"/>
      <c r="B368" s="30"/>
      <c r="C368" s="70"/>
      <c r="G368" s="30"/>
      <c r="H368" s="77"/>
      <c r="I368" s="77"/>
      <c r="J368" s="58"/>
      <c r="K368" s="3"/>
    </row>
    <row r="369" spans="1:11" s="71" customFormat="1">
      <c r="A369" s="50"/>
      <c r="B369" s="30"/>
      <c r="C369" s="70"/>
      <c r="G369" s="30"/>
      <c r="H369" s="77"/>
      <c r="I369" s="77"/>
      <c r="J369" s="58"/>
      <c r="K369" s="3"/>
    </row>
    <row r="370" spans="1:11" s="71" customFormat="1">
      <c r="A370" s="50"/>
      <c r="B370" s="30"/>
      <c r="C370" s="70"/>
      <c r="G370" s="30"/>
      <c r="H370" s="77"/>
      <c r="I370" s="77"/>
      <c r="J370" s="58"/>
      <c r="K370" s="3"/>
    </row>
    <row r="371" spans="1:11" s="71" customFormat="1">
      <c r="A371" s="50"/>
      <c r="B371" s="30"/>
      <c r="C371" s="70"/>
      <c r="G371" s="30"/>
      <c r="H371" s="77"/>
      <c r="I371" s="77"/>
      <c r="J371" s="58"/>
      <c r="K371" s="3"/>
    </row>
    <row r="372" spans="1:11" s="71" customFormat="1">
      <c r="A372" s="50"/>
      <c r="B372" s="30"/>
      <c r="C372" s="70"/>
      <c r="G372" s="30"/>
      <c r="H372" s="77"/>
      <c r="I372" s="77"/>
      <c r="J372" s="58"/>
      <c r="K372" s="3"/>
    </row>
    <row r="373" spans="1:11" s="71" customFormat="1">
      <c r="A373" s="50"/>
      <c r="B373" s="30"/>
      <c r="C373" s="70"/>
      <c r="G373" s="30"/>
      <c r="H373" s="77"/>
      <c r="I373" s="77"/>
      <c r="J373" s="58"/>
      <c r="K373" s="3"/>
    </row>
    <row r="374" spans="1:11" s="71" customFormat="1">
      <c r="A374" s="50"/>
      <c r="B374" s="30"/>
      <c r="C374" s="70"/>
      <c r="G374" s="30"/>
      <c r="H374" s="77"/>
      <c r="I374" s="77"/>
      <c r="J374" s="58"/>
      <c r="K374" s="3"/>
    </row>
    <row r="375" spans="1:11" s="71" customFormat="1">
      <c r="A375" s="50"/>
      <c r="B375" s="30"/>
      <c r="C375" s="70"/>
      <c r="G375" s="30"/>
      <c r="H375" s="77"/>
      <c r="I375" s="77"/>
      <c r="J375" s="58"/>
      <c r="K375" s="3"/>
    </row>
    <row r="376" spans="1:11" s="71" customFormat="1">
      <c r="A376" s="50"/>
      <c r="B376" s="30"/>
      <c r="C376" s="70"/>
      <c r="G376" s="30"/>
      <c r="H376" s="77"/>
      <c r="I376" s="77"/>
      <c r="J376" s="58"/>
      <c r="K376" s="3"/>
    </row>
    <row r="377" spans="1:11" s="71" customFormat="1">
      <c r="A377" s="50"/>
      <c r="B377" s="30"/>
      <c r="C377" s="70"/>
      <c r="G377" s="30"/>
      <c r="H377" s="77"/>
      <c r="I377" s="77"/>
      <c r="J377" s="58"/>
      <c r="K377" s="3"/>
    </row>
    <row r="378" spans="1:11" s="71" customFormat="1">
      <c r="A378" s="50"/>
      <c r="B378" s="30"/>
      <c r="C378" s="70"/>
      <c r="G378" s="30"/>
      <c r="H378" s="77"/>
      <c r="I378" s="77"/>
      <c r="J378" s="58"/>
      <c r="K378" s="3"/>
    </row>
    <row r="379" spans="1:11" s="71" customFormat="1">
      <c r="A379" s="50"/>
      <c r="B379" s="30"/>
      <c r="C379" s="70"/>
      <c r="G379" s="30"/>
      <c r="H379" s="77"/>
      <c r="I379" s="77"/>
      <c r="J379" s="58"/>
      <c r="K379" s="3"/>
    </row>
    <row r="380" spans="1:11" s="71" customFormat="1">
      <c r="A380" s="50"/>
      <c r="B380" s="30"/>
      <c r="C380" s="70"/>
      <c r="G380" s="30"/>
      <c r="H380" s="77"/>
      <c r="I380" s="77"/>
      <c r="J380" s="58"/>
      <c r="K380" s="3"/>
    </row>
    <row r="381" spans="1:11" s="71" customFormat="1">
      <c r="A381" s="50"/>
      <c r="B381" s="30"/>
      <c r="C381" s="70"/>
      <c r="G381" s="30"/>
      <c r="H381" s="77"/>
      <c r="I381" s="77"/>
      <c r="J381" s="58"/>
      <c r="K381" s="3"/>
    </row>
    <row r="382" spans="1:11" s="71" customFormat="1">
      <c r="A382" s="50"/>
      <c r="B382" s="30"/>
      <c r="C382" s="70"/>
      <c r="G382" s="30"/>
      <c r="H382" s="77"/>
      <c r="I382" s="77"/>
      <c r="J382" s="58"/>
      <c r="K382" s="3"/>
    </row>
    <row r="383" spans="1:11" s="71" customFormat="1">
      <c r="A383" s="50"/>
      <c r="B383" s="30"/>
      <c r="C383" s="70"/>
      <c r="G383" s="30"/>
      <c r="H383" s="77"/>
      <c r="I383" s="77"/>
      <c r="J383" s="58"/>
      <c r="K383" s="3"/>
    </row>
    <row r="384" spans="1:11" s="71" customFormat="1">
      <c r="A384" s="50"/>
      <c r="B384" s="30"/>
      <c r="C384" s="70"/>
      <c r="G384" s="30"/>
      <c r="H384" s="77"/>
      <c r="I384" s="77"/>
      <c r="J384" s="58"/>
      <c r="K384" s="3"/>
    </row>
    <row r="385" spans="1:11" s="71" customFormat="1">
      <c r="A385" s="50"/>
      <c r="B385" s="30"/>
      <c r="C385" s="70"/>
      <c r="G385" s="30"/>
      <c r="H385" s="77"/>
      <c r="I385" s="77"/>
      <c r="J385" s="58"/>
      <c r="K385" s="3"/>
    </row>
    <row r="386" spans="1:11" s="71" customFormat="1">
      <c r="A386" s="50"/>
      <c r="B386" s="30"/>
      <c r="C386" s="70"/>
      <c r="G386" s="30"/>
      <c r="H386" s="77"/>
      <c r="I386" s="77"/>
      <c r="J386" s="58"/>
      <c r="K386" s="3"/>
    </row>
    <row r="387" spans="1:11" s="71" customFormat="1">
      <c r="A387" s="50"/>
      <c r="B387" s="30"/>
      <c r="C387" s="70"/>
      <c r="G387" s="30"/>
      <c r="H387" s="77"/>
      <c r="I387" s="77"/>
      <c r="J387" s="58"/>
      <c r="K387" s="3"/>
    </row>
    <row r="388" spans="1:11" s="71" customFormat="1">
      <c r="A388" s="50"/>
      <c r="B388" s="30"/>
      <c r="C388" s="70"/>
      <c r="G388" s="30"/>
      <c r="H388" s="77"/>
      <c r="I388" s="77"/>
      <c r="J388" s="58"/>
      <c r="K388" s="3"/>
    </row>
    <row r="389" spans="1:11" s="71" customFormat="1">
      <c r="A389" s="50"/>
      <c r="B389" s="30"/>
      <c r="C389" s="70"/>
      <c r="G389" s="30"/>
      <c r="H389" s="77"/>
      <c r="I389" s="77"/>
      <c r="J389" s="58"/>
      <c r="K389" s="3"/>
    </row>
    <row r="390" spans="1:11" s="71" customFormat="1">
      <c r="A390" s="50"/>
      <c r="B390" s="30"/>
      <c r="C390" s="70"/>
      <c r="G390" s="30"/>
      <c r="H390" s="77"/>
      <c r="I390" s="77"/>
      <c r="J390" s="58"/>
      <c r="K390" s="3"/>
    </row>
    <row r="391" spans="1:11" s="71" customFormat="1">
      <c r="A391" s="50"/>
      <c r="B391" s="30"/>
      <c r="C391" s="70"/>
      <c r="G391" s="30"/>
      <c r="H391" s="77"/>
      <c r="I391" s="77"/>
      <c r="J391" s="58"/>
      <c r="K391" s="3"/>
    </row>
    <row r="392" spans="1:11" s="71" customFormat="1">
      <c r="A392" s="50"/>
      <c r="B392" s="30"/>
      <c r="C392" s="70"/>
      <c r="G392" s="30"/>
      <c r="H392" s="77"/>
      <c r="I392" s="77"/>
      <c r="J392" s="58"/>
      <c r="K392" s="3"/>
    </row>
    <row r="393" spans="1:11" s="71" customFormat="1">
      <c r="A393" s="50"/>
      <c r="B393" s="30"/>
      <c r="C393" s="70"/>
      <c r="G393" s="30"/>
      <c r="H393" s="77"/>
      <c r="I393" s="77"/>
      <c r="J393" s="58"/>
      <c r="K393" s="3"/>
    </row>
    <row r="394" spans="1:11" s="71" customFormat="1">
      <c r="A394" s="50"/>
      <c r="B394" s="30"/>
      <c r="C394" s="70"/>
      <c r="G394" s="30"/>
      <c r="H394" s="77"/>
      <c r="I394" s="77"/>
      <c r="J394" s="58"/>
      <c r="K394" s="3"/>
    </row>
    <row r="395" spans="1:11" s="71" customFormat="1">
      <c r="A395" s="50"/>
      <c r="B395" s="30"/>
      <c r="C395" s="70"/>
      <c r="G395" s="30"/>
      <c r="H395" s="77"/>
      <c r="I395" s="77"/>
      <c r="J395" s="58"/>
      <c r="K395" s="3"/>
    </row>
    <row r="396" spans="1:11" s="71" customFormat="1">
      <c r="A396" s="50"/>
      <c r="B396" s="30"/>
      <c r="C396" s="70"/>
      <c r="G396" s="30"/>
      <c r="H396" s="77"/>
      <c r="I396" s="77"/>
      <c r="J396" s="58"/>
      <c r="K396" s="3"/>
    </row>
    <row r="397" spans="1:11" s="71" customFormat="1">
      <c r="A397" s="50"/>
      <c r="B397" s="30"/>
      <c r="C397" s="70"/>
      <c r="G397" s="30"/>
      <c r="H397" s="77"/>
      <c r="I397" s="77"/>
      <c r="J397" s="58"/>
      <c r="K397" s="3"/>
    </row>
    <row r="398" spans="1:11" s="71" customFormat="1">
      <c r="A398" s="50"/>
      <c r="B398" s="30"/>
      <c r="C398" s="70"/>
      <c r="G398" s="30"/>
      <c r="H398" s="77"/>
      <c r="I398" s="77"/>
      <c r="J398" s="58"/>
      <c r="K398" s="3"/>
    </row>
    <row r="399" spans="1:11" s="71" customFormat="1">
      <c r="A399" s="50"/>
      <c r="B399" s="30"/>
      <c r="C399" s="70"/>
      <c r="G399" s="30"/>
      <c r="H399" s="77"/>
      <c r="I399" s="77"/>
      <c r="J399" s="58"/>
      <c r="K399" s="3"/>
    </row>
    <row r="400" spans="1:11" s="71" customFormat="1">
      <c r="A400" s="50"/>
      <c r="B400" s="30"/>
      <c r="C400" s="70"/>
      <c r="G400" s="30"/>
      <c r="H400" s="77"/>
      <c r="I400" s="77"/>
      <c r="J400" s="58"/>
      <c r="K400" s="3"/>
    </row>
    <row r="401" spans="1:11" s="71" customFormat="1">
      <c r="A401" s="50"/>
      <c r="B401" s="30"/>
      <c r="C401" s="70"/>
      <c r="G401" s="30"/>
      <c r="H401" s="77"/>
      <c r="I401" s="77"/>
      <c r="J401" s="58"/>
      <c r="K401" s="3"/>
    </row>
    <row r="402" spans="1:11" s="71" customFormat="1">
      <c r="A402" s="50"/>
      <c r="B402" s="30"/>
      <c r="C402" s="70"/>
      <c r="G402" s="30"/>
      <c r="H402" s="77"/>
      <c r="I402" s="77"/>
      <c r="J402" s="58"/>
      <c r="K402" s="3"/>
    </row>
    <row r="403" spans="1:11" s="71" customFormat="1">
      <c r="A403" s="50"/>
      <c r="B403" s="30"/>
      <c r="C403" s="70"/>
      <c r="G403" s="30"/>
      <c r="H403" s="77"/>
      <c r="I403" s="77"/>
      <c r="J403" s="58"/>
      <c r="K403" s="3"/>
    </row>
    <row r="404" spans="1:11" s="71" customFormat="1">
      <c r="A404" s="50"/>
      <c r="B404" s="30"/>
      <c r="C404" s="70"/>
      <c r="G404" s="30"/>
      <c r="H404" s="77"/>
      <c r="I404" s="77"/>
      <c r="J404" s="58"/>
      <c r="K404" s="3"/>
    </row>
    <row r="405" spans="1:11" s="71" customFormat="1">
      <c r="A405" s="50"/>
      <c r="B405" s="30"/>
      <c r="C405" s="70"/>
      <c r="G405" s="30"/>
      <c r="H405" s="77"/>
      <c r="I405" s="77"/>
      <c r="J405" s="58"/>
      <c r="K405" s="3"/>
    </row>
    <row r="406" spans="1:11" s="71" customFormat="1">
      <c r="A406" s="50"/>
      <c r="B406" s="30"/>
      <c r="C406" s="70"/>
      <c r="G406" s="30"/>
      <c r="H406" s="77"/>
      <c r="I406" s="77"/>
      <c r="J406" s="58"/>
      <c r="K406" s="3"/>
    </row>
    <row r="407" spans="1:11" s="71" customFormat="1">
      <c r="A407" s="50"/>
      <c r="B407" s="30"/>
      <c r="C407" s="70"/>
      <c r="G407" s="30"/>
      <c r="H407" s="77"/>
      <c r="I407" s="77"/>
      <c r="J407" s="58"/>
      <c r="K407" s="3"/>
    </row>
    <row r="408" spans="1:11" s="71" customFormat="1">
      <c r="A408" s="50"/>
      <c r="B408" s="30"/>
      <c r="C408" s="70"/>
      <c r="G408" s="30"/>
      <c r="H408" s="77"/>
      <c r="I408" s="77"/>
      <c r="J408" s="58"/>
      <c r="K408" s="3"/>
    </row>
    <row r="409" spans="1:11" s="71" customFormat="1">
      <c r="A409" s="50"/>
      <c r="B409" s="30"/>
      <c r="C409" s="70"/>
      <c r="G409" s="30"/>
      <c r="H409" s="77"/>
      <c r="I409" s="77"/>
      <c r="J409" s="58"/>
      <c r="K409" s="3"/>
    </row>
    <row r="410" spans="1:11" s="71" customFormat="1">
      <c r="A410" s="50"/>
      <c r="B410" s="30"/>
      <c r="C410" s="70"/>
      <c r="G410" s="30"/>
      <c r="H410" s="77"/>
      <c r="I410" s="77"/>
      <c r="J410" s="58"/>
      <c r="K410" s="3"/>
    </row>
    <row r="411" spans="1:11" s="71" customFormat="1">
      <c r="A411" s="50"/>
      <c r="B411" s="30"/>
      <c r="C411" s="70"/>
      <c r="G411" s="30"/>
      <c r="H411" s="77"/>
      <c r="I411" s="77"/>
      <c r="J411" s="58"/>
      <c r="K411" s="3"/>
    </row>
    <row r="412" spans="1:11" s="71" customFormat="1">
      <c r="A412" s="50"/>
      <c r="B412" s="30"/>
      <c r="C412" s="70"/>
      <c r="G412" s="30"/>
      <c r="H412" s="77"/>
      <c r="I412" s="77"/>
      <c r="J412" s="58"/>
      <c r="K412" s="3"/>
    </row>
    <row r="413" spans="1:11" s="71" customFormat="1">
      <c r="A413" s="50"/>
      <c r="B413" s="30"/>
      <c r="C413" s="70"/>
      <c r="G413" s="30"/>
      <c r="H413" s="77"/>
      <c r="I413" s="77"/>
      <c r="J413" s="58"/>
      <c r="K413" s="3"/>
    </row>
    <row r="414" spans="1:11" s="71" customFormat="1">
      <c r="A414" s="50"/>
      <c r="B414" s="30"/>
      <c r="C414" s="70"/>
      <c r="G414" s="30"/>
      <c r="H414" s="77"/>
      <c r="I414" s="77"/>
      <c r="J414" s="58"/>
      <c r="K414" s="3"/>
    </row>
    <row r="415" spans="1:11" s="71" customFormat="1">
      <c r="A415" s="50"/>
      <c r="B415" s="30"/>
      <c r="C415" s="70"/>
      <c r="G415" s="30"/>
      <c r="H415" s="77"/>
      <c r="I415" s="77"/>
      <c r="J415" s="58"/>
      <c r="K415" s="3"/>
    </row>
    <row r="416" spans="1:11" s="71" customFormat="1">
      <c r="A416" s="50"/>
      <c r="B416" s="30"/>
      <c r="C416" s="70"/>
      <c r="G416" s="30"/>
      <c r="H416" s="77"/>
      <c r="I416" s="77"/>
      <c r="J416" s="58"/>
      <c r="K416" s="3"/>
    </row>
    <row r="417" spans="1:11" s="71" customFormat="1">
      <c r="A417" s="50"/>
      <c r="B417" s="30"/>
      <c r="C417" s="70"/>
      <c r="G417" s="30"/>
      <c r="H417" s="77"/>
      <c r="I417" s="77"/>
      <c r="J417" s="58"/>
      <c r="K417" s="3"/>
    </row>
    <row r="418" spans="1:11" s="71" customFormat="1">
      <c r="A418" s="50"/>
      <c r="B418" s="30"/>
      <c r="C418" s="70"/>
      <c r="G418" s="30"/>
      <c r="H418" s="77"/>
      <c r="I418" s="77"/>
      <c r="J418" s="58"/>
      <c r="K418" s="3"/>
    </row>
    <row r="419" spans="1:11" s="71" customFormat="1">
      <c r="A419" s="50"/>
      <c r="B419" s="30"/>
      <c r="C419" s="70"/>
      <c r="G419" s="30"/>
      <c r="H419" s="77"/>
      <c r="I419" s="77"/>
      <c r="J419" s="58"/>
      <c r="K419" s="3"/>
    </row>
    <row r="420" spans="1:11" s="71" customFormat="1">
      <c r="A420" s="50"/>
      <c r="B420" s="30"/>
      <c r="C420" s="70"/>
      <c r="G420" s="30"/>
      <c r="H420" s="77"/>
      <c r="I420" s="77"/>
      <c r="J420" s="58"/>
      <c r="K420" s="3"/>
    </row>
    <row r="421" spans="1:11" s="71" customFormat="1">
      <c r="A421" s="50"/>
      <c r="B421" s="30"/>
      <c r="C421" s="70"/>
      <c r="G421" s="30"/>
      <c r="H421" s="77"/>
      <c r="I421" s="77"/>
      <c r="J421" s="58"/>
      <c r="K421" s="3"/>
    </row>
    <row r="422" spans="1:11" s="71" customFormat="1">
      <c r="A422" s="50"/>
      <c r="B422" s="30"/>
      <c r="C422" s="70"/>
      <c r="G422" s="30"/>
      <c r="H422" s="77"/>
      <c r="I422" s="77"/>
      <c r="J422" s="58"/>
      <c r="K422" s="3"/>
    </row>
    <row r="423" spans="1:11" s="71" customFormat="1">
      <c r="A423" s="50"/>
      <c r="B423" s="30"/>
      <c r="C423" s="70"/>
      <c r="G423" s="30"/>
      <c r="H423" s="77"/>
      <c r="I423" s="77"/>
      <c r="J423" s="58"/>
      <c r="K423" s="3"/>
    </row>
    <row r="424" spans="1:11" s="71" customFormat="1">
      <c r="A424" s="50"/>
      <c r="B424" s="30"/>
      <c r="C424" s="70"/>
      <c r="G424" s="30"/>
      <c r="H424" s="77"/>
      <c r="I424" s="77"/>
      <c r="J424" s="58"/>
      <c r="K424" s="3"/>
    </row>
    <row r="425" spans="1:11" s="71" customFormat="1">
      <c r="A425" s="50"/>
      <c r="B425" s="30"/>
      <c r="C425" s="70"/>
      <c r="G425" s="30"/>
      <c r="H425" s="77"/>
      <c r="I425" s="77"/>
      <c r="J425" s="58"/>
      <c r="K425" s="3"/>
    </row>
    <row r="426" spans="1:11" s="71" customFormat="1">
      <c r="A426" s="50"/>
      <c r="B426" s="30"/>
      <c r="C426" s="70"/>
      <c r="G426" s="30"/>
      <c r="H426" s="77"/>
      <c r="I426" s="77"/>
      <c r="J426" s="58"/>
      <c r="K426" s="3"/>
    </row>
    <row r="427" spans="1:11" s="71" customFormat="1">
      <c r="A427" s="50"/>
      <c r="B427" s="30"/>
      <c r="C427" s="70"/>
      <c r="G427" s="30"/>
      <c r="H427" s="77"/>
      <c r="I427" s="77"/>
      <c r="J427" s="58"/>
      <c r="K427" s="3"/>
    </row>
    <row r="428" spans="1:11" s="71" customFormat="1">
      <c r="A428" s="50"/>
      <c r="B428" s="30"/>
      <c r="C428" s="70"/>
      <c r="G428" s="30"/>
      <c r="H428" s="77"/>
      <c r="I428" s="77"/>
      <c r="J428" s="58"/>
      <c r="K428" s="3"/>
    </row>
    <row r="429" spans="1:11" s="71" customFormat="1">
      <c r="A429" s="50"/>
      <c r="B429" s="30"/>
      <c r="C429" s="70"/>
      <c r="G429" s="30"/>
      <c r="H429" s="77"/>
      <c r="I429" s="77"/>
      <c r="J429" s="58"/>
      <c r="K429" s="3"/>
    </row>
    <row r="430" spans="1:11" s="71" customFormat="1">
      <c r="A430" s="50"/>
      <c r="B430" s="30"/>
      <c r="C430" s="70"/>
      <c r="G430" s="30"/>
      <c r="H430" s="77"/>
      <c r="I430" s="77"/>
      <c r="J430" s="58"/>
      <c r="K430" s="3"/>
    </row>
    <row r="431" spans="1:11" s="71" customFormat="1">
      <c r="A431" s="50"/>
      <c r="B431" s="30"/>
      <c r="C431" s="70"/>
      <c r="G431" s="30"/>
      <c r="H431" s="77"/>
      <c r="I431" s="77"/>
      <c r="J431" s="58"/>
      <c r="K431" s="3"/>
    </row>
    <row r="432" spans="1:11" s="71" customFormat="1">
      <c r="A432" s="50"/>
      <c r="B432" s="30"/>
      <c r="C432" s="70"/>
      <c r="G432" s="30"/>
      <c r="H432" s="77"/>
      <c r="I432" s="77"/>
      <c r="J432" s="58"/>
      <c r="K432" s="3"/>
    </row>
    <row r="433" spans="1:11" s="71" customFormat="1">
      <c r="A433" s="50"/>
      <c r="B433" s="30"/>
      <c r="C433" s="70"/>
      <c r="G433" s="30"/>
      <c r="H433" s="77"/>
      <c r="I433" s="77"/>
      <c r="J433" s="58"/>
      <c r="K433" s="3"/>
    </row>
    <row r="434" spans="1:11" s="71" customFormat="1">
      <c r="A434" s="50"/>
      <c r="B434" s="30"/>
      <c r="C434" s="70"/>
      <c r="G434" s="30"/>
      <c r="H434" s="77"/>
      <c r="I434" s="77"/>
      <c r="J434" s="58"/>
      <c r="K434" s="3"/>
    </row>
    <row r="435" spans="1:11" s="71" customFormat="1">
      <c r="A435" s="50"/>
      <c r="B435" s="30"/>
      <c r="C435" s="70"/>
      <c r="G435" s="30"/>
      <c r="H435" s="77"/>
      <c r="I435" s="77"/>
      <c r="J435" s="58"/>
      <c r="K435" s="3"/>
    </row>
    <row r="436" spans="1:11" s="71" customFormat="1">
      <c r="A436" s="50"/>
      <c r="B436" s="30"/>
      <c r="C436" s="70"/>
      <c r="G436" s="30"/>
      <c r="H436" s="77"/>
      <c r="I436" s="77"/>
      <c r="J436" s="58"/>
      <c r="K436" s="3"/>
    </row>
    <row r="437" spans="1:11" s="71" customFormat="1">
      <c r="A437" s="50"/>
      <c r="B437" s="30"/>
      <c r="C437" s="70"/>
      <c r="G437" s="30"/>
      <c r="H437" s="77"/>
      <c r="I437" s="77"/>
      <c r="J437" s="58"/>
      <c r="K437" s="3"/>
    </row>
    <row r="438" spans="1:11" s="71" customFormat="1">
      <c r="A438" s="50"/>
      <c r="B438" s="30"/>
      <c r="C438" s="70"/>
      <c r="G438" s="30"/>
      <c r="H438" s="77"/>
      <c r="I438" s="77"/>
      <c r="J438" s="58"/>
      <c r="K438" s="3"/>
    </row>
    <row r="439" spans="1:11" s="71" customFormat="1">
      <c r="A439" s="50"/>
      <c r="B439" s="30"/>
      <c r="C439" s="70"/>
      <c r="G439" s="30"/>
      <c r="H439" s="77"/>
      <c r="I439" s="77"/>
      <c r="J439" s="58"/>
      <c r="K439" s="3"/>
    </row>
    <row r="440" spans="1:11" s="71" customFormat="1">
      <c r="A440" s="50"/>
      <c r="B440" s="30"/>
      <c r="C440" s="70"/>
      <c r="G440" s="30"/>
      <c r="H440" s="77"/>
      <c r="I440" s="77"/>
      <c r="J440" s="58"/>
      <c r="K440" s="3"/>
    </row>
    <row r="441" spans="1:11" s="71" customFormat="1">
      <c r="A441" s="50"/>
      <c r="B441" s="30"/>
      <c r="C441" s="70"/>
      <c r="G441" s="30"/>
      <c r="H441" s="77"/>
      <c r="I441" s="77"/>
      <c r="J441" s="58"/>
      <c r="K441" s="3"/>
    </row>
    <row r="442" spans="1:11" s="71" customFormat="1">
      <c r="A442" s="50"/>
      <c r="B442" s="30"/>
      <c r="C442" s="70"/>
      <c r="G442" s="30"/>
      <c r="H442" s="77"/>
      <c r="I442" s="77"/>
      <c r="J442" s="58"/>
      <c r="K442" s="3"/>
    </row>
    <row r="443" spans="1:11" s="71" customFormat="1">
      <c r="A443" s="50"/>
      <c r="B443" s="30"/>
      <c r="C443" s="70"/>
      <c r="G443" s="30"/>
      <c r="H443" s="77"/>
      <c r="I443" s="77"/>
      <c r="J443" s="58"/>
      <c r="K443" s="3"/>
    </row>
    <row r="444" spans="1:11" s="71" customFormat="1">
      <c r="A444" s="50"/>
      <c r="B444" s="30"/>
      <c r="C444" s="70"/>
      <c r="G444" s="30"/>
      <c r="H444" s="77"/>
      <c r="I444" s="77"/>
      <c r="J444" s="58"/>
      <c r="K444" s="3"/>
    </row>
    <row r="445" spans="1:11" s="71" customFormat="1">
      <c r="A445" s="50"/>
      <c r="B445" s="30"/>
      <c r="C445" s="70"/>
      <c r="G445" s="30"/>
      <c r="H445" s="77"/>
      <c r="I445" s="77"/>
      <c r="J445" s="58"/>
      <c r="K445" s="3"/>
    </row>
    <row r="446" spans="1:11" s="71" customFormat="1">
      <c r="A446" s="50"/>
      <c r="B446" s="30"/>
      <c r="C446" s="70"/>
      <c r="G446" s="30"/>
      <c r="H446" s="77"/>
      <c r="I446" s="77"/>
      <c r="J446" s="58"/>
      <c r="K446" s="3"/>
    </row>
    <row r="447" spans="1:11" s="71" customFormat="1">
      <c r="A447" s="50"/>
      <c r="B447" s="30"/>
      <c r="C447" s="70"/>
      <c r="G447" s="30"/>
      <c r="H447" s="77"/>
      <c r="I447" s="77"/>
      <c r="J447" s="58"/>
      <c r="K447" s="3"/>
    </row>
    <row r="448" spans="1:11" s="71" customFormat="1">
      <c r="A448" s="50"/>
      <c r="B448" s="30"/>
      <c r="C448" s="70"/>
      <c r="G448" s="30"/>
      <c r="H448" s="77"/>
      <c r="I448" s="77"/>
      <c r="J448" s="58"/>
      <c r="K448" s="3"/>
    </row>
    <row r="449" spans="1:11" s="71" customFormat="1">
      <c r="A449" s="50"/>
      <c r="B449" s="30"/>
      <c r="C449" s="70"/>
      <c r="G449" s="30"/>
      <c r="H449" s="77"/>
      <c r="I449" s="77"/>
      <c r="J449" s="58"/>
      <c r="K449" s="3"/>
    </row>
    <row r="450" spans="1:11" s="71" customFormat="1">
      <c r="A450" s="50"/>
      <c r="B450" s="30"/>
      <c r="C450" s="70"/>
      <c r="G450" s="30"/>
      <c r="H450" s="77"/>
      <c r="I450" s="77"/>
      <c r="J450" s="58"/>
      <c r="K450" s="3"/>
    </row>
    <row r="451" spans="1:11" s="71" customFormat="1">
      <c r="A451" s="50"/>
      <c r="B451" s="30"/>
      <c r="C451" s="70"/>
      <c r="G451" s="30"/>
      <c r="H451" s="77"/>
      <c r="I451" s="77"/>
      <c r="J451" s="58"/>
      <c r="K451" s="3"/>
    </row>
    <row r="452" spans="1:11" s="71" customFormat="1">
      <c r="A452" s="50"/>
      <c r="B452" s="30"/>
      <c r="C452" s="70"/>
      <c r="G452" s="30"/>
      <c r="H452" s="77"/>
      <c r="I452" s="77"/>
      <c r="J452" s="58"/>
      <c r="K452" s="3"/>
    </row>
    <row r="453" spans="1:11" s="71" customFormat="1">
      <c r="A453" s="50"/>
      <c r="B453" s="30"/>
      <c r="C453" s="70"/>
      <c r="G453" s="30"/>
      <c r="H453" s="77"/>
      <c r="I453" s="77"/>
      <c r="J453" s="58"/>
      <c r="K453" s="3"/>
    </row>
    <row r="454" spans="1:11" s="71" customFormat="1">
      <c r="A454" s="50"/>
      <c r="B454" s="30"/>
      <c r="C454" s="70"/>
      <c r="G454" s="30"/>
      <c r="H454" s="77"/>
      <c r="I454" s="77"/>
      <c r="J454" s="58"/>
      <c r="K454" s="3"/>
    </row>
    <row r="455" spans="1:11" s="71" customFormat="1">
      <c r="A455" s="50"/>
      <c r="B455" s="30"/>
      <c r="C455" s="70"/>
      <c r="G455" s="30"/>
      <c r="H455" s="77"/>
      <c r="I455" s="77"/>
      <c r="J455" s="58"/>
      <c r="K455" s="3"/>
    </row>
    <row r="456" spans="1:11" s="71" customFormat="1">
      <c r="A456" s="50"/>
      <c r="B456" s="30"/>
      <c r="C456" s="70"/>
      <c r="G456" s="30"/>
      <c r="H456" s="77"/>
      <c r="I456" s="77"/>
      <c r="J456" s="58"/>
      <c r="K456" s="3"/>
    </row>
    <row r="457" spans="1:11" s="71" customFormat="1">
      <c r="A457" s="50"/>
      <c r="B457" s="30"/>
      <c r="C457" s="70"/>
      <c r="G457" s="30"/>
      <c r="H457" s="77"/>
      <c r="I457" s="77"/>
      <c r="J457" s="58"/>
      <c r="K457" s="3"/>
    </row>
    <row r="458" spans="1:11" s="71" customFormat="1">
      <c r="A458" s="50"/>
      <c r="B458" s="30"/>
      <c r="C458" s="70"/>
      <c r="G458" s="30"/>
      <c r="H458" s="77"/>
      <c r="I458" s="77"/>
      <c r="J458" s="58"/>
      <c r="K458" s="3"/>
    </row>
    <row r="459" spans="1:11" s="71" customFormat="1">
      <c r="A459" s="50"/>
      <c r="B459" s="30"/>
      <c r="C459" s="70"/>
      <c r="G459" s="30"/>
      <c r="H459" s="77"/>
      <c r="I459" s="77"/>
      <c r="J459" s="58"/>
      <c r="K459" s="3"/>
    </row>
    <row r="460" spans="1:11" s="71" customFormat="1">
      <c r="A460" s="50"/>
      <c r="B460" s="30"/>
      <c r="C460" s="70"/>
      <c r="G460" s="30"/>
      <c r="H460" s="77"/>
      <c r="I460" s="77"/>
      <c r="J460" s="58"/>
      <c r="K460" s="3"/>
    </row>
    <row r="461" spans="1:11" s="71" customFormat="1">
      <c r="A461" s="50"/>
      <c r="B461" s="30"/>
      <c r="C461" s="70"/>
      <c r="G461" s="30"/>
      <c r="H461" s="77"/>
      <c r="I461" s="77"/>
      <c r="J461" s="58"/>
      <c r="K461" s="3"/>
    </row>
    <row r="462" spans="1:11" s="71" customFormat="1">
      <c r="A462" s="50"/>
      <c r="B462" s="30"/>
      <c r="C462" s="70"/>
      <c r="G462" s="30"/>
      <c r="H462" s="77"/>
      <c r="I462" s="77"/>
      <c r="J462" s="58"/>
      <c r="K462" s="3"/>
    </row>
    <row r="463" spans="1:11" s="71" customFormat="1">
      <c r="A463" s="50"/>
      <c r="B463" s="30"/>
      <c r="C463" s="70"/>
      <c r="G463" s="30"/>
      <c r="H463" s="77"/>
      <c r="I463" s="77"/>
      <c r="J463" s="58"/>
      <c r="K463" s="3"/>
    </row>
    <row r="464" spans="1:11" s="71" customFormat="1">
      <c r="A464" s="50"/>
      <c r="B464" s="30"/>
      <c r="C464" s="70"/>
      <c r="G464" s="30"/>
      <c r="H464" s="77"/>
      <c r="I464" s="77"/>
      <c r="J464" s="58"/>
      <c r="K464" s="3"/>
    </row>
    <row r="465" spans="1:11" s="71" customFormat="1">
      <c r="A465" s="50"/>
      <c r="B465" s="30"/>
      <c r="C465" s="70"/>
      <c r="G465" s="30"/>
      <c r="H465" s="77"/>
      <c r="I465" s="77"/>
      <c r="J465" s="58"/>
      <c r="K465" s="3"/>
    </row>
    <row r="466" spans="1:11" s="71" customFormat="1">
      <c r="A466" s="50"/>
      <c r="B466" s="30"/>
      <c r="C466" s="70"/>
      <c r="G466" s="30"/>
      <c r="H466" s="77"/>
      <c r="I466" s="77"/>
      <c r="J466" s="58"/>
      <c r="K466" s="3"/>
    </row>
    <row r="467" spans="1:11" s="71" customFormat="1">
      <c r="A467" s="50"/>
      <c r="B467" s="30"/>
      <c r="C467" s="70"/>
      <c r="G467" s="30"/>
      <c r="H467" s="77"/>
      <c r="I467" s="77"/>
      <c r="J467" s="58"/>
      <c r="K467" s="3"/>
    </row>
    <row r="468" spans="1:11" s="71" customFormat="1">
      <c r="A468" s="50"/>
      <c r="B468" s="30"/>
      <c r="C468" s="70"/>
      <c r="G468" s="30"/>
      <c r="H468" s="77"/>
      <c r="I468" s="77"/>
      <c r="J468" s="58"/>
      <c r="K468" s="3"/>
    </row>
    <row r="469" spans="1:11" s="71" customFormat="1">
      <c r="A469" s="50"/>
      <c r="B469" s="30"/>
      <c r="C469" s="70"/>
      <c r="G469" s="30"/>
      <c r="H469" s="77"/>
      <c r="I469" s="77"/>
      <c r="J469" s="58"/>
      <c r="K469" s="3"/>
    </row>
    <row r="470" spans="1:11" s="71" customFormat="1">
      <c r="A470" s="50"/>
      <c r="B470" s="30"/>
      <c r="C470" s="70"/>
      <c r="G470" s="30"/>
      <c r="H470" s="77"/>
      <c r="I470" s="77"/>
      <c r="J470" s="58"/>
      <c r="K470" s="3"/>
    </row>
    <row r="471" spans="1:11" s="71" customFormat="1">
      <c r="A471" s="50"/>
      <c r="B471" s="30"/>
      <c r="C471" s="70"/>
      <c r="G471" s="30"/>
      <c r="H471" s="77"/>
      <c r="I471" s="77"/>
      <c r="J471" s="58"/>
      <c r="K471" s="3"/>
    </row>
    <row r="472" spans="1:11" s="71" customFormat="1">
      <c r="A472" s="50"/>
      <c r="B472" s="30"/>
      <c r="C472" s="70"/>
      <c r="G472" s="30"/>
      <c r="H472" s="77"/>
      <c r="I472" s="77"/>
      <c r="J472" s="58"/>
      <c r="K472" s="3"/>
    </row>
    <row r="473" spans="1:11" s="71" customFormat="1">
      <c r="A473" s="50"/>
      <c r="B473" s="30"/>
      <c r="C473" s="70"/>
      <c r="G473" s="30"/>
      <c r="H473" s="77"/>
      <c r="I473" s="77"/>
      <c r="J473" s="58"/>
      <c r="K473" s="3"/>
    </row>
    <row r="474" spans="1:11" s="71" customFormat="1">
      <c r="A474" s="50"/>
      <c r="B474" s="30"/>
      <c r="C474" s="70"/>
      <c r="G474" s="30"/>
      <c r="H474" s="77"/>
      <c r="I474" s="77"/>
      <c r="J474" s="58"/>
      <c r="K474" s="3"/>
    </row>
    <row r="475" spans="1:11" s="71" customFormat="1">
      <c r="A475" s="50"/>
      <c r="B475" s="30"/>
      <c r="C475" s="70"/>
      <c r="G475" s="30"/>
      <c r="H475" s="77"/>
      <c r="I475" s="77"/>
      <c r="J475" s="58"/>
      <c r="K475" s="3"/>
    </row>
    <row r="476" spans="1:11" s="71" customFormat="1">
      <c r="A476" s="50"/>
      <c r="B476" s="30"/>
      <c r="C476" s="70"/>
      <c r="G476" s="30"/>
      <c r="H476" s="77"/>
      <c r="I476" s="77"/>
      <c r="J476" s="58"/>
      <c r="K476" s="3"/>
    </row>
    <row r="477" spans="1:11" s="71" customFormat="1">
      <c r="A477" s="50"/>
      <c r="B477" s="30"/>
      <c r="C477" s="70"/>
      <c r="G477" s="30"/>
      <c r="H477" s="77"/>
      <c r="I477" s="77"/>
      <c r="J477" s="58"/>
      <c r="K477" s="3"/>
    </row>
    <row r="478" spans="1:11" s="71" customFormat="1">
      <c r="A478" s="50"/>
      <c r="B478" s="30"/>
      <c r="C478" s="70"/>
      <c r="G478" s="30"/>
      <c r="H478" s="77"/>
      <c r="I478" s="77"/>
      <c r="J478" s="58"/>
      <c r="K478" s="3"/>
    </row>
    <row r="479" spans="1:11" s="71" customFormat="1">
      <c r="A479" s="50"/>
      <c r="B479" s="30"/>
      <c r="C479" s="70"/>
      <c r="G479" s="30"/>
      <c r="H479" s="77"/>
      <c r="I479" s="77"/>
      <c r="J479" s="58"/>
      <c r="K479" s="3"/>
    </row>
    <row r="480" spans="1:11" s="71" customFormat="1">
      <c r="A480" s="50"/>
      <c r="B480" s="30"/>
      <c r="C480" s="70"/>
      <c r="G480" s="30"/>
      <c r="H480" s="77"/>
      <c r="I480" s="77"/>
      <c r="J480" s="58"/>
      <c r="K480" s="3"/>
    </row>
    <row r="481" spans="1:11" s="71" customFormat="1">
      <c r="A481" s="50"/>
      <c r="B481" s="30"/>
      <c r="C481" s="70"/>
      <c r="G481" s="30"/>
      <c r="H481" s="77"/>
      <c r="I481" s="77"/>
      <c r="J481" s="58"/>
      <c r="K481" s="3"/>
    </row>
    <row r="482" spans="1:11" s="71" customFormat="1">
      <c r="A482" s="50"/>
      <c r="B482" s="30"/>
      <c r="C482" s="70"/>
      <c r="G482" s="30"/>
      <c r="H482" s="77"/>
      <c r="I482" s="77"/>
      <c r="J482" s="58"/>
      <c r="K482" s="3"/>
    </row>
    <row r="483" spans="1:11" s="71" customFormat="1">
      <c r="A483" s="50"/>
      <c r="B483" s="30"/>
      <c r="C483" s="70"/>
      <c r="G483" s="30"/>
      <c r="H483" s="77"/>
      <c r="I483" s="77"/>
      <c r="J483" s="58"/>
      <c r="K483" s="3"/>
    </row>
    <row r="484" spans="1:11" s="71" customFormat="1">
      <c r="A484" s="50"/>
      <c r="B484" s="30"/>
      <c r="C484" s="70"/>
      <c r="G484" s="30"/>
      <c r="H484" s="77"/>
      <c r="I484" s="77"/>
      <c r="J484" s="58"/>
      <c r="K484" s="3"/>
    </row>
    <row r="485" spans="1:11" s="71" customFormat="1">
      <c r="A485" s="50"/>
      <c r="B485" s="30"/>
      <c r="C485" s="70"/>
      <c r="G485" s="30"/>
      <c r="H485" s="77"/>
      <c r="I485" s="77"/>
      <c r="J485" s="58"/>
      <c r="K485" s="3"/>
    </row>
    <row r="486" spans="1:11" s="71" customFormat="1">
      <c r="A486" s="50"/>
      <c r="B486" s="30"/>
      <c r="C486" s="70"/>
      <c r="G486" s="30"/>
      <c r="H486" s="77"/>
      <c r="I486" s="77"/>
      <c r="J486" s="58"/>
      <c r="K486" s="3"/>
    </row>
    <row r="487" spans="1:11" s="71" customFormat="1">
      <c r="A487" s="50"/>
      <c r="B487" s="30"/>
      <c r="C487" s="70"/>
      <c r="G487" s="30"/>
      <c r="H487" s="77"/>
      <c r="I487" s="77"/>
      <c r="J487" s="58"/>
      <c r="K487" s="3"/>
    </row>
    <row r="488" spans="1:11" s="71" customFormat="1">
      <c r="A488" s="50"/>
      <c r="B488" s="30"/>
      <c r="C488" s="70"/>
      <c r="G488" s="30"/>
      <c r="H488" s="77"/>
      <c r="I488" s="77"/>
      <c r="J488" s="58"/>
      <c r="K488" s="3"/>
    </row>
    <row r="489" spans="1:11" s="71" customFormat="1">
      <c r="A489" s="50"/>
      <c r="B489" s="30"/>
      <c r="C489" s="70"/>
      <c r="G489" s="30"/>
      <c r="H489" s="77"/>
      <c r="I489" s="77"/>
      <c r="J489" s="58"/>
      <c r="K489" s="3"/>
    </row>
    <row r="490" spans="1:11" s="71" customFormat="1">
      <c r="A490" s="50"/>
      <c r="B490" s="30"/>
      <c r="C490" s="70"/>
      <c r="G490" s="30"/>
      <c r="H490" s="77"/>
      <c r="I490" s="77"/>
      <c r="J490" s="58"/>
      <c r="K490" s="3"/>
    </row>
    <row r="491" spans="1:11" s="71" customFormat="1">
      <c r="A491" s="50"/>
      <c r="B491" s="30"/>
      <c r="C491" s="70"/>
      <c r="G491" s="30"/>
      <c r="H491" s="77"/>
      <c r="I491" s="77"/>
      <c r="J491" s="58"/>
      <c r="K491" s="3"/>
    </row>
    <row r="492" spans="1:11" s="71" customFormat="1">
      <c r="A492" s="50"/>
      <c r="B492" s="30"/>
      <c r="C492" s="70"/>
      <c r="G492" s="30"/>
      <c r="H492" s="77"/>
      <c r="I492" s="77"/>
      <c r="J492" s="58"/>
      <c r="K492" s="3"/>
    </row>
    <row r="493" spans="1:11" s="71" customFormat="1">
      <c r="A493" s="50"/>
      <c r="B493" s="30"/>
      <c r="C493" s="70"/>
      <c r="G493" s="30"/>
      <c r="H493" s="77"/>
      <c r="I493" s="77"/>
      <c r="J493" s="58"/>
      <c r="K493" s="3"/>
    </row>
    <row r="494" spans="1:11" s="71" customFormat="1">
      <c r="A494" s="50"/>
      <c r="B494" s="30"/>
      <c r="C494" s="70"/>
      <c r="G494" s="30"/>
      <c r="H494" s="77"/>
      <c r="I494" s="77"/>
      <c r="J494" s="58"/>
      <c r="K494" s="3"/>
    </row>
    <row r="495" spans="1:11" s="71" customFormat="1">
      <c r="A495" s="50"/>
      <c r="B495" s="30"/>
      <c r="C495" s="70"/>
      <c r="G495" s="30"/>
      <c r="H495" s="77"/>
      <c r="I495" s="77"/>
      <c r="J495" s="58"/>
      <c r="K495" s="3"/>
    </row>
    <row r="496" spans="1:11" s="71" customFormat="1">
      <c r="A496" s="50"/>
      <c r="B496" s="30"/>
      <c r="C496" s="70"/>
      <c r="G496" s="30"/>
      <c r="H496" s="77"/>
      <c r="I496" s="77"/>
      <c r="J496" s="58"/>
      <c r="K496" s="3"/>
    </row>
    <row r="497" spans="1:11" s="71" customFormat="1">
      <c r="A497" s="50"/>
      <c r="B497" s="30"/>
      <c r="C497" s="70"/>
      <c r="G497" s="30"/>
      <c r="H497" s="77"/>
      <c r="I497" s="77"/>
      <c r="J497" s="58"/>
      <c r="K497" s="3"/>
    </row>
    <row r="498" spans="1:11" s="71" customFormat="1">
      <c r="A498" s="50"/>
      <c r="B498" s="30"/>
      <c r="C498" s="70"/>
      <c r="G498" s="30"/>
      <c r="H498" s="77"/>
      <c r="I498" s="77"/>
      <c r="J498" s="58"/>
      <c r="K498" s="3"/>
    </row>
    <row r="499" spans="1:11" s="71" customFormat="1">
      <c r="A499" s="50"/>
      <c r="B499" s="30"/>
      <c r="C499" s="70"/>
      <c r="G499" s="30"/>
      <c r="H499" s="77"/>
      <c r="I499" s="77"/>
      <c r="J499" s="58"/>
      <c r="K499" s="3"/>
    </row>
    <row r="500" spans="1:11" s="71" customFormat="1">
      <c r="A500" s="50"/>
      <c r="B500" s="30"/>
      <c r="C500" s="70"/>
      <c r="G500" s="30"/>
      <c r="H500" s="77"/>
      <c r="I500" s="77"/>
      <c r="J500" s="58"/>
      <c r="K500" s="3"/>
    </row>
    <row r="501" spans="1:11" s="71" customFormat="1">
      <c r="A501" s="50"/>
      <c r="B501" s="30"/>
      <c r="C501" s="70"/>
      <c r="G501" s="30"/>
      <c r="H501" s="77"/>
      <c r="I501" s="77"/>
      <c r="J501" s="58"/>
      <c r="K501" s="3"/>
    </row>
    <row r="502" spans="1:11" s="71" customFormat="1">
      <c r="A502" s="50"/>
      <c r="B502" s="30"/>
      <c r="C502" s="70"/>
      <c r="G502" s="30"/>
      <c r="H502" s="77"/>
      <c r="I502" s="77"/>
      <c r="J502" s="58"/>
      <c r="K502" s="3"/>
    </row>
    <row r="503" spans="1:11" s="71" customFormat="1">
      <c r="A503" s="50"/>
      <c r="B503" s="30"/>
      <c r="C503" s="70"/>
      <c r="G503" s="30"/>
      <c r="H503" s="77"/>
      <c r="I503" s="77"/>
      <c r="J503" s="58"/>
      <c r="K503" s="3"/>
    </row>
    <row r="504" spans="1:11" s="71" customFormat="1">
      <c r="A504" s="50"/>
      <c r="B504" s="30"/>
      <c r="C504" s="70"/>
      <c r="G504" s="30"/>
      <c r="H504" s="77"/>
      <c r="I504" s="77"/>
      <c r="J504" s="58"/>
      <c r="K504" s="3"/>
    </row>
    <row r="505" spans="1:11" s="71" customFormat="1">
      <c r="A505" s="50"/>
      <c r="B505" s="30"/>
      <c r="C505" s="70"/>
      <c r="G505" s="30"/>
      <c r="H505" s="77"/>
      <c r="I505" s="77"/>
      <c r="J505" s="58"/>
      <c r="K505" s="3"/>
    </row>
    <row r="506" spans="1:11" s="71" customFormat="1">
      <c r="A506" s="50"/>
      <c r="B506" s="30"/>
      <c r="C506" s="70"/>
      <c r="G506" s="30"/>
      <c r="H506" s="77"/>
      <c r="I506" s="77"/>
      <c r="J506" s="58"/>
      <c r="K506" s="3"/>
    </row>
    <row r="507" spans="1:11" s="71" customFormat="1">
      <c r="A507" s="50"/>
      <c r="B507" s="30"/>
      <c r="C507" s="70"/>
      <c r="G507" s="30"/>
      <c r="H507" s="77"/>
      <c r="I507" s="77"/>
      <c r="J507" s="58"/>
      <c r="K507" s="3"/>
    </row>
    <row r="508" spans="1:11" s="71" customFormat="1">
      <c r="A508" s="50"/>
      <c r="B508" s="30"/>
      <c r="C508" s="70"/>
      <c r="G508" s="30"/>
      <c r="H508" s="77"/>
      <c r="I508" s="77"/>
      <c r="J508" s="58"/>
      <c r="K508" s="3"/>
    </row>
    <row r="509" spans="1:11" s="71" customFormat="1">
      <c r="A509" s="50"/>
      <c r="B509" s="30"/>
      <c r="C509" s="70"/>
      <c r="G509" s="30"/>
      <c r="H509" s="77"/>
      <c r="I509" s="77"/>
      <c r="J509" s="58"/>
      <c r="K509" s="3"/>
    </row>
    <row r="510" spans="1:11" s="71" customFormat="1">
      <c r="A510" s="50"/>
      <c r="B510" s="30"/>
      <c r="C510" s="70"/>
      <c r="G510" s="30"/>
      <c r="H510" s="77"/>
      <c r="I510" s="77"/>
      <c r="J510" s="58"/>
      <c r="K510" s="3"/>
    </row>
    <row r="511" spans="1:11" s="71" customFormat="1">
      <c r="A511" s="50"/>
      <c r="B511" s="30"/>
      <c r="C511" s="70"/>
      <c r="G511" s="30"/>
      <c r="H511" s="77"/>
      <c r="I511" s="77"/>
      <c r="J511" s="58"/>
      <c r="K511" s="3"/>
    </row>
    <row r="512" spans="1:11" s="71" customFormat="1">
      <c r="A512" s="50"/>
      <c r="B512" s="30"/>
      <c r="C512" s="70"/>
      <c r="G512" s="30"/>
      <c r="H512" s="77"/>
      <c r="I512" s="77"/>
      <c r="J512" s="58"/>
      <c r="K512" s="3"/>
    </row>
    <row r="513" spans="1:11" s="71" customFormat="1">
      <c r="A513" s="50"/>
      <c r="B513" s="30"/>
      <c r="C513" s="70"/>
      <c r="G513" s="30"/>
      <c r="H513" s="77"/>
      <c r="I513" s="77"/>
      <c r="J513" s="58"/>
      <c r="K513" s="3"/>
    </row>
    <row r="514" spans="1:11" s="71" customFormat="1">
      <c r="A514" s="50"/>
      <c r="B514" s="30"/>
      <c r="C514" s="70"/>
      <c r="G514" s="30"/>
      <c r="H514" s="77"/>
      <c r="I514" s="77"/>
      <c r="J514" s="58"/>
      <c r="K514" s="3"/>
    </row>
    <row r="515" spans="1:11" s="71" customFormat="1">
      <c r="A515" s="50"/>
      <c r="B515" s="30"/>
      <c r="C515" s="70"/>
      <c r="G515" s="30"/>
      <c r="H515" s="77"/>
      <c r="I515" s="77"/>
      <c r="J515" s="58"/>
      <c r="K515" s="3"/>
    </row>
    <row r="516" spans="1:11" s="71" customFormat="1">
      <c r="A516" s="50"/>
      <c r="B516" s="30"/>
      <c r="C516" s="70"/>
      <c r="G516" s="30"/>
      <c r="H516" s="77"/>
      <c r="I516" s="77"/>
      <c r="J516" s="58"/>
      <c r="K516" s="3"/>
    </row>
    <row r="517" spans="1:11" s="71" customFormat="1">
      <c r="A517" s="50"/>
      <c r="B517" s="30"/>
      <c r="C517" s="70"/>
      <c r="G517" s="30"/>
      <c r="H517" s="77"/>
      <c r="I517" s="77"/>
      <c r="J517" s="58"/>
      <c r="K517" s="3"/>
    </row>
    <row r="518" spans="1:11" s="71" customFormat="1">
      <c r="A518" s="50"/>
      <c r="B518" s="30"/>
      <c r="C518" s="70"/>
      <c r="G518" s="30"/>
      <c r="H518" s="77"/>
      <c r="I518" s="77"/>
      <c r="J518" s="58"/>
      <c r="K518" s="3"/>
    </row>
    <row r="519" spans="1:11" s="71" customFormat="1">
      <c r="A519" s="50"/>
      <c r="B519" s="30"/>
      <c r="C519" s="70"/>
      <c r="G519" s="30"/>
      <c r="H519" s="77"/>
      <c r="I519" s="77"/>
      <c r="J519" s="58"/>
      <c r="K519" s="3"/>
    </row>
    <row r="520" spans="1:11" s="71" customFormat="1">
      <c r="A520" s="50"/>
      <c r="B520" s="30"/>
      <c r="C520" s="70"/>
      <c r="G520" s="30"/>
      <c r="H520" s="77"/>
      <c r="I520" s="77"/>
      <c r="J520" s="58"/>
      <c r="K520" s="3"/>
    </row>
    <row r="521" spans="1:11" s="71" customFormat="1">
      <c r="A521" s="50"/>
      <c r="B521" s="30"/>
      <c r="C521" s="70"/>
      <c r="G521" s="30"/>
      <c r="H521" s="77"/>
      <c r="I521" s="77"/>
      <c r="J521" s="58"/>
      <c r="K521" s="3"/>
    </row>
    <row r="522" spans="1:11" s="71" customFormat="1">
      <c r="A522" s="50"/>
      <c r="B522" s="30"/>
      <c r="C522" s="70"/>
      <c r="G522" s="30"/>
      <c r="H522" s="77"/>
      <c r="I522" s="77"/>
      <c r="J522" s="58"/>
      <c r="K522" s="3"/>
    </row>
    <row r="523" spans="1:11" s="71" customFormat="1">
      <c r="A523" s="50"/>
      <c r="B523" s="30"/>
      <c r="C523" s="70"/>
      <c r="G523" s="30"/>
      <c r="H523" s="77"/>
      <c r="I523" s="77"/>
      <c r="J523" s="58"/>
      <c r="K523" s="3"/>
    </row>
    <row r="524" spans="1:11" s="71" customFormat="1">
      <c r="A524" s="50"/>
      <c r="B524" s="30"/>
      <c r="C524" s="70"/>
      <c r="G524" s="30"/>
      <c r="H524" s="77"/>
      <c r="I524" s="77"/>
      <c r="J524" s="58"/>
      <c r="K524" s="3"/>
    </row>
    <row r="525" spans="1:11" s="71" customFormat="1">
      <c r="A525" s="50"/>
      <c r="B525" s="30"/>
      <c r="C525" s="70"/>
      <c r="G525" s="30"/>
      <c r="H525" s="77"/>
      <c r="I525" s="77"/>
      <c r="J525" s="58"/>
      <c r="K525" s="3"/>
    </row>
    <row r="526" spans="1:11" s="71" customFormat="1">
      <c r="A526" s="50"/>
      <c r="B526" s="30"/>
      <c r="C526" s="70"/>
      <c r="G526" s="30"/>
      <c r="H526" s="77"/>
      <c r="I526" s="77"/>
      <c r="J526" s="58"/>
      <c r="K526" s="3"/>
    </row>
    <row r="527" spans="1:11" s="71" customFormat="1">
      <c r="A527" s="50"/>
      <c r="B527" s="30"/>
      <c r="C527" s="70"/>
      <c r="G527" s="30"/>
      <c r="H527" s="77"/>
      <c r="I527" s="77"/>
      <c r="J527" s="58"/>
      <c r="K527" s="3"/>
    </row>
    <row r="528" spans="1:11" s="71" customFormat="1">
      <c r="A528" s="50"/>
      <c r="B528" s="30"/>
      <c r="C528" s="70"/>
      <c r="G528" s="30"/>
      <c r="H528" s="77"/>
      <c r="I528" s="77"/>
      <c r="J528" s="58"/>
      <c r="K528" s="3"/>
    </row>
    <row r="529" spans="1:11" s="71" customFormat="1">
      <c r="A529" s="50"/>
      <c r="B529" s="30"/>
      <c r="C529" s="70"/>
      <c r="G529" s="30"/>
      <c r="H529" s="77"/>
      <c r="I529" s="77"/>
      <c r="J529" s="58"/>
      <c r="K529" s="3"/>
    </row>
    <row r="530" spans="1:11" s="71" customFormat="1">
      <c r="A530" s="50"/>
      <c r="B530" s="30"/>
      <c r="C530" s="70"/>
      <c r="G530" s="30"/>
      <c r="H530" s="77"/>
      <c r="I530" s="77"/>
      <c r="J530" s="58"/>
      <c r="K530" s="3"/>
    </row>
    <row r="531" spans="1:11" s="71" customFormat="1">
      <c r="A531" s="50"/>
      <c r="B531" s="30"/>
      <c r="C531" s="70"/>
      <c r="G531" s="30"/>
      <c r="H531" s="77"/>
      <c r="I531" s="77"/>
      <c r="J531" s="58"/>
      <c r="K531" s="3"/>
    </row>
    <row r="532" spans="1:11" s="71" customFormat="1">
      <c r="A532" s="50"/>
      <c r="B532" s="30"/>
      <c r="C532" s="70"/>
      <c r="G532" s="30"/>
      <c r="H532" s="77"/>
      <c r="I532" s="77"/>
      <c r="J532" s="58"/>
      <c r="K532" s="3"/>
    </row>
    <row r="533" spans="1:11" s="71" customFormat="1">
      <c r="A533" s="87"/>
      <c r="B533" s="30"/>
      <c r="C533" s="70"/>
      <c r="G533" s="30"/>
      <c r="H533" s="77"/>
      <c r="I533" s="77"/>
      <c r="J533" s="58"/>
      <c r="K533" s="3"/>
    </row>
    <row r="534" spans="1:11" s="71" customFormat="1">
      <c r="A534" s="87"/>
      <c r="B534" s="30"/>
      <c r="C534" s="70"/>
      <c r="G534" s="30"/>
      <c r="H534" s="77"/>
      <c r="I534" s="77"/>
      <c r="J534" s="58"/>
      <c r="K534" s="3"/>
    </row>
    <row r="535" spans="1:11" s="71" customFormat="1">
      <c r="A535" s="87"/>
      <c r="B535" s="30"/>
      <c r="C535" s="70"/>
      <c r="G535" s="30"/>
      <c r="H535" s="77"/>
      <c r="I535" s="77"/>
      <c r="J535" s="58"/>
      <c r="K535" s="3"/>
    </row>
    <row r="536" spans="1:11" s="71" customFormat="1">
      <c r="A536" s="87"/>
      <c r="B536" s="30"/>
      <c r="C536" s="70"/>
      <c r="G536" s="30"/>
      <c r="H536" s="77"/>
      <c r="I536" s="77"/>
      <c r="J536" s="58"/>
      <c r="K536" s="3"/>
    </row>
    <row r="537" spans="1:11" s="71" customFormat="1">
      <c r="A537" s="87"/>
      <c r="B537" s="30"/>
      <c r="C537" s="70"/>
      <c r="G537" s="30"/>
      <c r="H537" s="77"/>
      <c r="I537" s="77"/>
      <c r="J537" s="58"/>
      <c r="K537" s="3"/>
    </row>
    <row r="538" spans="1:11" s="71" customFormat="1">
      <c r="A538" s="87"/>
      <c r="B538" s="30"/>
      <c r="C538" s="70"/>
      <c r="G538" s="30"/>
      <c r="H538" s="77"/>
      <c r="I538" s="77"/>
      <c r="J538" s="58"/>
      <c r="K538" s="3"/>
    </row>
    <row r="539" spans="1:11" s="71" customFormat="1">
      <c r="A539" s="87"/>
      <c r="B539" s="30"/>
      <c r="C539" s="70"/>
      <c r="G539" s="30"/>
      <c r="H539" s="77"/>
      <c r="I539" s="77"/>
      <c r="J539" s="58"/>
      <c r="K539" s="3"/>
    </row>
    <row r="540" spans="1:11" s="71" customFormat="1">
      <c r="A540" s="87"/>
      <c r="B540" s="30"/>
      <c r="C540" s="70"/>
      <c r="G540" s="30"/>
      <c r="H540" s="77"/>
      <c r="I540" s="77"/>
      <c r="J540" s="58"/>
      <c r="K540" s="3"/>
    </row>
    <row r="541" spans="1:11" s="71" customFormat="1">
      <c r="A541" s="87"/>
      <c r="B541" s="30"/>
      <c r="C541" s="70"/>
      <c r="G541" s="30"/>
      <c r="H541" s="77"/>
      <c r="I541" s="77"/>
      <c r="J541" s="58"/>
      <c r="K541" s="3"/>
    </row>
    <row r="542" spans="1:11" s="71" customFormat="1">
      <c r="A542" s="87"/>
      <c r="B542" s="30"/>
      <c r="C542" s="70"/>
      <c r="G542" s="30"/>
      <c r="H542" s="77"/>
      <c r="I542" s="77"/>
      <c r="J542" s="58"/>
      <c r="K542" s="3"/>
    </row>
    <row r="543" spans="1:11" s="71" customFormat="1">
      <c r="A543" s="87"/>
      <c r="B543" s="30"/>
      <c r="C543" s="70"/>
      <c r="G543" s="30"/>
      <c r="H543" s="77"/>
      <c r="I543" s="77"/>
      <c r="J543" s="58"/>
      <c r="K543" s="3"/>
    </row>
    <row r="544" spans="1:11" s="71" customFormat="1">
      <c r="A544" s="87"/>
      <c r="B544" s="30"/>
      <c r="C544" s="70"/>
      <c r="G544" s="30"/>
      <c r="H544" s="77"/>
      <c r="I544" s="77"/>
      <c r="J544" s="58"/>
      <c r="K544" s="3"/>
    </row>
    <row r="545" spans="1:11" s="71" customFormat="1">
      <c r="A545" s="87"/>
      <c r="B545" s="30"/>
      <c r="C545" s="70"/>
      <c r="G545" s="30"/>
      <c r="H545" s="77"/>
      <c r="I545" s="77"/>
      <c r="J545" s="58"/>
      <c r="K545" s="3"/>
    </row>
    <row r="546" spans="1:11" s="71" customFormat="1">
      <c r="A546" s="87"/>
      <c r="B546" s="30"/>
      <c r="C546" s="70"/>
      <c r="G546" s="30"/>
      <c r="H546" s="77"/>
      <c r="I546" s="77"/>
      <c r="J546" s="58"/>
      <c r="K546" s="3"/>
    </row>
    <row r="547" spans="1:11" s="71" customFormat="1">
      <c r="A547" s="87"/>
      <c r="B547" s="30"/>
      <c r="C547" s="70"/>
      <c r="G547" s="30"/>
      <c r="H547" s="77"/>
      <c r="I547" s="77"/>
      <c r="J547" s="58"/>
      <c r="K547" s="3"/>
    </row>
    <row r="548" spans="1:11" s="71" customFormat="1">
      <c r="A548" s="87"/>
      <c r="B548" s="30"/>
      <c r="C548" s="70"/>
      <c r="G548" s="30"/>
      <c r="H548" s="77"/>
      <c r="I548" s="77"/>
      <c r="J548" s="58"/>
      <c r="K548" s="3"/>
    </row>
    <row r="549" spans="1:11" s="71" customFormat="1">
      <c r="A549" s="87"/>
      <c r="B549" s="30"/>
      <c r="C549" s="70"/>
      <c r="G549" s="30"/>
      <c r="H549" s="77"/>
      <c r="I549" s="77"/>
      <c r="J549" s="58"/>
      <c r="K549" s="3"/>
    </row>
    <row r="550" spans="1:11" s="71" customFormat="1">
      <c r="A550" s="87"/>
      <c r="B550" s="30"/>
      <c r="C550" s="70"/>
      <c r="G550" s="30"/>
      <c r="H550" s="77"/>
      <c r="I550" s="77"/>
      <c r="J550" s="58"/>
      <c r="K550" s="3"/>
    </row>
    <row r="551" spans="1:11" s="71" customFormat="1">
      <c r="A551" s="87"/>
      <c r="B551" s="30"/>
      <c r="C551" s="70"/>
      <c r="G551" s="30"/>
      <c r="H551" s="77"/>
      <c r="I551" s="77"/>
      <c r="J551" s="58"/>
      <c r="K551" s="3"/>
    </row>
    <row r="552" spans="1:11" s="71" customFormat="1">
      <c r="A552" s="87"/>
      <c r="B552" s="30"/>
      <c r="C552" s="70"/>
      <c r="G552" s="30"/>
      <c r="H552" s="77"/>
      <c r="I552" s="77"/>
      <c r="J552" s="58"/>
      <c r="K552" s="3"/>
    </row>
    <row r="553" spans="1:11" s="71" customFormat="1">
      <c r="A553" s="87"/>
      <c r="B553" s="30"/>
      <c r="C553" s="70"/>
      <c r="G553" s="30"/>
      <c r="H553" s="77"/>
      <c r="I553" s="77"/>
      <c r="J553" s="58"/>
      <c r="K553" s="3"/>
    </row>
    <row r="554" spans="1:11" s="71" customFormat="1">
      <c r="A554" s="87"/>
      <c r="B554" s="30"/>
      <c r="C554" s="70"/>
      <c r="G554" s="30"/>
      <c r="H554" s="77"/>
      <c r="I554" s="77"/>
      <c r="J554" s="58"/>
      <c r="K554" s="3"/>
    </row>
    <row r="555" spans="1:11" s="71" customFormat="1">
      <c r="A555" s="87"/>
      <c r="B555" s="30"/>
      <c r="C555" s="70"/>
      <c r="G555" s="30"/>
      <c r="H555" s="77"/>
      <c r="I555" s="77"/>
      <c r="J555" s="58"/>
      <c r="K555" s="3"/>
    </row>
    <row r="556" spans="1:11" s="71" customFormat="1">
      <c r="A556" s="87"/>
      <c r="B556" s="30"/>
      <c r="C556" s="70"/>
      <c r="G556" s="30"/>
      <c r="H556" s="77"/>
      <c r="I556" s="77"/>
      <c r="J556" s="58"/>
      <c r="K556" s="3"/>
    </row>
    <row r="557" spans="1:11" s="71" customFormat="1">
      <c r="A557" s="87"/>
      <c r="B557" s="30"/>
      <c r="C557" s="70"/>
      <c r="G557" s="30"/>
      <c r="H557" s="77"/>
      <c r="I557" s="77"/>
      <c r="J557" s="58"/>
      <c r="K557" s="3"/>
    </row>
    <row r="558" spans="1:11" s="71" customFormat="1">
      <c r="A558" s="87"/>
      <c r="B558" s="30"/>
      <c r="C558" s="70"/>
      <c r="G558" s="30"/>
      <c r="H558" s="77"/>
      <c r="I558" s="77"/>
      <c r="J558" s="58"/>
      <c r="K558" s="3"/>
    </row>
    <row r="559" spans="1:11" s="71" customFormat="1">
      <c r="A559" s="87"/>
      <c r="B559" s="30"/>
      <c r="C559" s="70"/>
      <c r="G559" s="30"/>
      <c r="H559" s="77"/>
      <c r="I559" s="77"/>
      <c r="J559" s="58"/>
      <c r="K559" s="3"/>
    </row>
    <row r="560" spans="1:11" s="71" customFormat="1">
      <c r="A560" s="87"/>
      <c r="B560" s="30"/>
      <c r="C560" s="70"/>
      <c r="G560" s="30"/>
      <c r="H560" s="77"/>
      <c r="I560" s="77"/>
      <c r="J560" s="58"/>
      <c r="K560" s="3"/>
    </row>
    <row r="561" spans="1:11" s="71" customFormat="1">
      <c r="A561" s="87"/>
      <c r="B561" s="30"/>
      <c r="C561" s="70"/>
      <c r="G561" s="30"/>
      <c r="H561" s="77"/>
      <c r="I561" s="77"/>
      <c r="J561" s="58"/>
      <c r="K561" s="3"/>
    </row>
    <row r="562" spans="1:11" s="71" customFormat="1">
      <c r="A562" s="87"/>
      <c r="B562" s="30"/>
      <c r="C562" s="70"/>
      <c r="G562" s="30"/>
      <c r="H562" s="77"/>
      <c r="I562" s="77"/>
      <c r="J562" s="58"/>
      <c r="K562" s="3"/>
    </row>
    <row r="563" spans="1:11" s="71" customFormat="1">
      <c r="A563" s="87"/>
      <c r="B563" s="30"/>
      <c r="C563" s="70"/>
      <c r="G563" s="30"/>
      <c r="H563" s="77"/>
      <c r="I563" s="77"/>
      <c r="J563" s="58"/>
      <c r="K563" s="3"/>
    </row>
    <row r="564" spans="1:11" s="71" customFormat="1">
      <c r="A564" s="87"/>
      <c r="B564" s="30"/>
      <c r="C564" s="70"/>
      <c r="G564" s="30"/>
      <c r="H564" s="77"/>
      <c r="I564" s="77"/>
      <c r="J564" s="58"/>
      <c r="K564" s="3"/>
    </row>
    <row r="565" spans="1:11" s="71" customFormat="1">
      <c r="A565" s="87"/>
      <c r="B565" s="30"/>
      <c r="C565" s="70"/>
      <c r="G565" s="30"/>
      <c r="H565" s="77"/>
      <c r="I565" s="77"/>
      <c r="J565" s="58"/>
      <c r="K565" s="3"/>
    </row>
    <row r="566" spans="1:11" s="71" customFormat="1">
      <c r="A566" s="87"/>
      <c r="B566" s="30"/>
      <c r="C566" s="70"/>
      <c r="G566" s="30"/>
      <c r="H566" s="77"/>
      <c r="I566" s="77"/>
      <c r="J566" s="58"/>
      <c r="K566" s="3"/>
    </row>
    <row r="567" spans="1:11" s="71" customFormat="1">
      <c r="A567" s="87"/>
      <c r="B567" s="30"/>
      <c r="C567" s="70"/>
      <c r="G567" s="30"/>
      <c r="H567" s="77"/>
      <c r="I567" s="77"/>
      <c r="J567" s="58"/>
      <c r="K567" s="3"/>
    </row>
    <row r="568" spans="1:11" s="71" customFormat="1">
      <c r="A568" s="87"/>
      <c r="B568" s="30"/>
      <c r="C568" s="70"/>
      <c r="G568" s="30"/>
      <c r="H568" s="77"/>
      <c r="I568" s="77"/>
      <c r="J568" s="58"/>
      <c r="K568" s="3"/>
    </row>
    <row r="569" spans="1:11" s="71" customFormat="1">
      <c r="A569" s="87"/>
      <c r="B569" s="30"/>
      <c r="C569" s="70"/>
      <c r="G569" s="30"/>
      <c r="H569" s="77"/>
      <c r="I569" s="77"/>
      <c r="J569" s="58"/>
      <c r="K569" s="3"/>
    </row>
    <row r="570" spans="1:11" s="71" customFormat="1">
      <c r="A570" s="87"/>
      <c r="B570" s="30"/>
      <c r="C570" s="70"/>
      <c r="G570" s="30"/>
      <c r="H570" s="77"/>
      <c r="I570" s="77"/>
      <c r="J570" s="58"/>
      <c r="K570" s="3"/>
    </row>
    <row r="571" spans="1:11" s="71" customFormat="1">
      <c r="A571" s="87"/>
      <c r="B571" s="30"/>
      <c r="C571" s="70"/>
      <c r="G571" s="30"/>
      <c r="H571" s="77"/>
      <c r="I571" s="77"/>
      <c r="J571" s="58"/>
      <c r="K571" s="3"/>
    </row>
    <row r="572" spans="1:11" s="71" customFormat="1">
      <c r="A572" s="87"/>
      <c r="B572" s="30"/>
      <c r="C572" s="70"/>
      <c r="G572" s="30"/>
      <c r="H572" s="77"/>
      <c r="I572" s="77"/>
      <c r="J572" s="58"/>
      <c r="K572" s="3"/>
    </row>
    <row r="573" spans="1:11" s="71" customFormat="1">
      <c r="A573" s="87"/>
      <c r="B573" s="30"/>
      <c r="C573" s="70"/>
      <c r="G573" s="30"/>
      <c r="H573" s="77"/>
      <c r="I573" s="77"/>
      <c r="J573" s="58"/>
      <c r="K573" s="3"/>
    </row>
    <row r="574" spans="1:11" s="71" customFormat="1">
      <c r="A574" s="87"/>
      <c r="B574" s="30"/>
      <c r="C574" s="70"/>
      <c r="G574" s="30"/>
      <c r="H574" s="77"/>
      <c r="I574" s="77"/>
      <c r="J574" s="58"/>
      <c r="K574" s="3"/>
    </row>
    <row r="575" spans="1:11" s="71" customFormat="1">
      <c r="A575" s="87"/>
      <c r="B575" s="30"/>
      <c r="C575" s="70"/>
      <c r="G575" s="30"/>
      <c r="H575" s="77"/>
      <c r="I575" s="77"/>
      <c r="J575" s="58"/>
      <c r="K575" s="3"/>
    </row>
    <row r="576" spans="1:11" s="71" customFormat="1">
      <c r="A576" s="87"/>
      <c r="B576" s="30"/>
      <c r="C576" s="70"/>
      <c r="G576" s="30"/>
      <c r="H576" s="77"/>
      <c r="I576" s="77"/>
      <c r="J576" s="58"/>
      <c r="K576" s="3"/>
    </row>
    <row r="577" spans="1:11" s="71" customFormat="1">
      <c r="A577" s="87"/>
      <c r="B577" s="30"/>
      <c r="C577" s="70"/>
      <c r="G577" s="30"/>
      <c r="H577" s="77"/>
      <c r="I577" s="77"/>
      <c r="J577" s="58"/>
      <c r="K577" s="3"/>
    </row>
    <row r="578" spans="1:11" s="71" customFormat="1">
      <c r="A578" s="87"/>
      <c r="B578" s="30"/>
      <c r="C578" s="70"/>
      <c r="G578" s="30"/>
      <c r="H578" s="77"/>
      <c r="I578" s="77"/>
      <c r="J578" s="58"/>
      <c r="K578" s="3"/>
    </row>
    <row r="579" spans="1:11" s="71" customFormat="1">
      <c r="A579" s="87"/>
      <c r="B579" s="30"/>
      <c r="C579" s="70"/>
      <c r="G579" s="30"/>
      <c r="H579" s="77"/>
      <c r="I579" s="77"/>
      <c r="J579" s="58"/>
      <c r="K579" s="3"/>
    </row>
    <row r="580" spans="1:11" s="71" customFormat="1">
      <c r="A580" s="87"/>
      <c r="B580" s="30"/>
      <c r="C580" s="70"/>
      <c r="G580" s="30"/>
      <c r="H580" s="77"/>
      <c r="I580" s="77"/>
      <c r="J580" s="58"/>
      <c r="K580" s="3"/>
    </row>
    <row r="581" spans="1:11" s="71" customFormat="1">
      <c r="A581" s="87"/>
      <c r="B581" s="30"/>
      <c r="C581" s="70"/>
      <c r="G581" s="30"/>
      <c r="H581" s="77"/>
      <c r="I581" s="77"/>
      <c r="J581" s="58"/>
      <c r="K581" s="3"/>
    </row>
    <row r="582" spans="1:11" s="71" customFormat="1">
      <c r="A582" s="87"/>
      <c r="B582" s="30"/>
      <c r="C582" s="70"/>
      <c r="G582" s="30"/>
      <c r="H582" s="77"/>
      <c r="I582" s="77"/>
      <c r="J582" s="58"/>
      <c r="K582" s="3"/>
    </row>
    <row r="583" spans="1:11" s="71" customFormat="1">
      <c r="A583" s="87"/>
      <c r="B583" s="30"/>
      <c r="C583" s="70"/>
      <c r="G583" s="30"/>
      <c r="H583" s="77"/>
      <c r="I583" s="77"/>
      <c r="J583" s="58"/>
      <c r="K583" s="3"/>
    </row>
    <row r="584" spans="1:11" s="71" customFormat="1">
      <c r="A584" s="87"/>
      <c r="B584" s="30"/>
      <c r="C584" s="70"/>
      <c r="G584" s="30"/>
      <c r="H584" s="77"/>
      <c r="I584" s="77"/>
      <c r="J584" s="58"/>
      <c r="K584" s="3"/>
    </row>
    <row r="585" spans="1:11" s="71" customFormat="1">
      <c r="A585" s="87"/>
      <c r="B585" s="30"/>
      <c r="C585" s="70"/>
      <c r="G585" s="30"/>
      <c r="H585" s="77"/>
      <c r="I585" s="77"/>
      <c r="J585" s="58"/>
      <c r="K585" s="3"/>
    </row>
    <row r="586" spans="1:11" s="71" customFormat="1">
      <c r="A586" s="87"/>
      <c r="B586" s="30"/>
      <c r="C586" s="70"/>
      <c r="G586" s="30"/>
      <c r="H586" s="77"/>
      <c r="I586" s="77"/>
      <c r="J586" s="58"/>
      <c r="K586" s="3"/>
    </row>
    <row r="587" spans="1:11" s="71" customFormat="1">
      <c r="A587" s="87"/>
      <c r="B587" s="30"/>
      <c r="C587" s="70"/>
      <c r="G587" s="30"/>
      <c r="H587" s="77"/>
      <c r="I587" s="77"/>
      <c r="J587" s="58"/>
      <c r="K587" s="3"/>
    </row>
    <row r="588" spans="1:11" s="71" customFormat="1">
      <c r="A588" s="87"/>
      <c r="B588" s="30"/>
      <c r="C588" s="70"/>
      <c r="G588" s="30"/>
      <c r="H588" s="77"/>
      <c r="I588" s="77"/>
      <c r="J588" s="58"/>
      <c r="K588" s="3"/>
    </row>
    <row r="589" spans="1:11" s="71" customFormat="1">
      <c r="A589" s="87"/>
      <c r="B589" s="30"/>
      <c r="C589" s="70"/>
      <c r="G589" s="30"/>
      <c r="H589" s="77"/>
      <c r="I589" s="77"/>
      <c r="J589" s="58"/>
      <c r="K589" s="3"/>
    </row>
    <row r="590" spans="1:11" s="71" customFormat="1">
      <c r="A590" s="87"/>
      <c r="B590" s="30"/>
      <c r="C590" s="70"/>
      <c r="G590" s="30"/>
      <c r="H590" s="77"/>
      <c r="I590" s="77"/>
      <c r="J590" s="58"/>
      <c r="K590" s="3"/>
    </row>
    <row r="591" spans="1:11" s="71" customFormat="1">
      <c r="A591" s="87"/>
      <c r="B591" s="30"/>
      <c r="C591" s="70"/>
      <c r="G591" s="30"/>
      <c r="H591" s="77"/>
      <c r="I591" s="77"/>
      <c r="J591" s="58"/>
      <c r="K591" s="3"/>
    </row>
    <row r="592" spans="1:11" s="71" customFormat="1">
      <c r="A592" s="87"/>
      <c r="B592" s="30"/>
      <c r="C592" s="70"/>
      <c r="G592" s="30"/>
      <c r="H592" s="77"/>
      <c r="I592" s="77"/>
      <c r="J592" s="58"/>
      <c r="K592" s="3"/>
    </row>
    <row r="593" spans="1:11" s="71" customFormat="1">
      <c r="A593" s="87"/>
      <c r="B593" s="30"/>
      <c r="C593" s="70"/>
      <c r="G593" s="30"/>
      <c r="H593" s="77"/>
      <c r="I593" s="77"/>
      <c r="J593" s="58"/>
      <c r="K593" s="3"/>
    </row>
    <row r="594" spans="1:11" s="71" customFormat="1">
      <c r="A594" s="87"/>
      <c r="B594" s="30"/>
      <c r="C594" s="70"/>
      <c r="G594" s="30"/>
      <c r="H594" s="77"/>
      <c r="I594" s="77"/>
      <c r="J594" s="58"/>
      <c r="K594" s="3"/>
    </row>
    <row r="595" spans="1:11" s="71" customFormat="1">
      <c r="A595" s="87"/>
      <c r="B595" s="30"/>
      <c r="C595" s="70"/>
      <c r="G595" s="30"/>
      <c r="H595" s="77"/>
      <c r="I595" s="77"/>
      <c r="J595" s="58"/>
      <c r="K595" s="3"/>
    </row>
    <row r="596" spans="1:11" s="71" customFormat="1">
      <c r="A596" s="87"/>
      <c r="B596" s="30"/>
      <c r="C596" s="70"/>
      <c r="G596" s="30"/>
      <c r="H596" s="77"/>
      <c r="I596" s="77"/>
      <c r="J596" s="58"/>
      <c r="K596" s="3"/>
    </row>
    <row r="597" spans="1:11" s="71" customFormat="1">
      <c r="A597" s="87"/>
      <c r="B597" s="30"/>
      <c r="C597" s="70"/>
      <c r="G597" s="30"/>
      <c r="H597" s="77"/>
      <c r="I597" s="77"/>
      <c r="J597" s="58"/>
      <c r="K597" s="3"/>
    </row>
    <row r="598" spans="1:11" s="71" customFormat="1">
      <c r="A598" s="87"/>
      <c r="B598" s="30"/>
      <c r="C598" s="70"/>
      <c r="G598" s="30"/>
      <c r="H598" s="77"/>
      <c r="I598" s="77"/>
      <c r="J598" s="58"/>
      <c r="K598" s="3"/>
    </row>
    <row r="599" spans="1:11" s="71" customFormat="1">
      <c r="A599" s="87"/>
      <c r="B599" s="30"/>
      <c r="C599" s="70"/>
      <c r="G599" s="30"/>
      <c r="H599" s="77"/>
      <c r="I599" s="77"/>
      <c r="J599" s="58"/>
      <c r="K599" s="3"/>
    </row>
    <row r="600" spans="1:11" s="71" customFormat="1">
      <c r="A600" s="87"/>
      <c r="B600" s="30"/>
      <c r="C600" s="70"/>
      <c r="G600" s="30"/>
      <c r="H600" s="77"/>
      <c r="I600" s="77"/>
      <c r="J600" s="58"/>
      <c r="K600" s="3"/>
    </row>
    <row r="601" spans="1:11" s="71" customFormat="1">
      <c r="A601" s="87"/>
      <c r="B601" s="30"/>
      <c r="C601" s="70"/>
      <c r="G601" s="30"/>
      <c r="H601" s="77"/>
      <c r="I601" s="77"/>
      <c r="J601" s="58"/>
      <c r="K601" s="3"/>
    </row>
    <row r="602" spans="1:11" s="71" customFormat="1">
      <c r="A602" s="87"/>
      <c r="B602" s="30"/>
      <c r="C602" s="70"/>
      <c r="G602" s="30"/>
      <c r="H602" s="77"/>
      <c r="I602" s="77"/>
      <c r="J602" s="58"/>
      <c r="K602" s="3"/>
    </row>
    <row r="603" spans="1:11" s="71" customFormat="1">
      <c r="A603" s="87"/>
      <c r="B603" s="30"/>
      <c r="C603" s="70"/>
      <c r="G603" s="30"/>
      <c r="H603" s="77"/>
      <c r="I603" s="77"/>
      <c r="J603" s="58"/>
      <c r="K603" s="3"/>
    </row>
    <row r="604" spans="1:11" s="71" customFormat="1">
      <c r="A604" s="87"/>
      <c r="B604" s="30"/>
      <c r="C604" s="70"/>
      <c r="G604" s="30"/>
      <c r="H604" s="77"/>
      <c r="I604" s="77"/>
      <c r="J604" s="58"/>
      <c r="K604" s="3"/>
    </row>
    <row r="605" spans="1:11" s="71" customFormat="1">
      <c r="A605" s="87"/>
      <c r="B605" s="30"/>
      <c r="C605" s="70"/>
      <c r="G605" s="30"/>
      <c r="H605" s="77"/>
      <c r="I605" s="77"/>
      <c r="J605" s="58"/>
      <c r="K605" s="3"/>
    </row>
    <row r="606" spans="1:11" s="71" customFormat="1">
      <c r="A606" s="87"/>
      <c r="B606" s="30"/>
      <c r="C606" s="70"/>
      <c r="G606" s="30"/>
      <c r="H606" s="77"/>
      <c r="I606" s="77"/>
      <c r="J606" s="58"/>
      <c r="K606" s="3"/>
    </row>
    <row r="607" spans="1:11" s="71" customFormat="1">
      <c r="A607" s="87"/>
      <c r="B607" s="30"/>
      <c r="C607" s="70"/>
      <c r="G607" s="30"/>
      <c r="H607" s="77"/>
      <c r="I607" s="77"/>
      <c r="J607" s="58"/>
      <c r="K607" s="3"/>
    </row>
    <row r="608" spans="1:11" s="71" customFormat="1">
      <c r="A608" s="87"/>
      <c r="B608" s="30"/>
      <c r="C608" s="70"/>
      <c r="G608" s="30"/>
      <c r="H608" s="77"/>
      <c r="I608" s="77"/>
      <c r="J608" s="58"/>
      <c r="K608" s="3"/>
    </row>
    <row r="609" spans="1:11" s="71" customFormat="1">
      <c r="A609" s="87"/>
      <c r="B609" s="30"/>
      <c r="C609" s="70"/>
      <c r="G609" s="30"/>
      <c r="H609" s="77"/>
      <c r="I609" s="77"/>
      <c r="J609" s="58"/>
      <c r="K609" s="3"/>
    </row>
    <row r="610" spans="1:11" s="71" customFormat="1">
      <c r="A610" s="87"/>
      <c r="B610" s="30"/>
      <c r="C610" s="70"/>
      <c r="G610" s="30"/>
      <c r="H610" s="77"/>
      <c r="I610" s="77"/>
      <c r="J610" s="58"/>
      <c r="K610" s="3"/>
    </row>
    <row r="611" spans="1:11" s="71" customFormat="1">
      <c r="A611" s="87"/>
      <c r="B611" s="30"/>
      <c r="C611" s="70"/>
      <c r="G611" s="30"/>
      <c r="H611" s="77"/>
      <c r="I611" s="77"/>
      <c r="J611" s="58"/>
      <c r="K611" s="3"/>
    </row>
    <row r="612" spans="1:11" s="71" customFormat="1">
      <c r="A612" s="87"/>
      <c r="B612" s="30"/>
      <c r="C612" s="70"/>
      <c r="G612" s="30"/>
      <c r="H612" s="77"/>
      <c r="I612" s="77"/>
      <c r="J612" s="58"/>
      <c r="K612" s="3"/>
    </row>
    <row r="613" spans="1:11" s="71" customFormat="1">
      <c r="A613" s="87"/>
      <c r="B613" s="30"/>
      <c r="C613" s="70"/>
      <c r="G613" s="30"/>
      <c r="H613" s="77"/>
      <c r="I613" s="77"/>
      <c r="J613" s="58"/>
      <c r="K613" s="3"/>
    </row>
    <row r="614" spans="1:11" s="71" customFormat="1">
      <c r="A614" s="87"/>
      <c r="B614" s="30"/>
      <c r="C614" s="70"/>
      <c r="G614" s="30"/>
      <c r="H614" s="77"/>
      <c r="I614" s="77"/>
      <c r="J614" s="58"/>
      <c r="K614" s="3"/>
    </row>
    <row r="615" spans="1:11" s="71" customFormat="1">
      <c r="A615" s="87"/>
      <c r="B615" s="30"/>
      <c r="C615" s="70"/>
      <c r="G615" s="30"/>
      <c r="H615" s="77"/>
      <c r="I615" s="77"/>
      <c r="J615" s="58"/>
      <c r="K615" s="3"/>
    </row>
    <row r="616" spans="1:11" s="71" customFormat="1">
      <c r="A616" s="87"/>
      <c r="B616" s="30"/>
      <c r="C616" s="70"/>
      <c r="G616" s="30"/>
      <c r="H616" s="77"/>
      <c r="I616" s="77"/>
      <c r="J616" s="58"/>
      <c r="K616" s="3"/>
    </row>
    <row r="617" spans="1:11" s="71" customFormat="1">
      <c r="A617" s="87"/>
      <c r="B617" s="30"/>
      <c r="C617" s="70"/>
      <c r="G617" s="30"/>
      <c r="H617" s="77"/>
      <c r="I617" s="77"/>
      <c r="J617" s="58"/>
      <c r="K617" s="3"/>
    </row>
    <row r="618" spans="1:11" s="71" customFormat="1">
      <c r="A618" s="87"/>
      <c r="B618" s="30"/>
      <c r="C618" s="70"/>
      <c r="G618" s="30"/>
      <c r="H618" s="77"/>
      <c r="I618" s="77"/>
      <c r="J618" s="58"/>
      <c r="K618" s="3"/>
    </row>
    <row r="619" spans="1:11" s="71" customFormat="1">
      <c r="A619" s="87"/>
      <c r="B619" s="30"/>
      <c r="C619" s="70"/>
      <c r="G619" s="30"/>
      <c r="H619" s="77"/>
      <c r="I619" s="77"/>
      <c r="J619" s="58"/>
      <c r="K619" s="3"/>
    </row>
    <row r="620" spans="1:11" s="71" customFormat="1">
      <c r="A620" s="87"/>
      <c r="B620" s="30"/>
      <c r="C620" s="70"/>
      <c r="G620" s="30"/>
      <c r="H620" s="77"/>
      <c r="I620" s="77"/>
      <c r="J620" s="58"/>
      <c r="K620" s="3"/>
    </row>
    <row r="621" spans="1:11" s="71" customFormat="1">
      <c r="A621" s="87"/>
      <c r="B621" s="30"/>
      <c r="C621" s="70"/>
      <c r="G621" s="30"/>
      <c r="H621" s="77"/>
      <c r="I621" s="77"/>
      <c r="J621" s="58"/>
      <c r="K621" s="3"/>
    </row>
    <row r="622" spans="1:11" s="71" customFormat="1">
      <c r="A622" s="87"/>
      <c r="B622" s="30"/>
      <c r="C622" s="70"/>
      <c r="G622" s="30"/>
      <c r="H622" s="77"/>
      <c r="I622" s="77"/>
      <c r="J622" s="58"/>
      <c r="K622" s="3"/>
    </row>
    <row r="623" spans="1:11" s="71" customFormat="1">
      <c r="A623" s="87"/>
      <c r="B623" s="30"/>
      <c r="C623" s="70"/>
      <c r="G623" s="30"/>
      <c r="H623" s="77"/>
      <c r="I623" s="77"/>
      <c r="J623" s="58"/>
      <c r="K623" s="3"/>
    </row>
    <row r="624" spans="1:11" s="71" customFormat="1">
      <c r="A624" s="87"/>
      <c r="B624" s="30"/>
      <c r="C624" s="70"/>
      <c r="G624" s="30"/>
      <c r="H624" s="77"/>
      <c r="I624" s="77"/>
      <c r="J624" s="58"/>
      <c r="K624" s="3"/>
    </row>
    <row r="625" spans="1:11" s="71" customFormat="1">
      <c r="A625" s="87"/>
      <c r="B625" s="30"/>
      <c r="C625" s="70"/>
      <c r="G625" s="30"/>
      <c r="H625" s="77"/>
      <c r="I625" s="77"/>
      <c r="J625" s="58"/>
      <c r="K625" s="3"/>
    </row>
    <row r="626" spans="1:11" s="71" customFormat="1">
      <c r="A626" s="87"/>
      <c r="B626" s="30"/>
      <c r="C626" s="70"/>
      <c r="G626" s="30"/>
      <c r="H626" s="77"/>
      <c r="I626" s="77"/>
      <c r="J626" s="58"/>
      <c r="K626" s="3"/>
    </row>
    <row r="627" spans="1:11" s="71" customFormat="1">
      <c r="A627" s="87"/>
      <c r="B627" s="30"/>
      <c r="C627" s="70"/>
      <c r="G627" s="30"/>
      <c r="H627" s="77"/>
      <c r="I627" s="77"/>
      <c r="J627" s="58"/>
      <c r="K627" s="3"/>
    </row>
    <row r="628" spans="1:11" s="71" customFormat="1">
      <c r="A628" s="87"/>
      <c r="B628" s="30"/>
      <c r="C628" s="70"/>
      <c r="G628" s="30"/>
      <c r="H628" s="77"/>
      <c r="I628" s="77"/>
      <c r="J628" s="58"/>
      <c r="K628" s="3"/>
    </row>
    <row r="629" spans="1:11" s="71" customFormat="1">
      <c r="A629" s="87"/>
      <c r="B629" s="30"/>
      <c r="C629" s="70"/>
      <c r="G629" s="30"/>
      <c r="H629" s="77"/>
      <c r="I629" s="77"/>
      <c r="J629" s="58"/>
      <c r="K629" s="3"/>
    </row>
    <row r="630" spans="1:11" s="71" customFormat="1">
      <c r="A630" s="87"/>
      <c r="B630" s="30"/>
      <c r="C630" s="70"/>
      <c r="G630" s="30"/>
      <c r="H630" s="77"/>
      <c r="I630" s="77"/>
      <c r="J630" s="58"/>
      <c r="K630" s="3"/>
    </row>
    <row r="631" spans="1:11" s="71" customFormat="1">
      <c r="A631" s="87"/>
      <c r="B631" s="30"/>
      <c r="C631" s="70"/>
      <c r="G631" s="30"/>
      <c r="H631" s="77"/>
      <c r="I631" s="77"/>
      <c r="J631" s="58"/>
      <c r="K631" s="3"/>
    </row>
    <row r="632" spans="1:11" s="71" customFormat="1">
      <c r="A632" s="87"/>
      <c r="B632" s="30"/>
      <c r="C632" s="70"/>
      <c r="G632" s="30"/>
      <c r="H632" s="77"/>
      <c r="I632" s="77"/>
      <c r="J632" s="58"/>
      <c r="K632" s="3"/>
    </row>
    <row r="633" spans="1:11" s="71" customFormat="1">
      <c r="A633" s="87"/>
      <c r="B633" s="30"/>
      <c r="C633" s="70"/>
      <c r="G633" s="30"/>
      <c r="H633" s="77"/>
      <c r="I633" s="77"/>
      <c r="J633" s="58"/>
      <c r="K633" s="3"/>
    </row>
    <row r="634" spans="1:11" s="71" customFormat="1">
      <c r="A634" s="87"/>
      <c r="B634" s="30"/>
      <c r="C634" s="70"/>
      <c r="G634" s="30"/>
      <c r="H634" s="77"/>
      <c r="I634" s="77"/>
      <c r="J634" s="58"/>
      <c r="K634" s="3"/>
    </row>
    <row r="635" spans="1:11" s="71" customFormat="1">
      <c r="A635" s="87"/>
      <c r="B635" s="30"/>
      <c r="C635" s="70"/>
      <c r="G635" s="30"/>
      <c r="H635" s="77"/>
      <c r="I635" s="77"/>
      <c r="J635" s="58"/>
      <c r="K635" s="3"/>
    </row>
    <row r="636" spans="1:11" s="71" customFormat="1">
      <c r="A636" s="87"/>
      <c r="B636" s="30"/>
      <c r="C636" s="70"/>
      <c r="G636" s="30"/>
      <c r="H636" s="77"/>
      <c r="I636" s="77"/>
      <c r="J636" s="58"/>
      <c r="K636" s="3"/>
    </row>
    <row r="637" spans="1:11" s="71" customFormat="1">
      <c r="A637" s="87"/>
      <c r="B637" s="30"/>
      <c r="C637" s="70"/>
      <c r="G637" s="30"/>
      <c r="H637" s="77"/>
      <c r="I637" s="77"/>
      <c r="J637" s="58"/>
      <c r="K637" s="3"/>
    </row>
    <row r="638" spans="1:11" s="71" customFormat="1">
      <c r="A638" s="87"/>
      <c r="B638" s="30"/>
      <c r="C638" s="70"/>
      <c r="G638" s="30"/>
      <c r="H638" s="77"/>
      <c r="I638" s="77"/>
      <c r="J638" s="58"/>
      <c r="K638" s="3"/>
    </row>
    <row r="639" spans="1:11" s="71" customFormat="1">
      <c r="A639" s="87"/>
      <c r="B639" s="30"/>
      <c r="C639" s="70"/>
      <c r="G639" s="30"/>
      <c r="H639" s="77"/>
      <c r="I639" s="77"/>
      <c r="J639" s="58"/>
      <c r="K639" s="3"/>
    </row>
    <row r="640" spans="1:11" s="71" customFormat="1">
      <c r="A640" s="87"/>
      <c r="B640" s="30"/>
      <c r="C640" s="70"/>
      <c r="G640" s="30"/>
      <c r="H640" s="77"/>
      <c r="I640" s="77"/>
      <c r="J640" s="58"/>
      <c r="K640" s="3"/>
    </row>
    <row r="641" spans="1:11" s="71" customFormat="1">
      <c r="A641" s="87"/>
      <c r="B641" s="30"/>
      <c r="C641" s="70"/>
      <c r="G641" s="30"/>
      <c r="H641" s="77"/>
      <c r="I641" s="77"/>
      <c r="J641" s="58"/>
      <c r="K641" s="3"/>
    </row>
    <row r="642" spans="1:11" s="71" customFormat="1">
      <c r="A642" s="87"/>
      <c r="B642" s="30"/>
      <c r="C642" s="70"/>
      <c r="G642" s="30"/>
      <c r="H642" s="77"/>
      <c r="I642" s="77"/>
      <c r="J642" s="58"/>
      <c r="K642" s="3"/>
    </row>
    <row r="643" spans="1:11" s="71" customFormat="1">
      <c r="A643" s="87"/>
      <c r="B643" s="30"/>
      <c r="C643" s="70"/>
      <c r="G643" s="30"/>
      <c r="H643" s="77"/>
      <c r="I643" s="77"/>
      <c r="J643" s="58"/>
      <c r="K643" s="3"/>
    </row>
    <row r="644" spans="1:11" s="71" customFormat="1">
      <c r="A644" s="87"/>
      <c r="B644" s="30"/>
      <c r="C644" s="70"/>
      <c r="G644" s="30"/>
      <c r="H644" s="77"/>
      <c r="I644" s="77"/>
      <c r="J644" s="58"/>
      <c r="K644" s="3"/>
    </row>
    <row r="645" spans="1:11" s="71" customFormat="1">
      <c r="A645" s="87"/>
      <c r="B645" s="30"/>
      <c r="C645" s="70"/>
      <c r="G645" s="30"/>
      <c r="H645" s="77"/>
      <c r="I645" s="77"/>
      <c r="J645" s="58"/>
      <c r="K645" s="3"/>
    </row>
    <row r="646" spans="1:11" s="71" customFormat="1">
      <c r="A646" s="87"/>
      <c r="B646" s="30"/>
      <c r="C646" s="70"/>
      <c r="G646" s="30"/>
      <c r="H646" s="77"/>
      <c r="I646" s="77"/>
      <c r="J646" s="58"/>
      <c r="K646" s="3"/>
    </row>
    <row r="647" spans="1:11" s="71" customFormat="1">
      <c r="A647" s="87"/>
      <c r="B647" s="30"/>
      <c r="C647" s="70"/>
      <c r="G647" s="30"/>
      <c r="H647" s="77"/>
      <c r="I647" s="77"/>
      <c r="J647" s="58"/>
      <c r="K647" s="3"/>
    </row>
    <row r="648" spans="1:11" s="71" customFormat="1">
      <c r="A648" s="87"/>
      <c r="B648" s="30"/>
      <c r="C648" s="70"/>
      <c r="G648" s="30"/>
      <c r="H648" s="77"/>
      <c r="I648" s="77"/>
      <c r="J648" s="58"/>
      <c r="K648" s="3"/>
    </row>
    <row r="649" spans="1:11" s="71" customFormat="1">
      <c r="A649" s="87"/>
      <c r="B649" s="30"/>
      <c r="C649" s="70"/>
      <c r="G649" s="30"/>
      <c r="H649" s="77"/>
      <c r="I649" s="77"/>
      <c r="J649" s="58"/>
      <c r="K649" s="3"/>
    </row>
    <row r="650" spans="1:11" s="71" customFormat="1">
      <c r="A650" s="87"/>
      <c r="B650" s="30"/>
      <c r="C650" s="70"/>
      <c r="G650" s="30"/>
      <c r="H650" s="77"/>
      <c r="I650" s="77"/>
      <c r="J650" s="58"/>
      <c r="K650" s="3"/>
    </row>
    <row r="651" spans="1:11" s="71" customFormat="1">
      <c r="A651" s="87"/>
      <c r="B651" s="30"/>
      <c r="C651" s="70"/>
      <c r="G651" s="30"/>
      <c r="H651" s="77"/>
      <c r="I651" s="77"/>
      <c r="J651" s="58"/>
      <c r="K651" s="3"/>
    </row>
    <row r="652" spans="1:11" s="71" customFormat="1">
      <c r="A652" s="87"/>
      <c r="B652" s="30"/>
      <c r="C652" s="70"/>
      <c r="G652" s="30"/>
      <c r="H652" s="77"/>
      <c r="I652" s="77"/>
      <c r="J652" s="58"/>
      <c r="K652" s="3"/>
    </row>
    <row r="653" spans="1:11" s="71" customFormat="1">
      <c r="A653" s="87"/>
      <c r="B653" s="30"/>
      <c r="C653" s="70"/>
      <c r="G653" s="30"/>
      <c r="H653" s="77"/>
      <c r="I653" s="77"/>
      <c r="J653" s="58"/>
      <c r="K653" s="3"/>
    </row>
    <row r="654" spans="1:11" s="71" customFormat="1">
      <c r="A654" s="87"/>
      <c r="B654" s="30"/>
      <c r="C654" s="70"/>
      <c r="G654" s="30"/>
      <c r="H654" s="77"/>
      <c r="I654" s="77"/>
      <c r="J654" s="58"/>
      <c r="K654" s="3"/>
    </row>
    <row r="655" spans="1:11" s="71" customFormat="1">
      <c r="A655" s="87"/>
      <c r="B655" s="30"/>
      <c r="C655" s="70"/>
      <c r="G655" s="30"/>
      <c r="H655" s="77"/>
      <c r="I655" s="77"/>
      <c r="J655" s="58"/>
      <c r="K655" s="3"/>
    </row>
    <row r="656" spans="1:11" s="71" customFormat="1">
      <c r="A656" s="87"/>
      <c r="B656" s="30"/>
      <c r="C656" s="70"/>
      <c r="G656" s="30"/>
      <c r="H656" s="77"/>
      <c r="I656" s="77"/>
      <c r="J656" s="58"/>
      <c r="K656" s="3"/>
    </row>
    <row r="657" spans="1:11" s="71" customFormat="1">
      <c r="A657" s="87"/>
      <c r="B657" s="30"/>
      <c r="C657" s="70"/>
      <c r="G657" s="30"/>
      <c r="H657" s="77"/>
      <c r="I657" s="77"/>
      <c r="J657" s="58"/>
      <c r="K657" s="3"/>
    </row>
    <row r="658" spans="1:11" s="71" customFormat="1">
      <c r="A658" s="87"/>
      <c r="B658" s="30"/>
      <c r="C658" s="70"/>
      <c r="G658" s="30"/>
      <c r="H658" s="77"/>
      <c r="I658" s="77"/>
      <c r="J658" s="58"/>
      <c r="K658" s="3"/>
    </row>
    <row r="659" spans="1:11" s="71" customFormat="1">
      <c r="A659" s="87"/>
      <c r="B659" s="30"/>
      <c r="C659" s="70"/>
      <c r="G659" s="30"/>
      <c r="H659" s="77"/>
      <c r="I659" s="77"/>
      <c r="J659" s="58"/>
      <c r="K659" s="3"/>
    </row>
    <row r="660" spans="1:11" s="71" customFormat="1">
      <c r="A660" s="87"/>
      <c r="B660" s="30"/>
      <c r="C660" s="70"/>
      <c r="G660" s="30"/>
      <c r="H660" s="77"/>
      <c r="I660" s="77"/>
      <c r="J660" s="58"/>
      <c r="K660" s="3"/>
    </row>
    <row r="661" spans="1:11" s="71" customFormat="1">
      <c r="A661" s="87"/>
      <c r="B661" s="30"/>
      <c r="C661" s="70"/>
      <c r="G661" s="30"/>
      <c r="H661" s="77"/>
      <c r="I661" s="77"/>
      <c r="J661" s="58"/>
      <c r="K661" s="3"/>
    </row>
    <row r="662" spans="1:11" s="71" customFormat="1">
      <c r="A662" s="87"/>
      <c r="B662" s="30"/>
      <c r="C662" s="70"/>
      <c r="G662" s="30"/>
      <c r="H662" s="77"/>
      <c r="I662" s="77"/>
      <c r="J662" s="58"/>
      <c r="K662" s="3"/>
    </row>
    <row r="663" spans="1:11" s="71" customFormat="1">
      <c r="A663" s="87"/>
      <c r="B663" s="30"/>
      <c r="C663" s="70"/>
      <c r="G663" s="30"/>
      <c r="H663" s="77"/>
      <c r="I663" s="77"/>
      <c r="J663" s="58"/>
      <c r="K663" s="3"/>
    </row>
    <row r="664" spans="1:11" s="71" customFormat="1">
      <c r="A664" s="87"/>
      <c r="B664" s="30"/>
      <c r="C664" s="70"/>
      <c r="G664" s="30"/>
      <c r="H664" s="77"/>
      <c r="I664" s="77"/>
      <c r="J664" s="58"/>
      <c r="K664" s="3"/>
    </row>
    <row r="665" spans="1:11" s="71" customFormat="1">
      <c r="A665" s="87"/>
      <c r="B665" s="30"/>
      <c r="C665" s="70"/>
      <c r="G665" s="30"/>
      <c r="H665" s="77"/>
      <c r="I665" s="77"/>
      <c r="J665" s="58"/>
      <c r="K665" s="3"/>
    </row>
    <row r="666" spans="1:11" s="71" customFormat="1">
      <c r="A666" s="87"/>
      <c r="B666" s="30"/>
      <c r="C666" s="70"/>
      <c r="G666" s="30"/>
      <c r="H666" s="77"/>
      <c r="I666" s="77"/>
      <c r="J666" s="58"/>
      <c r="K666" s="3"/>
    </row>
    <row r="667" spans="1:11" s="71" customFormat="1">
      <c r="A667" s="87"/>
      <c r="B667" s="30"/>
      <c r="C667" s="70"/>
      <c r="G667" s="30"/>
      <c r="H667" s="77"/>
      <c r="I667" s="77"/>
      <c r="J667" s="58"/>
      <c r="K667" s="3"/>
    </row>
    <row r="668" spans="1:11" s="71" customFormat="1">
      <c r="A668" s="87"/>
      <c r="B668" s="30"/>
      <c r="C668" s="70"/>
      <c r="G668" s="30"/>
      <c r="H668" s="77"/>
      <c r="I668" s="77"/>
      <c r="J668" s="58"/>
      <c r="K668" s="3"/>
    </row>
    <row r="669" spans="1:11" s="71" customFormat="1">
      <c r="A669" s="87"/>
      <c r="B669" s="30"/>
      <c r="C669" s="70"/>
      <c r="G669" s="30"/>
      <c r="H669" s="77"/>
      <c r="I669" s="77"/>
      <c r="J669" s="58"/>
      <c r="K669" s="3"/>
    </row>
    <row r="670" spans="1:11" s="71" customFormat="1">
      <c r="A670" s="87"/>
      <c r="B670" s="30"/>
      <c r="C670" s="70"/>
      <c r="G670" s="30"/>
      <c r="H670" s="77"/>
      <c r="I670" s="77"/>
      <c r="J670" s="58"/>
      <c r="K670" s="3"/>
    </row>
    <row r="671" spans="1:11" s="71" customFormat="1">
      <c r="A671" s="87"/>
      <c r="B671" s="30"/>
      <c r="C671" s="70"/>
      <c r="G671" s="30"/>
      <c r="H671" s="77"/>
      <c r="I671" s="77"/>
      <c r="J671" s="58"/>
      <c r="K671" s="3"/>
    </row>
    <row r="672" spans="1:11" s="71" customFormat="1">
      <c r="A672" s="87"/>
      <c r="B672" s="30"/>
      <c r="C672" s="70"/>
      <c r="G672" s="30"/>
      <c r="H672" s="77"/>
      <c r="I672" s="77"/>
      <c r="J672" s="58"/>
      <c r="K672" s="3"/>
    </row>
    <row r="673" spans="1:11" s="71" customFormat="1">
      <c r="A673" s="87"/>
      <c r="B673" s="30"/>
      <c r="C673" s="70"/>
      <c r="G673" s="30"/>
      <c r="H673" s="77"/>
      <c r="I673" s="77"/>
      <c r="J673" s="58"/>
      <c r="K673" s="3"/>
    </row>
    <row r="674" spans="1:11" s="71" customFormat="1">
      <c r="A674" s="87"/>
      <c r="B674" s="30"/>
      <c r="C674" s="70"/>
      <c r="G674" s="30"/>
      <c r="H674" s="77"/>
      <c r="I674" s="77"/>
      <c r="J674" s="58"/>
      <c r="K674" s="3"/>
    </row>
    <row r="675" spans="1:11" s="71" customFormat="1">
      <c r="A675" s="87"/>
      <c r="B675" s="30"/>
      <c r="C675" s="70"/>
      <c r="G675" s="30"/>
      <c r="H675" s="77"/>
      <c r="I675" s="77"/>
      <c r="J675" s="58"/>
      <c r="K675" s="3"/>
    </row>
    <row r="676" spans="1:11" s="71" customFormat="1">
      <c r="A676" s="87"/>
      <c r="B676" s="30"/>
      <c r="C676" s="70"/>
      <c r="G676" s="30"/>
      <c r="H676" s="77"/>
      <c r="I676" s="77"/>
      <c r="J676" s="58"/>
      <c r="K676" s="3"/>
    </row>
    <row r="677" spans="1:11" s="71" customFormat="1">
      <c r="A677" s="87"/>
      <c r="B677" s="30"/>
      <c r="C677" s="70"/>
      <c r="G677" s="30"/>
      <c r="H677" s="77"/>
      <c r="I677" s="77"/>
      <c r="J677" s="58"/>
      <c r="K677" s="3"/>
    </row>
    <row r="678" spans="1:11" s="71" customFormat="1">
      <c r="A678" s="87"/>
      <c r="B678" s="30"/>
      <c r="C678" s="70"/>
      <c r="G678" s="30"/>
      <c r="H678" s="77"/>
      <c r="I678" s="77"/>
      <c r="J678" s="58"/>
      <c r="K678" s="3"/>
    </row>
    <row r="679" spans="1:11" s="71" customFormat="1">
      <c r="A679" s="87"/>
      <c r="B679" s="30"/>
      <c r="C679" s="70"/>
      <c r="G679" s="30"/>
      <c r="H679" s="77"/>
      <c r="I679" s="77"/>
      <c r="J679" s="58"/>
      <c r="K679" s="3"/>
    </row>
    <row r="680" spans="1:11" s="71" customFormat="1">
      <c r="A680" s="87"/>
      <c r="B680" s="30"/>
      <c r="C680" s="70"/>
      <c r="G680" s="30"/>
      <c r="H680" s="77"/>
      <c r="I680" s="77"/>
      <c r="J680" s="58"/>
      <c r="K680" s="3"/>
    </row>
    <row r="681" spans="1:11" s="71" customFormat="1">
      <c r="A681" s="87"/>
      <c r="B681" s="30"/>
      <c r="C681" s="70"/>
      <c r="G681" s="30"/>
      <c r="H681" s="77"/>
      <c r="I681" s="77"/>
      <c r="J681" s="58"/>
      <c r="K681" s="3"/>
    </row>
    <row r="682" spans="1:11" s="71" customFormat="1">
      <c r="A682" s="87"/>
      <c r="B682" s="30"/>
      <c r="C682" s="70"/>
      <c r="G682" s="30"/>
      <c r="H682" s="77"/>
      <c r="I682" s="77"/>
      <c r="J682" s="58"/>
      <c r="K682" s="3"/>
    </row>
    <row r="683" spans="1:11" s="71" customFormat="1">
      <c r="A683" s="87"/>
      <c r="B683" s="30"/>
      <c r="C683" s="70"/>
      <c r="G683" s="30"/>
      <c r="H683" s="77"/>
      <c r="I683" s="77"/>
      <c r="J683" s="58"/>
      <c r="K683" s="3"/>
    </row>
    <row r="684" spans="1:11" s="71" customFormat="1">
      <c r="A684" s="87"/>
      <c r="B684" s="30"/>
      <c r="C684" s="70"/>
      <c r="G684" s="30"/>
      <c r="H684" s="77"/>
      <c r="I684" s="77"/>
      <c r="J684" s="58"/>
      <c r="K684" s="3"/>
    </row>
    <row r="685" spans="1:11" s="71" customFormat="1">
      <c r="A685" s="87"/>
      <c r="B685" s="30"/>
      <c r="C685" s="70"/>
      <c r="G685" s="30"/>
      <c r="H685" s="77"/>
      <c r="I685" s="77"/>
      <c r="J685" s="58"/>
      <c r="K685" s="3"/>
    </row>
    <row r="686" spans="1:11" s="71" customFormat="1">
      <c r="A686" s="87"/>
      <c r="B686" s="30"/>
      <c r="C686" s="70"/>
      <c r="G686" s="30"/>
      <c r="H686" s="77"/>
      <c r="I686" s="77"/>
      <c r="J686" s="58"/>
      <c r="K686" s="3"/>
    </row>
    <row r="687" spans="1:11" s="71" customFormat="1">
      <c r="A687" s="87"/>
      <c r="B687" s="30"/>
      <c r="C687" s="70"/>
      <c r="G687" s="30"/>
      <c r="H687" s="77"/>
      <c r="I687" s="77"/>
      <c r="J687" s="58"/>
      <c r="K687" s="3"/>
    </row>
    <row r="688" spans="1:11" s="71" customFormat="1">
      <c r="A688" s="87"/>
      <c r="B688" s="30"/>
      <c r="C688" s="70"/>
      <c r="G688" s="30"/>
      <c r="H688" s="77"/>
      <c r="I688" s="77"/>
      <c r="J688" s="58"/>
      <c r="K688" s="3"/>
    </row>
    <row r="689" spans="1:11" s="71" customFormat="1">
      <c r="A689" s="87"/>
      <c r="B689" s="30"/>
      <c r="C689" s="70"/>
      <c r="G689" s="30"/>
      <c r="H689" s="77"/>
      <c r="I689" s="77"/>
      <c r="J689" s="58"/>
      <c r="K689" s="3"/>
    </row>
    <row r="690" spans="1:11" s="71" customFormat="1">
      <c r="A690" s="87"/>
      <c r="B690" s="30"/>
      <c r="C690" s="70"/>
      <c r="G690" s="30"/>
      <c r="H690" s="77"/>
      <c r="I690" s="77"/>
      <c r="J690" s="58"/>
      <c r="K690" s="3"/>
    </row>
    <row r="691" spans="1:11" s="71" customFormat="1">
      <c r="A691" s="87"/>
      <c r="B691" s="30"/>
      <c r="C691" s="70"/>
      <c r="G691" s="30"/>
      <c r="H691" s="77"/>
      <c r="I691" s="77"/>
      <c r="J691" s="58"/>
      <c r="K691" s="3"/>
    </row>
    <row r="692" spans="1:11" s="71" customFormat="1">
      <c r="A692" s="87"/>
      <c r="B692" s="30"/>
      <c r="C692" s="70"/>
      <c r="G692" s="30"/>
      <c r="H692" s="77"/>
      <c r="I692" s="77"/>
      <c r="J692" s="58"/>
      <c r="K692" s="3"/>
    </row>
    <row r="693" spans="1:11" s="71" customFormat="1">
      <c r="A693" s="87"/>
      <c r="B693" s="30"/>
      <c r="C693" s="70"/>
      <c r="G693" s="30"/>
      <c r="H693" s="77"/>
      <c r="I693" s="77"/>
      <c r="J693" s="58"/>
      <c r="K693" s="3"/>
    </row>
    <row r="694" spans="1:11" s="71" customFormat="1">
      <c r="A694" s="87"/>
      <c r="B694" s="30"/>
      <c r="C694" s="70"/>
      <c r="G694" s="30"/>
      <c r="H694" s="77"/>
      <c r="I694" s="77"/>
      <c r="J694" s="58"/>
      <c r="K694" s="3"/>
    </row>
    <row r="695" spans="1:11" s="71" customFormat="1">
      <c r="A695" s="87"/>
      <c r="B695" s="30"/>
      <c r="C695" s="70"/>
      <c r="G695" s="30"/>
      <c r="H695" s="77"/>
      <c r="I695" s="77"/>
      <c r="J695" s="58"/>
      <c r="K695" s="3"/>
    </row>
    <row r="696" spans="1:11" s="71" customFormat="1">
      <c r="A696" s="87"/>
      <c r="B696" s="30"/>
      <c r="C696" s="70"/>
      <c r="G696" s="30"/>
      <c r="H696" s="77"/>
      <c r="I696" s="77"/>
      <c r="J696" s="58"/>
      <c r="K696" s="3"/>
    </row>
    <row r="697" spans="1:11" s="71" customFormat="1">
      <c r="A697" s="87"/>
      <c r="B697" s="30"/>
      <c r="C697" s="70"/>
      <c r="G697" s="30"/>
      <c r="H697" s="77"/>
      <c r="I697" s="77"/>
      <c r="J697" s="58"/>
      <c r="K697" s="3"/>
    </row>
    <row r="698" spans="1:11" s="71" customFormat="1">
      <c r="A698" s="87"/>
      <c r="B698" s="30"/>
      <c r="C698" s="70"/>
      <c r="G698" s="30"/>
      <c r="H698" s="77"/>
      <c r="I698" s="77"/>
      <c r="J698" s="58"/>
      <c r="K698" s="3"/>
    </row>
    <row r="699" spans="1:11" s="71" customFormat="1">
      <c r="A699" s="87"/>
      <c r="B699" s="30"/>
      <c r="C699" s="70"/>
      <c r="G699" s="30"/>
      <c r="H699" s="77"/>
      <c r="I699" s="77"/>
      <c r="J699" s="58"/>
      <c r="K699" s="3"/>
    </row>
    <row r="700" spans="1:11" s="71" customFormat="1">
      <c r="A700" s="87"/>
      <c r="B700" s="30"/>
      <c r="C700" s="70"/>
      <c r="G700" s="30"/>
      <c r="H700" s="77"/>
      <c r="I700" s="77"/>
      <c r="J700" s="58"/>
      <c r="K700" s="3"/>
    </row>
    <row r="701" spans="1:11" s="71" customFormat="1">
      <c r="A701" s="87"/>
      <c r="B701" s="30"/>
      <c r="C701" s="70"/>
      <c r="G701" s="30"/>
      <c r="H701" s="77"/>
      <c r="I701" s="77"/>
      <c r="J701" s="58"/>
      <c r="K701" s="3"/>
    </row>
    <row r="702" spans="1:11" s="71" customFormat="1">
      <c r="A702" s="87"/>
      <c r="B702" s="30"/>
      <c r="C702" s="70"/>
      <c r="G702" s="30"/>
      <c r="H702" s="77"/>
      <c r="I702" s="77"/>
      <c r="J702" s="58"/>
      <c r="K702" s="3"/>
    </row>
    <row r="703" spans="1:11" s="71" customFormat="1">
      <c r="A703" s="87"/>
      <c r="B703" s="30"/>
      <c r="C703" s="70"/>
      <c r="G703" s="30"/>
      <c r="H703" s="77"/>
      <c r="I703" s="77"/>
      <c r="J703" s="58"/>
      <c r="K703" s="3"/>
    </row>
    <row r="704" spans="1:11" s="71" customFormat="1">
      <c r="A704" s="87"/>
      <c r="B704" s="30"/>
      <c r="C704" s="70"/>
      <c r="G704" s="30"/>
      <c r="H704" s="77"/>
      <c r="I704" s="77"/>
      <c r="J704" s="58"/>
      <c r="K704" s="3"/>
    </row>
    <row r="705" spans="1:11" s="71" customFormat="1">
      <c r="A705" s="87"/>
      <c r="B705" s="30"/>
      <c r="C705" s="70"/>
      <c r="G705" s="30"/>
      <c r="H705" s="77"/>
      <c r="I705" s="77"/>
      <c r="J705" s="58"/>
      <c r="K705" s="3"/>
    </row>
    <row r="706" spans="1:11" s="71" customFormat="1">
      <c r="A706" s="87"/>
      <c r="B706" s="30"/>
      <c r="C706" s="70"/>
      <c r="G706" s="30"/>
      <c r="H706" s="77"/>
      <c r="I706" s="77"/>
      <c r="J706" s="58"/>
      <c r="K706" s="3"/>
    </row>
    <row r="707" spans="1:11" s="71" customFormat="1">
      <c r="A707" s="87"/>
      <c r="B707" s="30"/>
      <c r="C707" s="70"/>
      <c r="G707" s="30"/>
      <c r="H707" s="77"/>
      <c r="I707" s="77"/>
      <c r="J707" s="58"/>
      <c r="K707" s="3"/>
    </row>
    <row r="708" spans="1:11" s="71" customFormat="1">
      <c r="A708" s="87"/>
      <c r="B708" s="30"/>
      <c r="C708" s="70"/>
      <c r="G708" s="30"/>
      <c r="H708" s="77"/>
      <c r="I708" s="77"/>
      <c r="J708" s="58"/>
      <c r="K708" s="3"/>
    </row>
    <row r="709" spans="1:11" s="71" customFormat="1">
      <c r="A709" s="87"/>
      <c r="B709" s="30"/>
      <c r="C709" s="70"/>
      <c r="G709" s="30"/>
      <c r="H709" s="77"/>
      <c r="I709" s="77"/>
      <c r="J709" s="58"/>
      <c r="K709" s="3"/>
    </row>
    <row r="710" spans="1:11" s="71" customFormat="1">
      <c r="A710" s="87"/>
      <c r="B710" s="30"/>
      <c r="C710" s="70"/>
      <c r="G710" s="30"/>
      <c r="H710" s="77"/>
      <c r="I710" s="77"/>
      <c r="J710" s="58"/>
      <c r="K710" s="3"/>
    </row>
    <row r="711" spans="1:11" s="71" customFormat="1">
      <c r="A711" s="87"/>
      <c r="B711" s="30"/>
      <c r="C711" s="70"/>
      <c r="G711" s="30"/>
      <c r="H711" s="77"/>
      <c r="I711" s="77"/>
      <c r="J711" s="58"/>
      <c r="K711" s="3"/>
    </row>
    <row r="712" spans="1:11" s="71" customFormat="1">
      <c r="A712" s="87"/>
      <c r="B712" s="30"/>
      <c r="C712" s="70"/>
      <c r="G712" s="30"/>
      <c r="H712" s="77"/>
      <c r="I712" s="77"/>
      <c r="J712" s="58"/>
      <c r="K712" s="3"/>
    </row>
    <row r="713" spans="1:11" s="71" customFormat="1">
      <c r="A713" s="87"/>
      <c r="B713" s="30"/>
      <c r="C713" s="70"/>
      <c r="G713" s="30"/>
      <c r="H713" s="77"/>
      <c r="I713" s="77"/>
      <c r="J713" s="58"/>
      <c r="K713" s="3"/>
    </row>
    <row r="714" spans="1:11" s="71" customFormat="1">
      <c r="A714" s="87"/>
      <c r="B714" s="30"/>
      <c r="C714" s="70"/>
      <c r="G714" s="30"/>
      <c r="H714" s="77"/>
      <c r="I714" s="77"/>
      <c r="J714" s="58"/>
      <c r="K714" s="3"/>
    </row>
    <row r="715" spans="1:11" s="71" customFormat="1">
      <c r="A715" s="87"/>
      <c r="B715" s="30"/>
      <c r="C715" s="70"/>
      <c r="G715" s="30"/>
      <c r="H715" s="77"/>
      <c r="I715" s="77"/>
      <c r="J715" s="58"/>
      <c r="K715" s="3"/>
    </row>
    <row r="716" spans="1:11" s="71" customFormat="1">
      <c r="A716" s="87"/>
      <c r="B716" s="30"/>
      <c r="C716" s="70"/>
      <c r="G716" s="30"/>
      <c r="H716" s="77"/>
      <c r="I716" s="77"/>
      <c r="J716" s="58"/>
      <c r="K716" s="3"/>
    </row>
    <row r="717" spans="1:11" s="71" customFormat="1">
      <c r="A717" s="87"/>
      <c r="B717" s="30"/>
      <c r="C717" s="70"/>
      <c r="G717" s="30"/>
      <c r="H717" s="77"/>
      <c r="I717" s="77"/>
      <c r="J717" s="58"/>
      <c r="K717" s="3"/>
    </row>
    <row r="718" spans="1:11" s="71" customFormat="1">
      <c r="A718" s="87"/>
      <c r="B718" s="30"/>
      <c r="C718" s="70"/>
      <c r="G718" s="30"/>
      <c r="H718" s="77"/>
      <c r="I718" s="77"/>
      <c r="J718" s="58"/>
      <c r="K718" s="3"/>
    </row>
    <row r="719" spans="1:11" s="71" customFormat="1">
      <c r="A719" s="87"/>
      <c r="B719" s="30"/>
      <c r="C719" s="70"/>
      <c r="G719" s="30"/>
      <c r="H719" s="77"/>
      <c r="I719" s="77"/>
      <c r="J719" s="58"/>
      <c r="K719" s="3"/>
    </row>
    <row r="720" spans="1:11" s="71" customFormat="1">
      <c r="A720" s="87"/>
      <c r="B720" s="30"/>
      <c r="C720" s="70"/>
      <c r="G720" s="30"/>
      <c r="H720" s="77"/>
      <c r="I720" s="77"/>
      <c r="J720" s="58"/>
      <c r="K720" s="3"/>
    </row>
    <row r="721" spans="1:11" s="71" customFormat="1">
      <c r="A721" s="87"/>
      <c r="B721" s="30"/>
      <c r="C721" s="70"/>
      <c r="G721" s="30"/>
      <c r="H721" s="77"/>
      <c r="I721" s="77"/>
      <c r="J721" s="58"/>
      <c r="K721" s="3"/>
    </row>
    <row r="722" spans="1:11" s="71" customFormat="1">
      <c r="A722" s="87"/>
      <c r="B722" s="30"/>
      <c r="C722" s="70"/>
      <c r="G722" s="30"/>
      <c r="H722" s="77"/>
      <c r="I722" s="77"/>
      <c r="J722" s="58"/>
      <c r="K722" s="3"/>
    </row>
    <row r="723" spans="1:11" s="71" customFormat="1">
      <c r="A723" s="87"/>
      <c r="B723" s="30"/>
      <c r="C723" s="70"/>
      <c r="G723" s="30"/>
      <c r="H723" s="77"/>
      <c r="I723" s="77"/>
      <c r="J723" s="58"/>
      <c r="K723" s="3"/>
    </row>
    <row r="724" spans="1:11" s="71" customFormat="1">
      <c r="A724" s="87"/>
      <c r="B724" s="30"/>
      <c r="C724" s="70"/>
      <c r="G724" s="30"/>
      <c r="H724" s="77"/>
      <c r="I724" s="77"/>
      <c r="J724" s="58"/>
      <c r="K724" s="3"/>
    </row>
    <row r="725" spans="1:11" s="71" customFormat="1">
      <c r="A725" s="87"/>
      <c r="B725" s="30"/>
      <c r="C725" s="70"/>
      <c r="G725" s="30"/>
      <c r="H725" s="77"/>
      <c r="I725" s="77"/>
      <c r="J725" s="58"/>
      <c r="K725" s="3"/>
    </row>
    <row r="726" spans="1:11" s="71" customFormat="1">
      <c r="A726" s="87"/>
      <c r="B726" s="30"/>
      <c r="C726" s="70"/>
      <c r="G726" s="30"/>
      <c r="H726" s="77"/>
      <c r="I726" s="77"/>
      <c r="J726" s="58"/>
      <c r="K726" s="3"/>
    </row>
    <row r="727" spans="1:11" s="71" customFormat="1">
      <c r="A727" s="87"/>
      <c r="B727" s="30"/>
      <c r="C727" s="70"/>
      <c r="G727" s="30"/>
      <c r="H727" s="77"/>
      <c r="I727" s="77"/>
      <c r="J727" s="58"/>
      <c r="K727" s="3"/>
    </row>
    <row r="728" spans="1:11" s="71" customFormat="1">
      <c r="A728" s="87"/>
      <c r="B728" s="30"/>
      <c r="C728" s="70"/>
      <c r="G728" s="30"/>
      <c r="H728" s="77"/>
      <c r="I728" s="77"/>
      <c r="J728" s="58"/>
      <c r="K728" s="3"/>
    </row>
    <row r="729" spans="1:11" s="71" customFormat="1">
      <c r="A729" s="87"/>
      <c r="B729" s="30"/>
      <c r="C729" s="70"/>
      <c r="G729" s="30"/>
      <c r="H729" s="77"/>
      <c r="I729" s="77"/>
      <c r="J729" s="58"/>
      <c r="K729" s="3"/>
    </row>
    <row r="730" spans="1:11" s="71" customFormat="1">
      <c r="A730" s="87"/>
      <c r="B730" s="30"/>
      <c r="C730" s="70"/>
      <c r="G730" s="30"/>
      <c r="H730" s="77"/>
      <c r="I730" s="77"/>
      <c r="J730" s="58"/>
      <c r="K730" s="3"/>
    </row>
    <row r="731" spans="1:11" s="71" customFormat="1">
      <c r="A731" s="87"/>
      <c r="B731" s="30"/>
      <c r="C731" s="70"/>
      <c r="G731" s="30"/>
      <c r="H731" s="77"/>
      <c r="I731" s="77"/>
      <c r="J731" s="58"/>
      <c r="K731" s="3"/>
    </row>
    <row r="732" spans="1:11" s="71" customFormat="1">
      <c r="A732" s="87"/>
      <c r="B732" s="30"/>
      <c r="C732" s="70"/>
      <c r="G732" s="30"/>
      <c r="H732" s="77"/>
      <c r="I732" s="77"/>
      <c r="J732" s="58"/>
      <c r="K732" s="3"/>
    </row>
    <row r="733" spans="1:11" s="71" customFormat="1">
      <c r="A733" s="87"/>
      <c r="B733" s="30"/>
      <c r="C733" s="70"/>
      <c r="G733" s="30"/>
      <c r="H733" s="77"/>
      <c r="I733" s="77"/>
      <c r="J733" s="58"/>
      <c r="K733" s="3"/>
    </row>
    <row r="734" spans="1:11" s="71" customFormat="1">
      <c r="A734" s="87"/>
      <c r="B734" s="30"/>
      <c r="C734" s="70"/>
      <c r="G734" s="30"/>
      <c r="H734" s="77"/>
      <c r="I734" s="77"/>
      <c r="J734" s="58"/>
      <c r="K734" s="3"/>
    </row>
    <row r="735" spans="1:11" s="71" customFormat="1">
      <c r="A735" s="87"/>
      <c r="B735" s="30"/>
      <c r="C735" s="70"/>
      <c r="G735" s="30"/>
      <c r="H735" s="77"/>
      <c r="I735" s="77"/>
      <c r="J735" s="58"/>
      <c r="K735" s="3"/>
    </row>
    <row r="736" spans="1:11" s="71" customFormat="1">
      <c r="A736" s="87"/>
      <c r="B736" s="30"/>
      <c r="C736" s="70"/>
      <c r="G736" s="30"/>
      <c r="H736" s="77"/>
      <c r="I736" s="77"/>
      <c r="J736" s="58"/>
      <c r="K736" s="3"/>
    </row>
    <row r="737" spans="1:11" s="71" customFormat="1">
      <c r="A737" s="87"/>
      <c r="B737" s="30"/>
      <c r="C737" s="70"/>
      <c r="G737" s="30"/>
      <c r="H737" s="77"/>
      <c r="I737" s="77"/>
      <c r="J737" s="58"/>
      <c r="K737" s="3"/>
    </row>
    <row r="738" spans="1:11" s="71" customFormat="1">
      <c r="A738" s="87"/>
      <c r="B738" s="30"/>
      <c r="C738" s="70"/>
      <c r="G738" s="30"/>
      <c r="H738" s="77"/>
      <c r="I738" s="77"/>
      <c r="J738" s="58"/>
      <c r="K738" s="3"/>
    </row>
    <row r="739" spans="1:11" s="71" customFormat="1">
      <c r="A739" s="87"/>
      <c r="B739" s="30"/>
      <c r="C739" s="70"/>
      <c r="G739" s="30"/>
      <c r="H739" s="77"/>
      <c r="I739" s="77"/>
      <c r="J739" s="58"/>
      <c r="K739" s="3"/>
    </row>
    <row r="740" spans="1:11" s="71" customFormat="1">
      <c r="A740" s="87"/>
      <c r="B740" s="30"/>
      <c r="C740" s="70"/>
      <c r="G740" s="30"/>
      <c r="H740" s="77"/>
      <c r="I740" s="77"/>
      <c r="J740" s="58"/>
      <c r="K740" s="3"/>
    </row>
    <row r="741" spans="1:11" s="71" customFormat="1">
      <c r="A741" s="87"/>
      <c r="B741" s="30"/>
      <c r="C741" s="70"/>
      <c r="G741" s="30"/>
      <c r="H741" s="77"/>
      <c r="I741" s="77"/>
      <c r="J741" s="58"/>
      <c r="K741" s="3"/>
    </row>
    <row r="742" spans="1:11" s="71" customFormat="1">
      <c r="A742" s="87"/>
      <c r="B742" s="30"/>
      <c r="C742" s="70"/>
      <c r="G742" s="30"/>
      <c r="H742" s="77"/>
      <c r="I742" s="77"/>
      <c r="J742" s="58"/>
      <c r="K742" s="3"/>
    </row>
    <row r="743" spans="1:11" s="71" customFormat="1">
      <c r="A743" s="87"/>
      <c r="B743" s="30"/>
      <c r="C743" s="70"/>
      <c r="G743" s="30"/>
      <c r="H743" s="77"/>
      <c r="I743" s="77"/>
      <c r="J743" s="58"/>
      <c r="K743" s="3"/>
    </row>
    <row r="744" spans="1:11" s="71" customFormat="1">
      <c r="A744" s="87"/>
      <c r="B744" s="30"/>
      <c r="C744" s="70"/>
      <c r="G744" s="30"/>
      <c r="H744" s="77"/>
      <c r="I744" s="77"/>
      <c r="J744" s="58"/>
      <c r="K744" s="3"/>
    </row>
    <row r="745" spans="1:11" s="71" customFormat="1">
      <c r="A745" s="87"/>
      <c r="B745" s="30"/>
      <c r="C745" s="70"/>
      <c r="G745" s="30"/>
      <c r="H745" s="77"/>
      <c r="I745" s="77"/>
      <c r="J745" s="58"/>
      <c r="K745" s="3"/>
    </row>
    <row r="746" spans="1:11" s="71" customFormat="1">
      <c r="A746" s="87"/>
      <c r="B746" s="30"/>
      <c r="C746" s="70"/>
      <c r="G746" s="30"/>
      <c r="H746" s="77"/>
      <c r="I746" s="77"/>
      <c r="J746" s="58"/>
      <c r="K746" s="3"/>
    </row>
    <row r="747" spans="1:11" s="71" customFormat="1">
      <c r="A747" s="87"/>
      <c r="B747" s="30"/>
      <c r="C747" s="70"/>
      <c r="G747" s="30"/>
      <c r="H747" s="77"/>
      <c r="I747" s="77"/>
      <c r="J747" s="58"/>
      <c r="K747" s="3"/>
    </row>
    <row r="748" spans="1:11" s="71" customFormat="1">
      <c r="A748" s="87"/>
      <c r="B748" s="30"/>
      <c r="C748" s="70"/>
      <c r="G748" s="30"/>
      <c r="H748" s="77"/>
      <c r="I748" s="77"/>
      <c r="J748" s="58"/>
      <c r="K748" s="3"/>
    </row>
    <row r="749" spans="1:11" s="71" customFormat="1">
      <c r="A749" s="87"/>
      <c r="B749" s="30"/>
      <c r="C749" s="70"/>
      <c r="G749" s="30"/>
      <c r="H749" s="77"/>
      <c r="I749" s="77"/>
      <c r="J749" s="58"/>
      <c r="K749" s="3"/>
    </row>
    <row r="750" spans="1:11" s="71" customFormat="1">
      <c r="A750" s="87"/>
      <c r="B750" s="30"/>
      <c r="C750" s="70"/>
      <c r="G750" s="30"/>
      <c r="H750" s="77"/>
      <c r="I750" s="77"/>
      <c r="J750" s="58"/>
      <c r="K750" s="3"/>
    </row>
    <row r="751" spans="1:11" s="71" customFormat="1">
      <c r="A751" s="87"/>
      <c r="B751" s="30"/>
      <c r="C751" s="70"/>
      <c r="G751" s="30"/>
      <c r="H751" s="77"/>
      <c r="I751" s="77"/>
      <c r="J751" s="58"/>
      <c r="K751" s="3"/>
    </row>
    <row r="752" spans="1:11" s="71" customFormat="1">
      <c r="A752" s="87"/>
      <c r="B752" s="30"/>
      <c r="C752" s="70"/>
      <c r="G752" s="30"/>
      <c r="H752" s="77"/>
      <c r="I752" s="77"/>
      <c r="J752" s="58"/>
      <c r="K752" s="3"/>
    </row>
    <row r="753" spans="1:11" s="71" customFormat="1">
      <c r="A753" s="87"/>
      <c r="B753" s="30"/>
      <c r="C753" s="70"/>
      <c r="G753" s="30"/>
      <c r="H753" s="77"/>
      <c r="I753" s="77"/>
      <c r="J753" s="58"/>
      <c r="K753" s="3"/>
    </row>
    <row r="754" spans="1:11" s="71" customFormat="1">
      <c r="A754" s="87"/>
      <c r="B754" s="30"/>
      <c r="C754" s="70"/>
      <c r="G754" s="30"/>
      <c r="H754" s="77"/>
      <c r="I754" s="77"/>
      <c r="J754" s="58"/>
      <c r="K754" s="3"/>
    </row>
    <row r="755" spans="1:11" s="71" customFormat="1">
      <c r="A755" s="87"/>
      <c r="B755" s="30"/>
      <c r="C755" s="70"/>
      <c r="G755" s="30"/>
      <c r="H755" s="77"/>
      <c r="I755" s="77"/>
      <c r="J755" s="58"/>
      <c r="K755" s="3"/>
    </row>
    <row r="756" spans="1:11" s="71" customFormat="1">
      <c r="A756" s="87"/>
      <c r="B756" s="30"/>
      <c r="C756" s="70"/>
      <c r="G756" s="30"/>
      <c r="H756" s="77"/>
      <c r="I756" s="77"/>
      <c r="J756" s="58"/>
      <c r="K756" s="3"/>
    </row>
    <row r="757" spans="1:11" s="71" customFormat="1">
      <c r="A757" s="87"/>
      <c r="B757" s="30"/>
      <c r="C757" s="70"/>
      <c r="G757" s="30"/>
      <c r="H757" s="77"/>
      <c r="I757" s="77"/>
      <c r="J757" s="58"/>
      <c r="K757" s="3"/>
    </row>
    <row r="758" spans="1:11" s="71" customFormat="1">
      <c r="A758" s="87"/>
      <c r="B758" s="30"/>
      <c r="C758" s="70"/>
      <c r="G758" s="30"/>
      <c r="H758" s="77"/>
      <c r="I758" s="77"/>
      <c r="J758" s="58"/>
      <c r="K758" s="3"/>
    </row>
    <row r="759" spans="1:11" s="71" customFormat="1">
      <c r="A759" s="87"/>
      <c r="B759" s="30"/>
      <c r="C759" s="70"/>
      <c r="G759" s="30"/>
      <c r="H759" s="77"/>
      <c r="I759" s="77"/>
      <c r="J759" s="58"/>
      <c r="K759" s="3"/>
    </row>
    <row r="760" spans="1:11" s="71" customFormat="1">
      <c r="A760" s="87"/>
      <c r="B760" s="30"/>
      <c r="C760" s="70"/>
      <c r="G760" s="30"/>
      <c r="H760" s="77"/>
      <c r="I760" s="77"/>
      <c r="J760" s="58"/>
      <c r="K760" s="3"/>
    </row>
    <row r="761" spans="1:11" s="71" customFormat="1">
      <c r="A761" s="87"/>
      <c r="B761" s="30"/>
      <c r="C761" s="70"/>
      <c r="G761" s="30"/>
      <c r="H761" s="77"/>
      <c r="I761" s="77"/>
      <c r="J761" s="58"/>
      <c r="K761" s="3"/>
    </row>
    <row r="762" spans="1:11" s="71" customFormat="1">
      <c r="A762" s="87"/>
      <c r="B762" s="30"/>
      <c r="C762" s="70"/>
      <c r="G762" s="30"/>
      <c r="H762" s="77"/>
      <c r="I762" s="77"/>
      <c r="J762" s="58"/>
      <c r="K762" s="3"/>
    </row>
    <row r="763" spans="1:11" s="71" customFormat="1">
      <c r="A763" s="87"/>
      <c r="B763" s="30"/>
      <c r="C763" s="70"/>
      <c r="G763" s="30"/>
      <c r="H763" s="77"/>
      <c r="I763" s="77"/>
      <c r="J763" s="58"/>
      <c r="K763" s="3"/>
    </row>
    <row r="764" spans="1:11" s="71" customFormat="1">
      <c r="A764" s="87"/>
      <c r="B764" s="30"/>
      <c r="C764" s="70"/>
      <c r="G764" s="30"/>
      <c r="H764" s="77"/>
      <c r="I764" s="77"/>
      <c r="J764" s="58"/>
      <c r="K764" s="3"/>
    </row>
    <row r="765" spans="1:11" s="71" customFormat="1">
      <c r="A765" s="87"/>
      <c r="B765" s="30"/>
      <c r="C765" s="70"/>
      <c r="G765" s="30"/>
      <c r="H765" s="77"/>
      <c r="I765" s="77"/>
      <c r="J765" s="58"/>
      <c r="K765" s="3"/>
    </row>
    <row r="766" spans="1:11" s="71" customFormat="1">
      <c r="A766" s="87"/>
      <c r="B766" s="30"/>
      <c r="C766" s="70"/>
      <c r="G766" s="30"/>
      <c r="H766" s="77"/>
      <c r="I766" s="77"/>
      <c r="J766" s="58"/>
      <c r="K766" s="3"/>
    </row>
    <row r="767" spans="1:11" s="71" customFormat="1">
      <c r="A767" s="87"/>
      <c r="B767" s="30"/>
      <c r="C767" s="70"/>
      <c r="G767" s="30"/>
      <c r="H767" s="77"/>
      <c r="I767" s="77"/>
      <c r="J767" s="58"/>
      <c r="K767" s="3"/>
    </row>
    <row r="768" spans="1:11" s="71" customFormat="1">
      <c r="A768" s="87"/>
      <c r="B768" s="30"/>
      <c r="C768" s="70"/>
      <c r="G768" s="30"/>
      <c r="H768" s="77"/>
      <c r="I768" s="77"/>
      <c r="J768" s="58"/>
      <c r="K768" s="3"/>
    </row>
    <row r="769" spans="1:11" s="71" customFormat="1">
      <c r="A769" s="87"/>
      <c r="B769" s="30"/>
      <c r="C769" s="70"/>
      <c r="G769" s="30"/>
      <c r="H769" s="77"/>
      <c r="I769" s="77"/>
      <c r="J769" s="58"/>
      <c r="K769" s="3"/>
    </row>
    <row r="770" spans="1:11" s="71" customFormat="1">
      <c r="A770" s="87"/>
      <c r="B770" s="30"/>
      <c r="C770" s="70"/>
      <c r="G770" s="30"/>
      <c r="H770" s="77"/>
      <c r="I770" s="77"/>
      <c r="J770" s="58"/>
      <c r="K770" s="3"/>
    </row>
    <row r="771" spans="1:11" s="71" customFormat="1">
      <c r="A771" s="87"/>
      <c r="B771" s="30"/>
      <c r="C771" s="70"/>
      <c r="G771" s="30"/>
      <c r="H771" s="77"/>
      <c r="I771" s="77"/>
      <c r="J771" s="58"/>
      <c r="K771" s="3"/>
    </row>
    <row r="772" spans="1:11" s="71" customFormat="1">
      <c r="A772" s="87"/>
      <c r="B772" s="30"/>
      <c r="C772" s="70"/>
      <c r="G772" s="30"/>
      <c r="H772" s="77"/>
      <c r="I772" s="77"/>
      <c r="J772" s="58"/>
      <c r="K772" s="3"/>
    </row>
    <row r="773" spans="1:11" s="71" customFormat="1">
      <c r="A773" s="87"/>
      <c r="B773" s="30"/>
      <c r="C773" s="70"/>
      <c r="G773" s="30"/>
      <c r="H773" s="77"/>
      <c r="I773" s="77"/>
      <c r="J773" s="58"/>
      <c r="K773" s="3"/>
    </row>
    <row r="774" spans="1:11" s="71" customFormat="1">
      <c r="A774" s="87"/>
      <c r="B774" s="30"/>
      <c r="C774" s="70"/>
      <c r="G774" s="30"/>
      <c r="H774" s="77"/>
      <c r="I774" s="77"/>
      <c r="J774" s="58"/>
      <c r="K774" s="3"/>
    </row>
    <row r="775" spans="1:11" s="71" customFormat="1">
      <c r="A775" s="87"/>
      <c r="B775" s="30"/>
      <c r="C775" s="70"/>
      <c r="G775" s="30"/>
      <c r="H775" s="77"/>
      <c r="I775" s="77"/>
      <c r="J775" s="58"/>
      <c r="K775" s="3"/>
    </row>
    <row r="776" spans="1:11" s="71" customFormat="1">
      <c r="A776" s="87"/>
      <c r="B776" s="30"/>
      <c r="C776" s="70"/>
      <c r="G776" s="30"/>
      <c r="H776" s="77"/>
      <c r="I776" s="77"/>
      <c r="J776" s="58"/>
      <c r="K776" s="3"/>
    </row>
    <row r="777" spans="1:11" s="71" customFormat="1">
      <c r="A777" s="87"/>
      <c r="B777" s="30"/>
      <c r="C777" s="70"/>
      <c r="G777" s="30"/>
      <c r="H777" s="77"/>
      <c r="I777" s="77"/>
      <c r="J777" s="58"/>
      <c r="K777" s="3"/>
    </row>
    <row r="778" spans="1:11" s="71" customFormat="1">
      <c r="A778" s="87"/>
      <c r="B778" s="30"/>
      <c r="C778" s="70"/>
      <c r="G778" s="30"/>
      <c r="H778" s="77"/>
      <c r="I778" s="77"/>
      <c r="J778" s="58"/>
      <c r="K778" s="3"/>
    </row>
    <row r="779" spans="1:11" s="71" customFormat="1">
      <c r="A779" s="87"/>
      <c r="B779" s="30"/>
      <c r="C779" s="70"/>
      <c r="G779" s="30"/>
      <c r="H779" s="77"/>
      <c r="I779" s="77"/>
      <c r="J779" s="58"/>
      <c r="K779" s="3"/>
    </row>
    <row r="780" spans="1:11" s="71" customFormat="1">
      <c r="A780" s="87"/>
      <c r="B780" s="30"/>
      <c r="C780" s="70"/>
      <c r="G780" s="30"/>
      <c r="H780" s="77"/>
      <c r="I780" s="77"/>
      <c r="J780" s="58"/>
      <c r="K780" s="3"/>
    </row>
    <row r="781" spans="1:11" s="71" customFormat="1">
      <c r="A781" s="87"/>
      <c r="B781" s="30"/>
      <c r="C781" s="70"/>
      <c r="G781" s="30"/>
      <c r="H781" s="77"/>
      <c r="I781" s="77"/>
      <c r="J781" s="58"/>
      <c r="K781" s="3"/>
    </row>
    <row r="782" spans="1:11" s="71" customFormat="1">
      <c r="A782" s="87"/>
      <c r="B782" s="30"/>
      <c r="C782" s="70"/>
      <c r="G782" s="30"/>
      <c r="H782" s="77"/>
      <c r="I782" s="77"/>
      <c r="J782" s="58"/>
      <c r="K782" s="3"/>
    </row>
    <row r="783" spans="1:11" s="71" customFormat="1">
      <c r="A783" s="87"/>
      <c r="B783" s="30"/>
      <c r="C783" s="70"/>
      <c r="G783" s="30"/>
      <c r="H783" s="77"/>
      <c r="I783" s="77"/>
      <c r="J783" s="58"/>
      <c r="K783" s="3"/>
    </row>
    <row r="784" spans="1:11" s="71" customFormat="1">
      <c r="A784" s="87"/>
      <c r="B784" s="30"/>
      <c r="C784" s="70"/>
      <c r="G784" s="30"/>
      <c r="H784" s="77"/>
      <c r="I784" s="77"/>
      <c r="J784" s="58"/>
      <c r="K784" s="3"/>
    </row>
    <row r="785" spans="1:11" s="71" customFormat="1">
      <c r="A785" s="87"/>
      <c r="B785" s="30"/>
      <c r="C785" s="70"/>
      <c r="G785" s="30"/>
      <c r="H785" s="77"/>
      <c r="I785" s="77"/>
      <c r="J785" s="58"/>
      <c r="K785" s="3"/>
    </row>
    <row r="786" spans="1:11" s="71" customFormat="1">
      <c r="A786" s="87"/>
      <c r="B786" s="30"/>
      <c r="C786" s="70"/>
      <c r="G786" s="30"/>
      <c r="H786" s="77"/>
      <c r="I786" s="77"/>
      <c r="J786" s="58"/>
      <c r="K786" s="3"/>
    </row>
    <row r="787" spans="1:11" s="71" customFormat="1">
      <c r="A787" s="87"/>
      <c r="B787" s="30"/>
      <c r="C787" s="70"/>
      <c r="G787" s="30"/>
      <c r="H787" s="77"/>
      <c r="I787" s="77"/>
      <c r="J787" s="58"/>
      <c r="K787" s="3"/>
    </row>
    <row r="788" spans="1:11" s="71" customFormat="1">
      <c r="A788" s="87"/>
      <c r="B788" s="30"/>
      <c r="C788" s="70"/>
      <c r="G788" s="30"/>
      <c r="H788" s="77"/>
      <c r="I788" s="77"/>
      <c r="J788" s="58"/>
      <c r="K788" s="3"/>
    </row>
    <row r="789" spans="1:11" s="71" customFormat="1">
      <c r="A789" s="87"/>
      <c r="B789" s="30"/>
      <c r="C789" s="70"/>
      <c r="G789" s="30"/>
      <c r="H789" s="77"/>
      <c r="I789" s="77"/>
      <c r="J789" s="58"/>
      <c r="K789" s="3"/>
    </row>
    <row r="790" spans="1:11" s="71" customFormat="1">
      <c r="A790" s="87"/>
      <c r="B790" s="30"/>
      <c r="C790" s="70"/>
      <c r="G790" s="30"/>
      <c r="H790" s="77"/>
      <c r="I790" s="77"/>
      <c r="J790" s="58"/>
      <c r="K790" s="3"/>
    </row>
    <row r="791" spans="1:11" s="71" customFormat="1">
      <c r="A791" s="87"/>
      <c r="B791" s="30"/>
      <c r="C791" s="70"/>
      <c r="G791" s="30"/>
      <c r="H791" s="77"/>
      <c r="I791" s="77"/>
      <c r="J791" s="58"/>
      <c r="K791" s="3"/>
    </row>
    <row r="792" spans="1:11" s="71" customFormat="1">
      <c r="A792" s="87"/>
      <c r="B792" s="30"/>
      <c r="C792" s="70"/>
      <c r="G792" s="30"/>
      <c r="H792" s="77"/>
      <c r="I792" s="77"/>
      <c r="J792" s="58"/>
      <c r="K792" s="3"/>
    </row>
    <row r="793" spans="1:11" s="71" customFormat="1">
      <c r="A793" s="87"/>
      <c r="B793" s="30"/>
      <c r="C793" s="70"/>
      <c r="G793" s="30"/>
      <c r="H793" s="77"/>
      <c r="I793" s="77"/>
      <c r="J793" s="58"/>
      <c r="K793" s="3"/>
    </row>
    <row r="794" spans="1:11" s="71" customFormat="1">
      <c r="A794" s="87"/>
      <c r="B794" s="30"/>
      <c r="C794" s="70"/>
      <c r="G794" s="30"/>
      <c r="H794" s="77"/>
      <c r="I794" s="77"/>
      <c r="J794" s="58"/>
      <c r="K794" s="3"/>
    </row>
    <row r="795" spans="1:11" s="71" customFormat="1">
      <c r="A795" s="87"/>
      <c r="B795" s="30"/>
      <c r="C795" s="70"/>
      <c r="G795" s="30"/>
      <c r="H795" s="77"/>
      <c r="I795" s="77"/>
      <c r="J795" s="58"/>
      <c r="K795" s="3"/>
    </row>
    <row r="796" spans="1:11" s="71" customFormat="1">
      <c r="A796" s="87"/>
      <c r="B796" s="30"/>
      <c r="C796" s="70"/>
      <c r="G796" s="30"/>
      <c r="H796" s="77"/>
      <c r="I796" s="77"/>
      <c r="J796" s="58"/>
      <c r="K796" s="3"/>
    </row>
    <row r="797" spans="1:11" s="71" customFormat="1">
      <c r="A797" s="87"/>
      <c r="B797" s="30"/>
      <c r="C797" s="70"/>
      <c r="G797" s="30"/>
      <c r="H797" s="77"/>
      <c r="I797" s="77"/>
      <c r="J797" s="58"/>
      <c r="K797" s="3"/>
    </row>
    <row r="798" spans="1:11" s="71" customFormat="1">
      <c r="A798" s="87"/>
      <c r="B798" s="30"/>
      <c r="C798" s="70"/>
      <c r="G798" s="30"/>
      <c r="H798" s="77"/>
      <c r="I798" s="77"/>
      <c r="J798" s="58"/>
      <c r="K798" s="3"/>
    </row>
    <row r="799" spans="1:11" s="71" customFormat="1">
      <c r="A799" s="87"/>
      <c r="B799" s="30"/>
      <c r="C799" s="70"/>
      <c r="G799" s="30"/>
      <c r="H799" s="77"/>
      <c r="I799" s="77"/>
      <c r="J799" s="58"/>
      <c r="K799" s="3"/>
    </row>
    <row r="800" spans="1:11" s="71" customFormat="1">
      <c r="A800" s="87"/>
      <c r="B800" s="30"/>
      <c r="C800" s="70"/>
      <c r="G800" s="30"/>
      <c r="H800" s="77"/>
      <c r="I800" s="77"/>
      <c r="J800" s="58"/>
      <c r="K800" s="3"/>
    </row>
    <row r="801" spans="1:11" s="71" customFormat="1">
      <c r="A801" s="87"/>
      <c r="B801" s="30"/>
      <c r="C801" s="70"/>
      <c r="G801" s="30"/>
      <c r="H801" s="77"/>
      <c r="I801" s="77"/>
      <c r="J801" s="58"/>
      <c r="K801" s="3"/>
    </row>
    <row r="802" spans="1:11" s="71" customFormat="1">
      <c r="A802" s="87"/>
      <c r="B802" s="30"/>
      <c r="C802" s="70"/>
      <c r="G802" s="30"/>
      <c r="H802" s="77"/>
      <c r="I802" s="77"/>
      <c r="J802" s="58"/>
      <c r="K802" s="3"/>
    </row>
    <row r="803" spans="1:11" s="71" customFormat="1">
      <c r="A803" s="87"/>
      <c r="B803" s="30"/>
      <c r="C803" s="70"/>
      <c r="G803" s="30"/>
      <c r="H803" s="77"/>
      <c r="I803" s="77"/>
      <c r="J803" s="58"/>
      <c r="K803" s="3"/>
    </row>
    <row r="804" spans="1:11" s="71" customFormat="1">
      <c r="A804" s="87"/>
      <c r="B804" s="30"/>
      <c r="C804" s="70"/>
      <c r="G804" s="30"/>
      <c r="H804" s="77"/>
      <c r="I804" s="77"/>
      <c r="J804" s="58"/>
      <c r="K804" s="3"/>
    </row>
    <row r="805" spans="1:11" s="71" customFormat="1">
      <c r="A805" s="87"/>
      <c r="B805" s="30"/>
      <c r="C805" s="70"/>
      <c r="G805" s="30"/>
      <c r="H805" s="77"/>
      <c r="I805" s="77"/>
      <c r="J805" s="58"/>
      <c r="K805" s="3"/>
    </row>
    <row r="806" spans="1:11" s="71" customFormat="1">
      <c r="A806" s="87"/>
      <c r="B806" s="30"/>
      <c r="C806" s="70"/>
      <c r="G806" s="30"/>
      <c r="H806" s="77"/>
      <c r="I806" s="77"/>
      <c r="J806" s="58"/>
      <c r="K806" s="3"/>
    </row>
    <row r="807" spans="1:11" s="71" customFormat="1">
      <c r="A807" s="87"/>
      <c r="B807" s="30"/>
      <c r="C807" s="70"/>
      <c r="G807" s="30"/>
      <c r="H807" s="77"/>
      <c r="I807" s="77"/>
      <c r="J807" s="58"/>
      <c r="K807" s="3"/>
    </row>
    <row r="808" spans="1:11" s="71" customFormat="1">
      <c r="A808" s="87"/>
      <c r="B808" s="30"/>
      <c r="C808" s="70"/>
      <c r="G808" s="30"/>
      <c r="H808" s="77"/>
      <c r="I808" s="77"/>
      <c r="J808" s="58"/>
      <c r="K808" s="3"/>
    </row>
    <row r="809" spans="1:11" s="71" customFormat="1">
      <c r="A809" s="87"/>
      <c r="B809" s="30"/>
      <c r="C809" s="70"/>
      <c r="G809" s="30"/>
      <c r="H809" s="77"/>
      <c r="I809" s="77"/>
      <c r="J809" s="58"/>
      <c r="K809" s="3"/>
    </row>
    <row r="810" spans="1:11" s="71" customFormat="1">
      <c r="A810" s="87"/>
      <c r="B810" s="30"/>
      <c r="C810" s="70"/>
      <c r="G810" s="30"/>
      <c r="H810" s="77"/>
      <c r="I810" s="77"/>
      <c r="J810" s="58"/>
      <c r="K810" s="3"/>
    </row>
    <row r="811" spans="1:11" s="71" customFormat="1">
      <c r="A811" s="87"/>
      <c r="B811" s="30"/>
      <c r="C811" s="70"/>
      <c r="G811" s="30"/>
      <c r="H811" s="77"/>
      <c r="I811" s="77"/>
      <c r="J811" s="58"/>
      <c r="K811" s="3"/>
    </row>
    <row r="812" spans="1:11" s="71" customFormat="1">
      <c r="A812" s="87"/>
      <c r="B812" s="30"/>
      <c r="C812" s="70"/>
      <c r="G812" s="30"/>
      <c r="H812" s="77"/>
      <c r="I812" s="77"/>
      <c r="J812" s="58"/>
      <c r="K812" s="3"/>
    </row>
    <row r="813" spans="1:11" s="71" customFormat="1">
      <c r="A813" s="87"/>
      <c r="B813" s="30"/>
      <c r="C813" s="70"/>
      <c r="G813" s="30"/>
      <c r="H813" s="77"/>
      <c r="I813" s="77"/>
      <c r="J813" s="58"/>
      <c r="K813" s="3"/>
    </row>
    <row r="814" spans="1:11" s="71" customFormat="1">
      <c r="A814" s="87"/>
      <c r="B814" s="30"/>
      <c r="C814" s="70"/>
      <c r="G814" s="30"/>
      <c r="H814" s="77"/>
      <c r="I814" s="77"/>
      <c r="J814" s="58"/>
      <c r="K814" s="3"/>
    </row>
    <row r="815" spans="1:11" s="71" customFormat="1">
      <c r="A815" s="87"/>
      <c r="B815" s="30"/>
      <c r="C815" s="70"/>
      <c r="G815" s="30"/>
      <c r="H815" s="77"/>
      <c r="I815" s="77"/>
      <c r="J815" s="58"/>
      <c r="K815" s="3"/>
    </row>
    <row r="816" spans="1:11" s="71" customFormat="1">
      <c r="A816" s="87"/>
      <c r="B816" s="30"/>
      <c r="C816" s="70"/>
      <c r="G816" s="30"/>
      <c r="H816" s="77"/>
      <c r="I816" s="77"/>
      <c r="J816" s="58"/>
      <c r="K816" s="3"/>
    </row>
    <row r="817" spans="1:11" s="71" customFormat="1">
      <c r="A817" s="87"/>
      <c r="B817" s="30"/>
      <c r="C817" s="70"/>
      <c r="G817" s="30"/>
      <c r="H817" s="77"/>
      <c r="I817" s="77"/>
      <c r="J817" s="58"/>
      <c r="K817" s="3"/>
    </row>
    <row r="818" spans="1:11" s="71" customFormat="1">
      <c r="A818" s="87"/>
      <c r="B818" s="30"/>
      <c r="C818" s="70"/>
      <c r="G818" s="30"/>
      <c r="H818" s="77"/>
      <c r="I818" s="77"/>
      <c r="J818" s="58"/>
      <c r="K818" s="3"/>
    </row>
    <row r="819" spans="1:11" s="71" customFormat="1">
      <c r="A819" s="87"/>
      <c r="B819" s="30"/>
      <c r="C819" s="70"/>
      <c r="G819" s="30"/>
      <c r="H819" s="77"/>
      <c r="I819" s="77"/>
      <c r="J819" s="58"/>
      <c r="K819" s="3"/>
    </row>
    <row r="820" spans="1:11" s="71" customFormat="1">
      <c r="A820" s="87"/>
      <c r="B820" s="30"/>
      <c r="C820" s="70"/>
      <c r="G820" s="30"/>
      <c r="H820" s="77"/>
      <c r="I820" s="77"/>
      <c r="J820" s="58"/>
      <c r="K820" s="3"/>
    </row>
    <row r="821" spans="1:11" s="71" customFormat="1">
      <c r="A821" s="87"/>
      <c r="B821" s="30"/>
      <c r="C821" s="70"/>
      <c r="G821" s="30"/>
      <c r="H821" s="77"/>
      <c r="I821" s="77"/>
      <c r="J821" s="58"/>
      <c r="K821" s="3"/>
    </row>
    <row r="822" spans="1:11" s="71" customFormat="1">
      <c r="A822" s="87"/>
      <c r="B822" s="30"/>
      <c r="C822" s="70"/>
      <c r="G822" s="30"/>
      <c r="H822" s="77"/>
      <c r="I822" s="77"/>
      <c r="J822" s="58"/>
      <c r="K822" s="3"/>
    </row>
    <row r="823" spans="1:11" s="71" customFormat="1">
      <c r="A823" s="87"/>
      <c r="B823" s="30"/>
      <c r="C823" s="70"/>
      <c r="G823" s="30"/>
      <c r="H823" s="77"/>
      <c r="I823" s="77"/>
      <c r="J823" s="58"/>
      <c r="K823" s="3"/>
    </row>
    <row r="824" spans="1:11" s="71" customFormat="1">
      <c r="A824" s="87"/>
      <c r="B824" s="30"/>
      <c r="C824" s="70"/>
      <c r="G824" s="30"/>
      <c r="H824" s="77"/>
      <c r="I824" s="77"/>
      <c r="J824" s="58"/>
      <c r="K824" s="3"/>
    </row>
    <row r="825" spans="1:11" s="71" customFormat="1">
      <c r="A825" s="87"/>
      <c r="B825" s="30"/>
      <c r="C825" s="70"/>
      <c r="G825" s="30"/>
      <c r="H825" s="77"/>
      <c r="I825" s="77"/>
      <c r="J825" s="58"/>
      <c r="K825" s="3"/>
    </row>
    <row r="826" spans="1:11" s="71" customFormat="1">
      <c r="A826" s="87"/>
      <c r="B826" s="30"/>
      <c r="C826" s="70"/>
      <c r="G826" s="30"/>
      <c r="H826" s="77"/>
      <c r="I826" s="77"/>
      <c r="J826" s="58"/>
      <c r="K826" s="3"/>
    </row>
    <row r="827" spans="1:11" s="71" customFormat="1">
      <c r="A827" s="87"/>
      <c r="B827" s="30"/>
      <c r="C827" s="70"/>
      <c r="G827" s="30"/>
      <c r="H827" s="77"/>
      <c r="I827" s="77"/>
      <c r="J827" s="58"/>
      <c r="K827" s="3"/>
    </row>
    <row r="828" spans="1:11" s="71" customFormat="1">
      <c r="A828" s="87"/>
      <c r="B828" s="30"/>
      <c r="C828" s="70"/>
      <c r="G828" s="30"/>
      <c r="H828" s="77"/>
      <c r="I828" s="77"/>
      <c r="J828" s="58"/>
      <c r="K828" s="3"/>
    </row>
    <row r="829" spans="1:11" s="71" customFormat="1">
      <c r="A829" s="87"/>
      <c r="B829" s="30"/>
      <c r="C829" s="70"/>
      <c r="G829" s="30"/>
      <c r="H829" s="77"/>
      <c r="I829" s="77"/>
      <c r="J829" s="58"/>
      <c r="K829" s="3"/>
    </row>
    <row r="830" spans="1:11" s="71" customFormat="1">
      <c r="A830" s="87"/>
      <c r="B830" s="30"/>
      <c r="C830" s="70"/>
      <c r="G830" s="30"/>
      <c r="H830" s="77"/>
      <c r="I830" s="77"/>
      <c r="J830" s="58"/>
      <c r="K830" s="3"/>
    </row>
    <row r="831" spans="1:11" s="71" customFormat="1">
      <c r="A831" s="87"/>
      <c r="B831" s="30"/>
      <c r="C831" s="70"/>
      <c r="G831" s="30"/>
      <c r="H831" s="77"/>
      <c r="I831" s="77"/>
      <c r="J831" s="58"/>
      <c r="K831" s="3"/>
    </row>
    <row r="832" spans="1:11" s="71" customFormat="1">
      <c r="A832" s="87"/>
      <c r="B832" s="30"/>
      <c r="C832" s="70"/>
      <c r="G832" s="30"/>
      <c r="H832" s="77"/>
      <c r="I832" s="77"/>
      <c r="J832" s="58"/>
      <c r="K832" s="3"/>
    </row>
    <row r="833" spans="1:11" s="71" customFormat="1">
      <c r="A833" s="87"/>
      <c r="B833" s="30"/>
      <c r="C833" s="70"/>
      <c r="G833" s="30"/>
      <c r="H833" s="77"/>
      <c r="I833" s="77"/>
      <c r="J833" s="58"/>
      <c r="K833" s="3"/>
    </row>
    <row r="834" spans="1:11" s="71" customFormat="1">
      <c r="A834" s="87"/>
      <c r="B834" s="30"/>
      <c r="C834" s="70"/>
      <c r="G834" s="30"/>
      <c r="H834" s="77"/>
      <c r="I834" s="77"/>
      <c r="J834" s="58"/>
      <c r="K834" s="3"/>
    </row>
    <row r="835" spans="1:11" s="71" customFormat="1">
      <c r="A835" s="87"/>
      <c r="B835" s="30"/>
      <c r="C835" s="70"/>
      <c r="G835" s="30"/>
      <c r="H835" s="77"/>
      <c r="I835" s="77"/>
      <c r="J835" s="58"/>
      <c r="K835" s="3"/>
    </row>
    <row r="836" spans="1:11" s="71" customFormat="1">
      <c r="A836" s="87"/>
      <c r="B836" s="30"/>
      <c r="C836" s="70"/>
      <c r="G836" s="30"/>
      <c r="H836" s="77"/>
      <c r="I836" s="77"/>
      <c r="J836" s="58"/>
      <c r="K836" s="3"/>
    </row>
    <row r="837" spans="1:11" s="71" customFormat="1">
      <c r="A837" s="87"/>
      <c r="B837" s="30"/>
      <c r="C837" s="70"/>
      <c r="G837" s="30"/>
      <c r="H837" s="77"/>
      <c r="I837" s="77"/>
      <c r="J837" s="58"/>
      <c r="K837" s="3"/>
    </row>
    <row r="838" spans="1:11" s="71" customFormat="1">
      <c r="A838" s="87"/>
      <c r="B838" s="30"/>
      <c r="C838" s="70"/>
      <c r="G838" s="30"/>
      <c r="H838" s="77"/>
      <c r="I838" s="77"/>
      <c r="J838" s="58"/>
      <c r="K838" s="3"/>
    </row>
    <row r="839" spans="1:11" s="71" customFormat="1">
      <c r="A839" s="87"/>
      <c r="B839" s="30"/>
      <c r="C839" s="70"/>
      <c r="G839" s="30"/>
      <c r="H839" s="77"/>
      <c r="I839" s="77"/>
      <c r="J839" s="58"/>
      <c r="K839" s="3"/>
    </row>
    <row r="840" spans="1:11" s="71" customFormat="1">
      <c r="A840" s="87"/>
      <c r="B840" s="30"/>
      <c r="C840" s="70"/>
      <c r="G840" s="30"/>
      <c r="H840" s="77"/>
      <c r="I840" s="77"/>
      <c r="J840" s="58"/>
      <c r="K840" s="3"/>
    </row>
    <row r="841" spans="1:11" s="71" customFormat="1">
      <c r="A841" s="87"/>
      <c r="B841" s="30"/>
      <c r="C841" s="70"/>
      <c r="G841" s="30"/>
      <c r="H841" s="77"/>
      <c r="I841" s="77"/>
      <c r="J841" s="58"/>
      <c r="K841" s="3"/>
    </row>
    <row r="842" spans="1:11" s="71" customFormat="1">
      <c r="A842" s="87"/>
      <c r="B842" s="30"/>
      <c r="C842" s="70"/>
      <c r="G842" s="30"/>
      <c r="H842" s="77"/>
      <c r="I842" s="77"/>
      <c r="J842" s="58"/>
      <c r="K842" s="3"/>
    </row>
    <row r="843" spans="1:11" s="71" customFormat="1">
      <c r="A843" s="87"/>
      <c r="B843" s="30"/>
      <c r="C843" s="70"/>
      <c r="G843" s="30"/>
      <c r="H843" s="77"/>
      <c r="I843" s="77"/>
      <c r="J843" s="58"/>
      <c r="K843" s="3"/>
    </row>
    <row r="844" spans="1:11" s="71" customFormat="1">
      <c r="A844" s="87"/>
      <c r="B844" s="30"/>
      <c r="C844" s="70"/>
      <c r="G844" s="30"/>
      <c r="H844" s="77"/>
      <c r="I844" s="77"/>
      <c r="J844" s="58"/>
      <c r="K844" s="3"/>
    </row>
    <row r="845" spans="1:11" s="71" customFormat="1">
      <c r="A845" s="87"/>
      <c r="B845" s="30"/>
      <c r="C845" s="70"/>
      <c r="G845" s="30"/>
      <c r="H845" s="77"/>
      <c r="I845" s="77"/>
      <c r="J845" s="58"/>
      <c r="K845" s="3"/>
    </row>
    <row r="846" spans="1:11" s="71" customFormat="1">
      <c r="A846" s="87"/>
      <c r="B846" s="30"/>
      <c r="C846" s="70"/>
      <c r="G846" s="30"/>
      <c r="H846" s="77"/>
      <c r="I846" s="77"/>
      <c r="J846" s="58"/>
      <c r="K846" s="3"/>
    </row>
    <row r="847" spans="1:11" s="71" customFormat="1">
      <c r="A847" s="87"/>
      <c r="B847" s="30"/>
      <c r="C847" s="70"/>
      <c r="G847" s="30"/>
      <c r="H847" s="77"/>
      <c r="I847" s="77"/>
      <c r="J847" s="58"/>
      <c r="K847" s="3"/>
    </row>
    <row r="848" spans="1:11" s="71" customFormat="1">
      <c r="A848" s="87"/>
      <c r="B848" s="30"/>
      <c r="C848" s="70"/>
      <c r="G848" s="30"/>
      <c r="H848" s="77"/>
      <c r="I848" s="77"/>
      <c r="J848" s="58"/>
      <c r="K848" s="3"/>
    </row>
    <row r="849" spans="1:11" s="71" customFormat="1">
      <c r="A849" s="87"/>
      <c r="B849" s="30"/>
      <c r="C849" s="70"/>
      <c r="G849" s="30"/>
      <c r="H849" s="77"/>
      <c r="I849" s="77"/>
      <c r="J849" s="58"/>
      <c r="K849" s="3"/>
    </row>
    <row r="850" spans="1:11" s="71" customFormat="1">
      <c r="A850" s="87"/>
      <c r="B850" s="30"/>
      <c r="C850" s="70"/>
      <c r="G850" s="30"/>
      <c r="H850" s="77"/>
      <c r="I850" s="77"/>
      <c r="J850" s="58"/>
      <c r="K850" s="3"/>
    </row>
    <row r="851" spans="1:11" s="71" customFormat="1">
      <c r="A851" s="87"/>
      <c r="B851" s="30"/>
      <c r="C851" s="70"/>
      <c r="G851" s="30"/>
      <c r="H851" s="77"/>
      <c r="I851" s="77"/>
      <c r="J851" s="58"/>
      <c r="K851" s="3"/>
    </row>
    <row r="852" spans="1:11" s="71" customFormat="1">
      <c r="A852" s="87"/>
      <c r="B852" s="30"/>
      <c r="C852" s="70"/>
      <c r="G852" s="30"/>
      <c r="H852" s="77"/>
      <c r="I852" s="77"/>
      <c r="J852" s="58"/>
      <c r="K852" s="3"/>
    </row>
    <row r="853" spans="1:11" s="71" customFormat="1">
      <c r="A853" s="87"/>
      <c r="B853" s="30"/>
      <c r="C853" s="70"/>
      <c r="G853" s="30"/>
      <c r="H853" s="77"/>
      <c r="I853" s="77"/>
      <c r="J853" s="58"/>
      <c r="K853" s="3"/>
    </row>
    <row r="854" spans="1:11" s="71" customFormat="1">
      <c r="A854" s="87"/>
      <c r="B854" s="30"/>
      <c r="C854" s="70"/>
      <c r="G854" s="30"/>
      <c r="H854" s="77"/>
      <c r="I854" s="77"/>
      <c r="J854" s="58"/>
      <c r="K854" s="3"/>
    </row>
    <row r="855" spans="1:11" s="71" customFormat="1">
      <c r="A855" s="87"/>
      <c r="B855" s="30"/>
      <c r="C855" s="70"/>
      <c r="G855" s="30"/>
      <c r="H855" s="77"/>
      <c r="I855" s="77"/>
      <c r="J855" s="58"/>
      <c r="K855" s="3"/>
    </row>
    <row r="856" spans="1:11" s="71" customFormat="1">
      <c r="A856" s="87"/>
      <c r="B856" s="30"/>
      <c r="C856" s="70"/>
      <c r="G856" s="30"/>
      <c r="H856" s="77"/>
      <c r="I856" s="77"/>
      <c r="J856" s="58"/>
      <c r="K856" s="3"/>
    </row>
    <row r="857" spans="1:11" s="71" customFormat="1">
      <c r="A857" s="87"/>
      <c r="B857" s="30"/>
      <c r="C857" s="70"/>
      <c r="G857" s="30"/>
      <c r="H857" s="77"/>
      <c r="I857" s="77"/>
      <c r="J857" s="58"/>
      <c r="K857" s="3"/>
    </row>
    <row r="858" spans="1:11" s="71" customFormat="1">
      <c r="A858" s="87"/>
      <c r="B858" s="30"/>
      <c r="C858" s="70"/>
      <c r="G858" s="30"/>
      <c r="H858" s="77"/>
      <c r="I858" s="77"/>
      <c r="J858" s="58"/>
      <c r="K858" s="3"/>
    </row>
    <row r="859" spans="1:11" s="71" customFormat="1">
      <c r="A859" s="87"/>
      <c r="B859" s="30"/>
      <c r="C859" s="70"/>
      <c r="G859" s="30"/>
      <c r="H859" s="77"/>
      <c r="I859" s="77"/>
      <c r="J859" s="58"/>
      <c r="K859" s="3"/>
    </row>
    <row r="860" spans="1:11" s="71" customFormat="1">
      <c r="A860" s="87"/>
      <c r="B860" s="30"/>
      <c r="C860" s="70"/>
      <c r="G860" s="30"/>
      <c r="H860" s="77"/>
      <c r="I860" s="77"/>
      <c r="J860" s="58"/>
      <c r="K860" s="3"/>
    </row>
    <row r="861" spans="1:11" s="71" customFormat="1">
      <c r="A861" s="87"/>
      <c r="B861" s="30"/>
      <c r="C861" s="70"/>
      <c r="G861" s="30"/>
      <c r="H861" s="77"/>
      <c r="I861" s="77"/>
      <c r="J861" s="58"/>
      <c r="K861" s="3"/>
    </row>
    <row r="862" spans="1:11" s="71" customFormat="1">
      <c r="A862" s="87"/>
      <c r="B862" s="30"/>
      <c r="C862" s="70"/>
      <c r="G862" s="30"/>
      <c r="H862" s="77"/>
      <c r="I862" s="77"/>
      <c r="J862" s="58"/>
      <c r="K862" s="3"/>
    </row>
    <row r="863" spans="1:11" s="71" customFormat="1">
      <c r="A863" s="87"/>
      <c r="B863" s="30"/>
      <c r="C863" s="70"/>
      <c r="G863" s="30"/>
      <c r="H863" s="77"/>
      <c r="I863" s="77"/>
      <c r="J863" s="58"/>
      <c r="K863" s="3"/>
    </row>
    <row r="864" spans="1:11" s="71" customFormat="1">
      <c r="A864" s="87"/>
      <c r="B864" s="30"/>
      <c r="C864" s="70"/>
      <c r="G864" s="30"/>
      <c r="H864" s="77"/>
      <c r="I864" s="77"/>
      <c r="J864" s="58"/>
      <c r="K864" s="3"/>
    </row>
    <row r="865" spans="1:11" s="71" customFormat="1">
      <c r="A865" s="87"/>
      <c r="B865" s="30"/>
      <c r="C865" s="70"/>
      <c r="G865" s="30"/>
      <c r="H865" s="77"/>
      <c r="I865" s="77"/>
      <c r="J865" s="58"/>
      <c r="K865" s="3"/>
    </row>
    <row r="866" spans="1:11" s="71" customFormat="1">
      <c r="A866" s="87"/>
      <c r="B866" s="30"/>
      <c r="C866" s="70"/>
      <c r="G866" s="30"/>
      <c r="H866" s="77"/>
      <c r="I866" s="77"/>
      <c r="J866" s="58"/>
      <c r="K866" s="3"/>
    </row>
    <row r="867" spans="1:11" s="71" customFormat="1">
      <c r="A867" s="87"/>
      <c r="B867" s="30"/>
      <c r="C867" s="70"/>
      <c r="G867" s="30"/>
      <c r="H867" s="77"/>
      <c r="I867" s="77"/>
      <c r="J867" s="58"/>
      <c r="K867" s="3"/>
    </row>
    <row r="868" spans="1:11" s="71" customFormat="1">
      <c r="A868" s="87"/>
      <c r="B868" s="30"/>
      <c r="C868" s="70"/>
      <c r="G868" s="30"/>
      <c r="H868" s="77"/>
      <c r="I868" s="77"/>
      <c r="J868" s="58"/>
      <c r="K868" s="3"/>
    </row>
    <row r="869" spans="1:11" s="71" customFormat="1">
      <c r="A869" s="87"/>
      <c r="B869" s="30"/>
      <c r="C869" s="70"/>
      <c r="G869" s="30"/>
      <c r="H869" s="77"/>
      <c r="I869" s="77"/>
      <c r="J869" s="58"/>
      <c r="K869" s="3"/>
    </row>
    <row r="870" spans="1:11" s="71" customFormat="1">
      <c r="A870" s="87"/>
      <c r="B870" s="30"/>
      <c r="C870" s="70"/>
      <c r="G870" s="30"/>
      <c r="H870" s="77"/>
      <c r="I870" s="77"/>
      <c r="J870" s="58"/>
      <c r="K870" s="3"/>
    </row>
    <row r="871" spans="1:11" s="71" customFormat="1">
      <c r="A871" s="87"/>
      <c r="B871" s="30"/>
      <c r="C871" s="70"/>
      <c r="G871" s="30"/>
      <c r="H871" s="77"/>
      <c r="I871" s="77"/>
      <c r="J871" s="58"/>
      <c r="K871" s="3"/>
    </row>
    <row r="872" spans="1:11" s="71" customFormat="1">
      <c r="A872" s="87"/>
      <c r="B872" s="30"/>
      <c r="C872" s="70"/>
      <c r="G872" s="30"/>
      <c r="H872" s="77"/>
      <c r="I872" s="77"/>
      <c r="J872" s="58"/>
      <c r="K872" s="3"/>
    </row>
    <row r="873" spans="1:11" s="71" customFormat="1">
      <c r="A873" s="87"/>
      <c r="B873" s="30"/>
      <c r="C873" s="70"/>
      <c r="G873" s="30"/>
      <c r="H873" s="77"/>
      <c r="I873" s="77"/>
      <c r="J873" s="58"/>
      <c r="K873" s="3"/>
    </row>
    <row r="874" spans="1:11" s="71" customFormat="1">
      <c r="A874" s="87"/>
      <c r="B874" s="30"/>
      <c r="C874" s="70"/>
      <c r="G874" s="30"/>
      <c r="H874" s="77"/>
      <c r="I874" s="77"/>
      <c r="J874" s="58"/>
      <c r="K874" s="3"/>
    </row>
    <row r="875" spans="1:11" s="71" customFormat="1">
      <c r="A875" s="87"/>
      <c r="B875" s="30"/>
      <c r="C875" s="70"/>
      <c r="G875" s="30"/>
      <c r="H875" s="77"/>
      <c r="I875" s="77"/>
      <c r="J875" s="58"/>
      <c r="K875" s="3"/>
    </row>
    <row r="876" spans="1:11" s="71" customFormat="1">
      <c r="A876" s="87"/>
      <c r="B876" s="30"/>
      <c r="C876" s="70"/>
      <c r="G876" s="30"/>
      <c r="H876" s="77"/>
      <c r="I876" s="77"/>
      <c r="J876" s="58"/>
      <c r="K876" s="3"/>
    </row>
    <row r="877" spans="1:11" s="71" customFormat="1">
      <c r="A877" s="87"/>
      <c r="B877" s="30"/>
      <c r="C877" s="70"/>
      <c r="G877" s="30"/>
      <c r="H877" s="77"/>
      <c r="I877" s="77"/>
      <c r="J877" s="58"/>
      <c r="K877" s="3"/>
    </row>
    <row r="878" spans="1:11" s="71" customFormat="1">
      <c r="A878" s="87"/>
      <c r="B878" s="30"/>
      <c r="C878" s="70"/>
      <c r="G878" s="30"/>
      <c r="H878" s="77"/>
      <c r="I878" s="77"/>
      <c r="J878" s="58"/>
      <c r="K878" s="3"/>
    </row>
    <row r="879" spans="1:11" s="71" customFormat="1">
      <c r="A879" s="87"/>
      <c r="B879" s="30"/>
      <c r="C879" s="70"/>
      <c r="G879" s="30"/>
      <c r="H879" s="77"/>
      <c r="I879" s="77"/>
      <c r="J879" s="58"/>
      <c r="K879" s="3"/>
    </row>
    <row r="880" spans="1:11" s="71" customFormat="1">
      <c r="A880" s="87"/>
      <c r="B880" s="30"/>
      <c r="C880" s="70"/>
      <c r="G880" s="30"/>
      <c r="H880" s="77"/>
      <c r="I880" s="77"/>
      <c r="J880" s="58"/>
      <c r="K880" s="3"/>
    </row>
    <row r="881" spans="1:11" s="71" customFormat="1">
      <c r="A881" s="87"/>
      <c r="B881" s="30"/>
      <c r="C881" s="70"/>
      <c r="G881" s="30"/>
      <c r="H881" s="77"/>
      <c r="I881" s="77"/>
      <c r="J881" s="58"/>
      <c r="K881" s="3"/>
    </row>
    <row r="882" spans="1:11" s="71" customFormat="1">
      <c r="A882" s="87"/>
      <c r="B882" s="30"/>
      <c r="C882" s="70"/>
      <c r="G882" s="30"/>
      <c r="H882" s="77"/>
      <c r="I882" s="77"/>
      <c r="J882" s="58"/>
      <c r="K882" s="3"/>
    </row>
    <row r="883" spans="1:11" s="71" customFormat="1">
      <c r="A883" s="87"/>
      <c r="B883" s="30"/>
      <c r="C883" s="70"/>
      <c r="G883" s="30"/>
      <c r="H883" s="77"/>
      <c r="I883" s="77"/>
      <c r="J883" s="58"/>
      <c r="K883" s="3"/>
    </row>
    <row r="884" spans="1:11" s="71" customFormat="1">
      <c r="A884" s="87"/>
      <c r="B884" s="30"/>
      <c r="C884" s="70"/>
      <c r="G884" s="30"/>
      <c r="H884" s="77"/>
      <c r="I884" s="77"/>
      <c r="J884" s="58"/>
      <c r="K884" s="3"/>
    </row>
    <row r="885" spans="1:11" s="71" customFormat="1">
      <c r="A885" s="87"/>
      <c r="B885" s="30"/>
      <c r="C885" s="70"/>
      <c r="G885" s="30"/>
      <c r="H885" s="77"/>
      <c r="I885" s="77"/>
      <c r="J885" s="58"/>
      <c r="K885" s="3"/>
    </row>
    <row r="886" spans="1:11" s="71" customFormat="1">
      <c r="A886" s="87"/>
      <c r="B886" s="30"/>
      <c r="C886" s="70"/>
      <c r="G886" s="30"/>
      <c r="H886" s="77"/>
      <c r="I886" s="77"/>
      <c r="J886" s="58"/>
      <c r="K886" s="3"/>
    </row>
    <row r="887" spans="1:11" s="71" customFormat="1">
      <c r="A887" s="87"/>
      <c r="B887" s="30"/>
      <c r="C887" s="70"/>
      <c r="G887" s="30"/>
      <c r="H887" s="77"/>
      <c r="I887" s="77"/>
      <c r="J887" s="58"/>
      <c r="K887" s="3"/>
    </row>
    <row r="888" spans="1:11" s="71" customFormat="1">
      <c r="A888" s="87"/>
      <c r="B888" s="30"/>
      <c r="C888" s="70"/>
      <c r="G888" s="30"/>
      <c r="H888" s="77"/>
      <c r="I888" s="77"/>
      <c r="J888" s="58"/>
      <c r="K888" s="3"/>
    </row>
    <row r="889" spans="1:11" s="71" customFormat="1">
      <c r="A889" s="87"/>
      <c r="B889" s="30"/>
      <c r="C889" s="70"/>
      <c r="G889" s="30"/>
      <c r="H889" s="77"/>
      <c r="I889" s="77"/>
      <c r="J889" s="58"/>
      <c r="K889" s="3"/>
    </row>
    <row r="890" spans="1:11" s="71" customFormat="1">
      <c r="A890" s="87"/>
      <c r="B890" s="30"/>
      <c r="C890" s="70"/>
      <c r="G890" s="30"/>
      <c r="H890" s="77"/>
      <c r="I890" s="77"/>
      <c r="J890" s="58"/>
      <c r="K890" s="3"/>
    </row>
    <row r="891" spans="1:11" s="71" customFormat="1">
      <c r="A891" s="87"/>
      <c r="B891" s="30"/>
      <c r="C891" s="70"/>
      <c r="G891" s="30"/>
      <c r="H891" s="77"/>
      <c r="I891" s="77"/>
      <c r="J891" s="58"/>
      <c r="K891" s="3"/>
    </row>
    <row r="892" spans="1:11" s="71" customFormat="1">
      <c r="A892" s="87"/>
      <c r="B892" s="30"/>
      <c r="C892" s="70"/>
      <c r="G892" s="30"/>
      <c r="H892" s="77"/>
      <c r="I892" s="77"/>
      <c r="J892" s="58"/>
      <c r="K892" s="3"/>
    </row>
    <row r="893" spans="1:11" s="71" customFormat="1">
      <c r="A893" s="87"/>
      <c r="B893" s="30"/>
      <c r="C893" s="70"/>
      <c r="G893" s="30"/>
      <c r="H893" s="77"/>
      <c r="I893" s="77"/>
      <c r="J893" s="58"/>
      <c r="K893" s="3"/>
    </row>
    <row r="894" spans="1:11" s="71" customFormat="1">
      <c r="A894" s="87"/>
      <c r="B894" s="30"/>
      <c r="C894" s="70"/>
      <c r="G894" s="30"/>
      <c r="H894" s="77"/>
      <c r="I894" s="77"/>
      <c r="J894" s="58"/>
      <c r="K894" s="3"/>
    </row>
    <row r="895" spans="1:11" s="71" customFormat="1">
      <c r="A895" s="87"/>
      <c r="B895" s="30"/>
      <c r="C895" s="70"/>
      <c r="G895" s="30"/>
      <c r="H895" s="77"/>
      <c r="I895" s="77"/>
      <c r="J895" s="58"/>
      <c r="K895" s="3"/>
    </row>
    <row r="896" spans="1:11" s="71" customFormat="1">
      <c r="A896" s="87"/>
      <c r="B896" s="30"/>
      <c r="C896" s="70"/>
      <c r="G896" s="30"/>
      <c r="H896" s="77"/>
      <c r="I896" s="77"/>
      <c r="J896" s="58"/>
      <c r="K896" s="3"/>
    </row>
    <row r="897" spans="1:11" s="71" customFormat="1">
      <c r="A897" s="87"/>
      <c r="B897" s="30"/>
      <c r="C897" s="70"/>
      <c r="G897" s="30"/>
      <c r="H897" s="77"/>
      <c r="I897" s="77"/>
      <c r="J897" s="58"/>
      <c r="K897" s="3"/>
    </row>
    <row r="898" spans="1:11" s="71" customFormat="1">
      <c r="A898" s="87"/>
      <c r="B898" s="30"/>
      <c r="C898" s="70"/>
      <c r="G898" s="30"/>
      <c r="H898" s="77"/>
      <c r="I898" s="77"/>
      <c r="J898" s="58"/>
      <c r="K898" s="3"/>
    </row>
    <row r="899" spans="1:11" s="71" customFormat="1">
      <c r="A899" s="87"/>
      <c r="B899" s="30"/>
      <c r="C899" s="70"/>
      <c r="G899" s="30"/>
      <c r="H899" s="77"/>
      <c r="I899" s="77"/>
      <c r="J899" s="58"/>
      <c r="K899" s="3"/>
    </row>
    <row r="900" spans="1:11" s="71" customFormat="1">
      <c r="A900" s="87"/>
      <c r="B900" s="30"/>
      <c r="C900" s="70"/>
      <c r="G900" s="30"/>
      <c r="H900" s="77"/>
      <c r="I900" s="77"/>
      <c r="J900" s="58"/>
      <c r="K900" s="3"/>
    </row>
    <row r="901" spans="1:11" s="71" customFormat="1">
      <c r="A901" s="87"/>
      <c r="B901" s="30"/>
      <c r="C901" s="70"/>
      <c r="G901" s="30"/>
      <c r="H901" s="77"/>
      <c r="I901" s="77"/>
      <c r="J901" s="58"/>
      <c r="K901" s="3"/>
    </row>
    <row r="902" spans="1:11" s="71" customFormat="1">
      <c r="A902" s="87"/>
      <c r="B902" s="30"/>
      <c r="C902" s="70"/>
      <c r="G902" s="30"/>
      <c r="H902" s="77"/>
      <c r="I902" s="77"/>
      <c r="J902" s="58"/>
      <c r="K902" s="3"/>
    </row>
    <row r="903" spans="1:11" s="71" customFormat="1">
      <c r="A903" s="87"/>
      <c r="B903" s="30"/>
      <c r="C903" s="70"/>
      <c r="G903" s="30"/>
      <c r="H903" s="77"/>
      <c r="I903" s="77"/>
      <c r="J903" s="58"/>
      <c r="K903" s="3"/>
    </row>
    <row r="904" spans="1:11" s="71" customFormat="1">
      <c r="A904" s="87"/>
      <c r="B904" s="30"/>
      <c r="C904" s="70"/>
      <c r="G904" s="30"/>
      <c r="H904" s="77"/>
      <c r="I904" s="77"/>
      <c r="J904" s="58"/>
      <c r="K904" s="3"/>
    </row>
    <row r="905" spans="1:11" s="71" customFormat="1">
      <c r="A905" s="87"/>
      <c r="B905" s="30"/>
      <c r="C905" s="70"/>
      <c r="G905" s="30"/>
      <c r="H905" s="77"/>
      <c r="I905" s="77"/>
      <c r="J905" s="58"/>
      <c r="K905" s="3"/>
    </row>
    <row r="906" spans="1:11" s="71" customFormat="1">
      <c r="A906" s="87"/>
      <c r="B906" s="30"/>
      <c r="C906" s="70"/>
      <c r="G906" s="30"/>
      <c r="H906" s="77"/>
      <c r="I906" s="77"/>
      <c r="J906" s="58"/>
      <c r="K906" s="3"/>
    </row>
    <row r="907" spans="1:11" s="71" customFormat="1">
      <c r="A907" s="87"/>
      <c r="B907" s="30"/>
      <c r="C907" s="70"/>
      <c r="G907" s="30"/>
      <c r="H907" s="77"/>
      <c r="I907" s="77"/>
      <c r="J907" s="58"/>
      <c r="K907" s="3"/>
    </row>
    <row r="908" spans="1:11" s="71" customFormat="1">
      <c r="A908" s="87"/>
      <c r="B908" s="30"/>
      <c r="C908" s="70"/>
      <c r="G908" s="30"/>
      <c r="H908" s="77"/>
      <c r="I908" s="77"/>
      <c r="J908" s="58"/>
      <c r="K908" s="3"/>
    </row>
    <row r="909" spans="1:11" s="71" customFormat="1">
      <c r="A909" s="87"/>
      <c r="B909" s="30"/>
      <c r="C909" s="70"/>
      <c r="G909" s="30"/>
      <c r="H909" s="77"/>
      <c r="I909" s="77"/>
      <c r="J909" s="58"/>
      <c r="K909" s="3"/>
    </row>
    <row r="910" spans="1:11" s="71" customFormat="1">
      <c r="A910" s="87"/>
      <c r="B910" s="30"/>
      <c r="C910" s="70"/>
      <c r="G910" s="30"/>
      <c r="H910" s="77"/>
      <c r="I910" s="77"/>
      <c r="J910" s="58"/>
      <c r="K910" s="3"/>
    </row>
    <row r="911" spans="1:11" s="71" customFormat="1">
      <c r="A911" s="87"/>
      <c r="B911" s="30"/>
      <c r="C911" s="70"/>
      <c r="G911" s="30"/>
      <c r="H911" s="77"/>
      <c r="I911" s="77"/>
      <c r="J911" s="58"/>
      <c r="K911" s="3"/>
    </row>
    <row r="912" spans="1:11" s="71" customFormat="1">
      <c r="A912" s="87"/>
      <c r="B912" s="30"/>
      <c r="C912" s="70"/>
      <c r="G912" s="30"/>
      <c r="H912" s="77"/>
      <c r="I912" s="77"/>
      <c r="J912" s="58"/>
      <c r="K912" s="3"/>
    </row>
    <row r="913" spans="1:11" s="71" customFormat="1">
      <c r="A913" s="87"/>
      <c r="B913" s="30"/>
      <c r="C913" s="70"/>
      <c r="G913" s="30"/>
      <c r="H913" s="77"/>
      <c r="I913" s="77"/>
      <c r="J913" s="58"/>
      <c r="K913" s="3"/>
    </row>
    <row r="914" spans="1:11" s="71" customFormat="1">
      <c r="A914" s="87"/>
      <c r="B914" s="30"/>
      <c r="C914" s="70"/>
      <c r="G914" s="30"/>
      <c r="H914" s="77"/>
      <c r="I914" s="77"/>
      <c r="J914" s="58"/>
      <c r="K914" s="3"/>
    </row>
    <row r="915" spans="1:11" s="71" customFormat="1">
      <c r="A915" s="87"/>
      <c r="B915" s="30"/>
      <c r="C915" s="70"/>
      <c r="G915" s="30"/>
      <c r="H915" s="77"/>
      <c r="I915" s="77"/>
      <c r="J915" s="58"/>
      <c r="K915" s="3"/>
    </row>
    <row r="916" spans="1:11" s="71" customFormat="1">
      <c r="A916" s="87"/>
      <c r="B916" s="30"/>
      <c r="C916" s="70"/>
      <c r="G916" s="30"/>
      <c r="H916" s="77"/>
      <c r="I916" s="77"/>
      <c r="J916" s="58"/>
      <c r="K916" s="3"/>
    </row>
    <row r="917" spans="1:11" s="71" customFormat="1">
      <c r="A917" s="87"/>
      <c r="B917" s="30"/>
      <c r="C917" s="70"/>
      <c r="G917" s="30"/>
      <c r="H917" s="77"/>
      <c r="I917" s="77"/>
      <c r="J917" s="58"/>
      <c r="K917" s="3"/>
    </row>
    <row r="918" spans="1:11" s="71" customFormat="1">
      <c r="A918" s="87"/>
      <c r="B918" s="30"/>
      <c r="C918" s="70"/>
      <c r="G918" s="30"/>
      <c r="H918" s="77"/>
      <c r="I918" s="77"/>
      <c r="J918" s="58"/>
      <c r="K918" s="3"/>
    </row>
    <row r="919" spans="1:11" s="71" customFormat="1">
      <c r="A919" s="87"/>
      <c r="B919" s="30"/>
      <c r="C919" s="70"/>
      <c r="G919" s="30"/>
      <c r="H919" s="77"/>
      <c r="I919" s="77"/>
      <c r="J919" s="58"/>
      <c r="K919" s="3"/>
    </row>
    <row r="920" spans="1:11" s="71" customFormat="1">
      <c r="A920" s="87"/>
      <c r="B920" s="30"/>
      <c r="C920" s="70"/>
      <c r="G920" s="30"/>
      <c r="H920" s="77"/>
      <c r="I920" s="77"/>
      <c r="J920" s="58"/>
      <c r="K920" s="3"/>
    </row>
    <row r="921" spans="1:11" s="71" customFormat="1">
      <c r="A921" s="87"/>
      <c r="B921" s="30"/>
      <c r="C921" s="70"/>
      <c r="G921" s="30"/>
      <c r="H921" s="77"/>
      <c r="I921" s="77"/>
      <c r="J921" s="58"/>
      <c r="K921" s="3"/>
    </row>
    <row r="922" spans="1:11" s="71" customFormat="1">
      <c r="A922" s="87"/>
      <c r="B922" s="30"/>
      <c r="C922" s="70"/>
      <c r="G922" s="30"/>
      <c r="H922" s="77"/>
      <c r="I922" s="77"/>
      <c r="J922" s="58"/>
      <c r="K922" s="3"/>
    </row>
    <row r="923" spans="1:11" s="71" customFormat="1">
      <c r="A923" s="87"/>
      <c r="B923" s="30"/>
      <c r="C923" s="70"/>
      <c r="G923" s="30"/>
      <c r="H923" s="77"/>
      <c r="I923" s="77"/>
      <c r="J923" s="58"/>
      <c r="K923" s="3"/>
    </row>
    <row r="924" spans="1:11" s="71" customFormat="1">
      <c r="A924" s="87"/>
      <c r="B924" s="30"/>
      <c r="C924" s="70"/>
      <c r="G924" s="30"/>
      <c r="H924" s="77"/>
      <c r="I924" s="77"/>
      <c r="J924" s="58"/>
      <c r="K924" s="3"/>
    </row>
    <row r="925" spans="1:11" s="71" customFormat="1">
      <c r="A925" s="87"/>
      <c r="B925" s="30"/>
      <c r="C925" s="70"/>
      <c r="G925" s="30"/>
      <c r="H925" s="77"/>
      <c r="I925" s="77"/>
      <c r="J925" s="58"/>
      <c r="K925" s="3"/>
    </row>
    <row r="926" spans="1:11" s="71" customFormat="1">
      <c r="A926" s="87"/>
      <c r="B926" s="30"/>
      <c r="C926" s="70"/>
      <c r="G926" s="30"/>
      <c r="H926" s="77"/>
      <c r="I926" s="77"/>
      <c r="J926" s="58"/>
      <c r="K926" s="3"/>
    </row>
    <row r="927" spans="1:11" s="71" customFormat="1">
      <c r="A927" s="87"/>
      <c r="B927" s="30"/>
      <c r="C927" s="70"/>
      <c r="G927" s="30"/>
      <c r="H927" s="77"/>
      <c r="I927" s="77"/>
      <c r="J927" s="58"/>
      <c r="K927" s="3"/>
    </row>
    <row r="928" spans="1:11" s="71" customFormat="1">
      <c r="A928" s="87"/>
      <c r="B928" s="30"/>
      <c r="C928" s="70"/>
      <c r="G928" s="30"/>
      <c r="H928" s="77"/>
      <c r="I928" s="77"/>
      <c r="J928" s="58"/>
      <c r="K928" s="3"/>
    </row>
    <row r="929" spans="1:11" s="71" customFormat="1">
      <c r="A929" s="87"/>
      <c r="B929" s="30"/>
      <c r="C929" s="70"/>
      <c r="G929" s="30"/>
      <c r="H929" s="77"/>
      <c r="I929" s="77"/>
      <c r="J929" s="58"/>
      <c r="K929" s="3"/>
    </row>
    <row r="930" spans="1:11" s="71" customFormat="1">
      <c r="A930" s="87"/>
      <c r="B930" s="30"/>
      <c r="C930" s="70"/>
      <c r="G930" s="30"/>
      <c r="H930" s="77"/>
      <c r="I930" s="77"/>
      <c r="J930" s="58"/>
      <c r="K930" s="3"/>
    </row>
    <row r="931" spans="1:11" s="71" customFormat="1">
      <c r="A931" s="87"/>
      <c r="B931" s="30"/>
      <c r="C931" s="70"/>
      <c r="G931" s="30"/>
      <c r="H931" s="77"/>
      <c r="I931" s="77"/>
      <c r="J931" s="58"/>
      <c r="K931" s="3"/>
    </row>
    <row r="932" spans="1:11" s="71" customFormat="1">
      <c r="A932" s="87"/>
      <c r="B932" s="30"/>
      <c r="C932" s="70"/>
      <c r="G932" s="30"/>
      <c r="H932" s="77"/>
      <c r="I932" s="77"/>
      <c r="J932" s="58"/>
      <c r="K932" s="3"/>
    </row>
    <row r="933" spans="1:11" s="71" customFormat="1">
      <c r="A933" s="87"/>
      <c r="B933" s="30"/>
      <c r="C933" s="70"/>
      <c r="G933" s="30"/>
      <c r="H933" s="77"/>
      <c r="I933" s="77"/>
      <c r="J933" s="58"/>
      <c r="K933" s="3"/>
    </row>
    <row r="934" spans="1:11" s="71" customFormat="1">
      <c r="A934" s="87"/>
      <c r="B934" s="30"/>
      <c r="C934" s="70"/>
      <c r="G934" s="30"/>
      <c r="H934" s="77"/>
      <c r="I934" s="77"/>
      <c r="J934" s="58"/>
      <c r="K934" s="3"/>
    </row>
    <row r="935" spans="1:11" s="71" customFormat="1">
      <c r="A935" s="87"/>
      <c r="B935" s="30"/>
      <c r="C935" s="70"/>
      <c r="G935" s="30"/>
      <c r="H935" s="77"/>
      <c r="I935" s="77"/>
      <c r="J935" s="58"/>
      <c r="K935" s="3"/>
    </row>
    <row r="936" spans="1:11" s="71" customFormat="1">
      <c r="A936" s="87"/>
      <c r="B936" s="30"/>
      <c r="C936" s="70"/>
      <c r="G936" s="30"/>
      <c r="H936" s="77"/>
      <c r="I936" s="77"/>
      <c r="J936" s="58"/>
      <c r="K936" s="3"/>
    </row>
    <row r="937" spans="1:11" s="71" customFormat="1">
      <c r="A937" s="87"/>
      <c r="B937" s="30"/>
      <c r="C937" s="70"/>
      <c r="G937" s="30"/>
      <c r="H937" s="77"/>
      <c r="I937" s="77"/>
      <c r="J937" s="58"/>
      <c r="K937" s="3"/>
    </row>
    <row r="938" spans="1:11" s="71" customFormat="1">
      <c r="A938" s="87"/>
      <c r="B938" s="30"/>
      <c r="C938" s="70"/>
      <c r="G938" s="30"/>
      <c r="H938" s="77"/>
      <c r="I938" s="77"/>
      <c r="J938" s="58"/>
      <c r="K938" s="3"/>
    </row>
    <row r="939" spans="1:11" s="71" customFormat="1">
      <c r="A939" s="87"/>
      <c r="B939" s="30"/>
      <c r="C939" s="70"/>
      <c r="G939" s="30"/>
      <c r="H939" s="77"/>
      <c r="I939" s="77"/>
      <c r="J939" s="58"/>
      <c r="K939" s="3"/>
    </row>
    <row r="940" spans="1:11" s="71" customFormat="1">
      <c r="A940" s="87"/>
      <c r="B940" s="30"/>
      <c r="C940" s="70"/>
      <c r="G940" s="30"/>
      <c r="H940" s="77"/>
      <c r="I940" s="77"/>
      <c r="J940" s="58"/>
      <c r="K940" s="3"/>
    </row>
    <row r="941" spans="1:11" s="71" customFormat="1">
      <c r="A941" s="87"/>
      <c r="B941" s="30"/>
      <c r="C941" s="70"/>
      <c r="G941" s="30"/>
      <c r="H941" s="77"/>
      <c r="I941" s="77"/>
      <c r="J941" s="58"/>
      <c r="K941" s="3"/>
    </row>
    <row r="942" spans="1:11" s="71" customFormat="1">
      <c r="A942" s="87"/>
      <c r="B942" s="30"/>
      <c r="C942" s="70"/>
      <c r="G942" s="30"/>
      <c r="H942" s="77"/>
      <c r="I942" s="77"/>
      <c r="J942" s="58"/>
      <c r="K942" s="3"/>
    </row>
    <row r="943" spans="1:11" s="71" customFormat="1">
      <c r="A943" s="87"/>
      <c r="B943" s="30"/>
      <c r="C943" s="70"/>
      <c r="G943" s="30"/>
      <c r="H943" s="77"/>
      <c r="I943" s="77"/>
      <c r="J943" s="58"/>
      <c r="K943" s="3"/>
    </row>
    <row r="944" spans="1:11" s="71" customFormat="1">
      <c r="A944" s="87"/>
      <c r="B944" s="30"/>
      <c r="C944" s="70"/>
      <c r="G944" s="30"/>
      <c r="H944" s="77"/>
      <c r="I944" s="77"/>
      <c r="J944" s="58"/>
      <c r="K944" s="3"/>
    </row>
    <row r="945" spans="1:11" s="71" customFormat="1">
      <c r="A945" s="87"/>
      <c r="B945" s="30"/>
      <c r="C945" s="70"/>
      <c r="G945" s="30"/>
      <c r="H945" s="77"/>
      <c r="I945" s="77"/>
      <c r="J945" s="58"/>
      <c r="K945" s="3"/>
    </row>
    <row r="946" spans="1:11" s="71" customFormat="1">
      <c r="A946" s="87"/>
      <c r="B946" s="30"/>
      <c r="C946" s="70"/>
      <c r="G946" s="30"/>
      <c r="H946" s="77"/>
      <c r="I946" s="77"/>
      <c r="J946" s="58"/>
      <c r="K946" s="3"/>
    </row>
    <row r="947" spans="1:11" s="71" customFormat="1">
      <c r="A947" s="87"/>
      <c r="B947" s="30"/>
      <c r="C947" s="70"/>
      <c r="G947" s="30"/>
      <c r="H947" s="77"/>
      <c r="I947" s="77"/>
      <c r="J947" s="58"/>
      <c r="K947" s="3"/>
    </row>
    <row r="948" spans="1:11" s="71" customFormat="1">
      <c r="A948" s="87"/>
      <c r="B948" s="30"/>
      <c r="C948" s="70"/>
      <c r="G948" s="30"/>
      <c r="H948" s="77"/>
      <c r="I948" s="77"/>
      <c r="J948" s="58"/>
      <c r="K948" s="3"/>
    </row>
    <row r="949" spans="1:11" s="71" customFormat="1">
      <c r="A949" s="87"/>
      <c r="B949" s="30"/>
      <c r="C949" s="70"/>
      <c r="G949" s="30"/>
      <c r="H949" s="77"/>
      <c r="I949" s="77"/>
      <c r="J949" s="58"/>
      <c r="K949" s="3"/>
    </row>
    <row r="950" spans="1:11" s="71" customFormat="1">
      <c r="A950" s="87"/>
      <c r="B950" s="30"/>
      <c r="C950" s="70"/>
      <c r="G950" s="30"/>
      <c r="H950" s="77"/>
      <c r="I950" s="77"/>
      <c r="J950" s="58"/>
      <c r="K950" s="3"/>
    </row>
    <row r="951" spans="1:11" s="71" customFormat="1">
      <c r="A951" s="87"/>
      <c r="B951" s="30"/>
      <c r="C951" s="70"/>
      <c r="G951" s="30"/>
      <c r="H951" s="77"/>
      <c r="I951" s="77"/>
      <c r="J951" s="58"/>
      <c r="K951" s="3"/>
    </row>
    <row r="952" spans="1:11" s="71" customFormat="1">
      <c r="A952" s="87"/>
      <c r="B952" s="30"/>
      <c r="C952" s="70"/>
      <c r="G952" s="30"/>
      <c r="H952" s="77"/>
      <c r="I952" s="77"/>
      <c r="J952" s="58"/>
      <c r="K952" s="3"/>
    </row>
    <row r="953" spans="1:11" s="71" customFormat="1">
      <c r="A953" s="87"/>
      <c r="B953" s="30"/>
      <c r="C953" s="70"/>
      <c r="G953" s="30"/>
      <c r="H953" s="77"/>
      <c r="I953" s="77"/>
      <c r="J953" s="58"/>
      <c r="K953" s="3"/>
    </row>
    <row r="954" spans="1:11" s="71" customFormat="1">
      <c r="A954" s="87"/>
      <c r="B954" s="30"/>
      <c r="C954" s="70"/>
      <c r="G954" s="30"/>
      <c r="H954" s="77"/>
      <c r="I954" s="77"/>
      <c r="J954" s="58"/>
      <c r="K954" s="3"/>
    </row>
    <row r="955" spans="1:11" s="71" customFormat="1">
      <c r="A955" s="87"/>
      <c r="B955" s="30"/>
      <c r="C955" s="70"/>
      <c r="G955" s="30"/>
      <c r="H955" s="77"/>
      <c r="I955" s="77"/>
      <c r="J955" s="58"/>
      <c r="K955" s="3"/>
    </row>
    <row r="956" spans="1:11" s="71" customFormat="1">
      <c r="A956" s="87"/>
      <c r="B956" s="30"/>
      <c r="C956" s="70"/>
      <c r="G956" s="30"/>
      <c r="H956" s="77"/>
      <c r="I956" s="77"/>
      <c r="J956" s="58"/>
      <c r="K956" s="3"/>
    </row>
    <row r="957" spans="1:11" s="71" customFormat="1">
      <c r="A957" s="87"/>
      <c r="B957" s="30"/>
      <c r="C957" s="70"/>
      <c r="G957" s="30"/>
      <c r="H957" s="77"/>
      <c r="I957" s="77"/>
      <c r="J957" s="58"/>
      <c r="K957" s="3"/>
    </row>
    <row r="958" spans="1:11" s="71" customFormat="1">
      <c r="A958" s="87"/>
      <c r="B958" s="30"/>
      <c r="C958" s="70"/>
      <c r="G958" s="30"/>
      <c r="H958" s="77"/>
      <c r="I958" s="77"/>
      <c r="J958" s="58"/>
      <c r="K958" s="3"/>
    </row>
    <row r="959" spans="1:11" s="71" customFormat="1">
      <c r="A959" s="87"/>
      <c r="B959" s="30"/>
      <c r="C959" s="70"/>
      <c r="G959" s="30"/>
      <c r="H959" s="77"/>
      <c r="I959" s="77"/>
      <c r="J959" s="58"/>
      <c r="K959" s="3"/>
    </row>
    <row r="960" spans="1:11" s="71" customFormat="1">
      <c r="A960" s="87"/>
      <c r="B960" s="30"/>
      <c r="C960" s="70"/>
      <c r="G960" s="30"/>
      <c r="H960" s="77"/>
      <c r="I960" s="77"/>
      <c r="J960" s="58"/>
      <c r="K960" s="3"/>
    </row>
    <row r="961" spans="1:11" s="71" customFormat="1">
      <c r="A961" s="87"/>
      <c r="B961" s="30"/>
      <c r="C961" s="70"/>
      <c r="G961" s="30"/>
      <c r="H961" s="77"/>
      <c r="I961" s="77"/>
      <c r="J961" s="58"/>
      <c r="K961" s="3"/>
    </row>
    <row r="962" spans="1:11" s="71" customFormat="1">
      <c r="A962" s="87"/>
      <c r="B962" s="30"/>
      <c r="C962" s="70"/>
      <c r="G962" s="30"/>
      <c r="H962" s="77"/>
      <c r="I962" s="77"/>
      <c r="J962" s="58"/>
      <c r="K962" s="3"/>
    </row>
    <row r="963" spans="1:11" s="71" customFormat="1">
      <c r="A963" s="87"/>
      <c r="B963" s="30"/>
      <c r="C963" s="70"/>
      <c r="G963" s="30"/>
      <c r="H963" s="77"/>
      <c r="I963" s="77"/>
      <c r="J963" s="58"/>
      <c r="K963" s="3"/>
    </row>
    <row r="964" spans="1:11" s="71" customFormat="1">
      <c r="A964" s="87"/>
      <c r="B964" s="30"/>
      <c r="C964" s="70"/>
      <c r="G964" s="30"/>
      <c r="H964" s="77"/>
      <c r="I964" s="77"/>
      <c r="J964" s="58"/>
      <c r="K964" s="3"/>
    </row>
    <row r="965" spans="1:11" s="71" customFormat="1">
      <c r="A965" s="87"/>
      <c r="B965" s="30"/>
      <c r="C965" s="70"/>
      <c r="G965" s="30"/>
      <c r="H965" s="77"/>
      <c r="I965" s="77"/>
      <c r="J965" s="58"/>
      <c r="K965" s="3"/>
    </row>
    <row r="966" spans="1:11" s="71" customFormat="1">
      <c r="A966" s="87"/>
      <c r="B966" s="30"/>
      <c r="C966" s="70"/>
      <c r="G966" s="30"/>
      <c r="H966" s="77"/>
      <c r="I966" s="77"/>
      <c r="J966" s="58"/>
      <c r="K966" s="3"/>
    </row>
    <row r="967" spans="1:11" s="71" customFormat="1">
      <c r="A967" s="87"/>
      <c r="B967" s="30"/>
      <c r="C967" s="70"/>
      <c r="G967" s="30"/>
      <c r="H967" s="77"/>
      <c r="I967" s="77"/>
      <c r="J967" s="58"/>
      <c r="K967" s="3"/>
    </row>
    <row r="968" spans="1:11" s="71" customFormat="1">
      <c r="A968" s="87"/>
      <c r="B968" s="30"/>
      <c r="C968" s="70"/>
      <c r="G968" s="30"/>
      <c r="H968" s="77"/>
      <c r="I968" s="77"/>
      <c r="J968" s="58"/>
      <c r="K968" s="3"/>
    </row>
    <row r="969" spans="1:11" s="71" customFormat="1">
      <c r="A969" s="87"/>
      <c r="B969" s="30"/>
      <c r="C969" s="70"/>
      <c r="G969" s="30"/>
      <c r="H969" s="77"/>
      <c r="I969" s="77"/>
      <c r="J969" s="58"/>
      <c r="K969" s="3"/>
    </row>
    <row r="970" spans="1:11" s="71" customFormat="1">
      <c r="A970" s="87"/>
      <c r="B970" s="30"/>
      <c r="C970" s="70"/>
      <c r="G970" s="30"/>
      <c r="H970" s="77"/>
      <c r="I970" s="77"/>
      <c r="J970" s="58"/>
      <c r="K970" s="3"/>
    </row>
    <row r="971" spans="1:11" s="71" customFormat="1">
      <c r="A971" s="87"/>
      <c r="B971" s="30"/>
      <c r="C971" s="70"/>
      <c r="G971" s="30"/>
      <c r="H971" s="77"/>
      <c r="I971" s="77"/>
      <c r="J971" s="58"/>
      <c r="K971" s="3"/>
    </row>
    <row r="972" spans="1:11" s="71" customFormat="1">
      <c r="A972" s="87"/>
      <c r="B972" s="30"/>
      <c r="C972" s="70"/>
      <c r="G972" s="30"/>
      <c r="H972" s="77"/>
      <c r="I972" s="77"/>
      <c r="J972" s="58"/>
      <c r="K972" s="3"/>
    </row>
    <row r="973" spans="1:11" s="71" customFormat="1">
      <c r="A973" s="87"/>
      <c r="B973" s="30"/>
      <c r="C973" s="70"/>
      <c r="G973" s="30"/>
      <c r="H973" s="77"/>
      <c r="I973" s="77"/>
      <c r="J973" s="58"/>
      <c r="K973" s="3"/>
    </row>
    <row r="974" spans="1:11" s="71" customFormat="1">
      <c r="A974" s="87"/>
      <c r="B974" s="30"/>
      <c r="C974" s="70"/>
      <c r="G974" s="30"/>
      <c r="H974" s="77"/>
      <c r="I974" s="77"/>
      <c r="J974" s="58"/>
      <c r="K974" s="3"/>
    </row>
    <row r="975" spans="1:11" s="71" customFormat="1">
      <c r="A975" s="87"/>
      <c r="B975" s="30"/>
      <c r="C975" s="70"/>
      <c r="G975" s="30"/>
      <c r="H975" s="77"/>
      <c r="I975" s="77"/>
      <c r="J975" s="58"/>
      <c r="K975" s="3"/>
    </row>
    <row r="976" spans="1:11" s="71" customFormat="1">
      <c r="A976" s="87"/>
      <c r="B976" s="30"/>
      <c r="C976" s="70"/>
      <c r="G976" s="30"/>
      <c r="H976" s="77"/>
      <c r="I976" s="77"/>
      <c r="J976" s="58"/>
      <c r="K976" s="3"/>
    </row>
    <row r="977" spans="1:11" s="71" customFormat="1">
      <c r="A977" s="87"/>
      <c r="B977" s="30"/>
      <c r="C977" s="70"/>
      <c r="G977" s="30"/>
      <c r="H977" s="77"/>
      <c r="I977" s="77"/>
      <c r="J977" s="58"/>
      <c r="K977" s="3"/>
    </row>
    <row r="978" spans="1:11" s="71" customFormat="1">
      <c r="A978" s="87"/>
      <c r="B978" s="30"/>
      <c r="C978" s="70"/>
      <c r="G978" s="30"/>
      <c r="H978" s="77"/>
      <c r="I978" s="77"/>
      <c r="J978" s="58"/>
      <c r="K978" s="3"/>
    </row>
    <row r="979" spans="1:11" s="71" customFormat="1">
      <c r="A979" s="87"/>
      <c r="B979" s="30"/>
      <c r="C979" s="70"/>
      <c r="G979" s="30"/>
      <c r="H979" s="77"/>
      <c r="I979" s="77"/>
      <c r="J979" s="58"/>
      <c r="K979" s="3"/>
    </row>
    <row r="980" spans="1:11" s="71" customFormat="1">
      <c r="A980" s="87"/>
      <c r="B980" s="30"/>
      <c r="C980" s="70"/>
      <c r="G980" s="30"/>
      <c r="H980" s="77"/>
      <c r="I980" s="77"/>
      <c r="J980" s="58"/>
      <c r="K980" s="3"/>
    </row>
    <row r="981" spans="1:11" s="71" customFormat="1">
      <c r="A981" s="87"/>
      <c r="B981" s="30"/>
      <c r="C981" s="70"/>
      <c r="G981" s="30"/>
      <c r="H981" s="77"/>
      <c r="I981" s="77"/>
      <c r="J981" s="58"/>
      <c r="K981" s="3"/>
    </row>
    <row r="982" spans="1:11" s="71" customFormat="1">
      <c r="A982" s="87"/>
      <c r="B982" s="30"/>
      <c r="C982" s="70"/>
      <c r="G982" s="30"/>
      <c r="H982" s="77"/>
      <c r="I982" s="77"/>
      <c r="J982" s="58"/>
      <c r="K982" s="3"/>
    </row>
    <row r="983" spans="1:11" s="71" customFormat="1">
      <c r="A983" s="87"/>
      <c r="B983" s="30"/>
      <c r="C983" s="70"/>
      <c r="G983" s="30"/>
      <c r="H983" s="77"/>
      <c r="I983" s="77"/>
      <c r="J983" s="58"/>
      <c r="K983" s="3"/>
    </row>
    <row r="984" spans="1:11" s="71" customFormat="1">
      <c r="A984" s="87"/>
      <c r="B984" s="30"/>
      <c r="C984" s="70"/>
      <c r="G984" s="30"/>
      <c r="H984" s="77"/>
      <c r="I984" s="77"/>
      <c r="J984" s="58"/>
      <c r="K984" s="3"/>
    </row>
    <row r="985" spans="1:11" s="71" customFormat="1">
      <c r="A985" s="87"/>
      <c r="B985" s="30"/>
      <c r="C985" s="70"/>
      <c r="G985" s="30"/>
      <c r="H985" s="77"/>
      <c r="I985" s="77"/>
      <c r="J985" s="58"/>
      <c r="K985" s="3"/>
    </row>
    <row r="986" spans="1:11" s="71" customFormat="1">
      <c r="A986" s="87"/>
      <c r="B986" s="30"/>
      <c r="C986" s="70"/>
      <c r="G986" s="30"/>
      <c r="H986" s="77"/>
      <c r="I986" s="77"/>
      <c r="J986" s="58"/>
      <c r="K986" s="3"/>
    </row>
    <row r="987" spans="1:11" s="71" customFormat="1">
      <c r="A987" s="87"/>
      <c r="B987" s="30"/>
      <c r="C987" s="70"/>
      <c r="G987" s="30"/>
      <c r="H987" s="77"/>
      <c r="I987" s="77"/>
      <c r="J987" s="58"/>
      <c r="K987" s="3"/>
    </row>
    <row r="988" spans="1:11" s="71" customFormat="1">
      <c r="A988" s="87"/>
      <c r="B988" s="30"/>
      <c r="C988" s="70"/>
      <c r="G988" s="30"/>
      <c r="H988" s="77"/>
      <c r="I988" s="77"/>
      <c r="J988" s="58"/>
      <c r="K988" s="3"/>
    </row>
    <row r="989" spans="1:11" s="71" customFormat="1">
      <c r="A989" s="87"/>
      <c r="B989" s="30"/>
      <c r="C989" s="70"/>
      <c r="G989" s="30"/>
      <c r="H989" s="77"/>
      <c r="I989" s="77"/>
      <c r="J989" s="58"/>
      <c r="K989" s="3"/>
    </row>
    <row r="990" spans="1:11" s="71" customFormat="1">
      <c r="A990" s="87"/>
      <c r="B990" s="30"/>
      <c r="C990" s="70"/>
      <c r="G990" s="30"/>
      <c r="H990" s="77"/>
      <c r="I990" s="77"/>
      <c r="J990" s="58"/>
      <c r="K990" s="3"/>
    </row>
    <row r="991" spans="1:11" s="71" customFormat="1">
      <c r="A991" s="87"/>
      <c r="B991" s="30"/>
      <c r="C991" s="70"/>
      <c r="G991" s="30"/>
      <c r="H991" s="77"/>
      <c r="I991" s="77"/>
      <c r="J991" s="58"/>
      <c r="K991" s="3"/>
    </row>
    <row r="992" spans="1:11" s="71" customFormat="1">
      <c r="A992" s="87"/>
      <c r="B992" s="30"/>
      <c r="C992" s="70"/>
      <c r="G992" s="30"/>
      <c r="H992" s="77"/>
      <c r="I992" s="77"/>
      <c r="J992" s="58"/>
      <c r="K992" s="3"/>
    </row>
    <row r="993" spans="1:11" s="71" customFormat="1">
      <c r="A993" s="87"/>
      <c r="B993" s="30"/>
      <c r="C993" s="70"/>
      <c r="G993" s="30"/>
      <c r="H993" s="77"/>
      <c r="I993" s="77"/>
      <c r="J993" s="58"/>
      <c r="K993" s="3"/>
    </row>
    <row r="994" spans="1:11" s="71" customFormat="1">
      <c r="A994" s="87"/>
      <c r="B994" s="30"/>
      <c r="C994" s="70"/>
      <c r="G994" s="30"/>
      <c r="H994" s="77"/>
      <c r="I994" s="77"/>
      <c r="J994" s="58"/>
      <c r="K994" s="3"/>
    </row>
    <row r="995" spans="1:11" s="71" customFormat="1">
      <c r="A995" s="87"/>
      <c r="B995" s="30"/>
      <c r="C995" s="70"/>
      <c r="G995" s="30"/>
      <c r="H995" s="77"/>
      <c r="I995" s="77"/>
      <c r="J995" s="58"/>
      <c r="K995" s="3"/>
    </row>
    <row r="996" spans="1:11" s="71" customFormat="1">
      <c r="A996" s="87"/>
      <c r="B996" s="30"/>
      <c r="C996" s="70"/>
      <c r="G996" s="30"/>
      <c r="H996" s="77"/>
      <c r="I996" s="77"/>
      <c r="J996" s="58"/>
      <c r="K996" s="3"/>
    </row>
    <row r="997" spans="1:11" s="71" customFormat="1">
      <c r="A997" s="87"/>
      <c r="B997" s="30"/>
      <c r="C997" s="70"/>
      <c r="G997" s="30"/>
      <c r="H997" s="77"/>
      <c r="I997" s="77"/>
      <c r="J997" s="58"/>
      <c r="K997" s="3"/>
    </row>
    <row r="998" spans="1:11" s="71" customFormat="1">
      <c r="A998" s="87"/>
      <c r="B998" s="30"/>
      <c r="C998" s="70"/>
      <c r="G998" s="30"/>
      <c r="H998" s="77"/>
      <c r="I998" s="77"/>
      <c r="J998" s="58"/>
      <c r="K998" s="3"/>
    </row>
    <row r="999" spans="1:11" s="71" customFormat="1">
      <c r="A999" s="87"/>
      <c r="B999" s="30"/>
      <c r="C999" s="70"/>
      <c r="G999" s="30"/>
      <c r="H999" s="77"/>
      <c r="I999" s="77"/>
      <c r="J999" s="58"/>
      <c r="K999" s="3"/>
    </row>
    <row r="1000" spans="1:11" s="71" customFormat="1">
      <c r="A1000" s="87"/>
      <c r="B1000" s="30"/>
      <c r="C1000" s="70"/>
      <c r="G1000" s="30"/>
      <c r="H1000" s="77"/>
      <c r="I1000" s="77"/>
      <c r="J1000" s="58"/>
      <c r="K1000" s="3"/>
    </row>
    <row r="1001" spans="1:11" s="71" customFormat="1">
      <c r="A1001" s="87"/>
      <c r="B1001" s="30"/>
      <c r="C1001" s="70"/>
      <c r="G1001" s="30"/>
      <c r="H1001" s="77"/>
      <c r="I1001" s="77"/>
      <c r="J1001" s="58"/>
      <c r="K1001" s="3"/>
    </row>
    <row r="1002" spans="1:11" s="71" customFormat="1">
      <c r="A1002" s="87"/>
      <c r="B1002" s="30"/>
      <c r="C1002" s="70"/>
      <c r="G1002" s="30"/>
      <c r="H1002" s="77"/>
      <c r="I1002" s="77"/>
      <c r="J1002" s="58"/>
      <c r="K1002" s="3"/>
    </row>
    <row r="1003" spans="1:11" s="71" customFormat="1">
      <c r="A1003" s="87"/>
      <c r="B1003" s="30"/>
      <c r="C1003" s="70"/>
      <c r="G1003" s="30"/>
      <c r="H1003" s="77"/>
      <c r="I1003" s="77"/>
      <c r="J1003" s="58"/>
      <c r="K1003" s="3"/>
    </row>
    <row r="1004" spans="1:11" s="71" customFormat="1">
      <c r="A1004" s="87"/>
      <c r="B1004" s="30"/>
      <c r="C1004" s="70"/>
      <c r="G1004" s="30"/>
      <c r="H1004" s="77"/>
      <c r="I1004" s="77"/>
      <c r="J1004" s="58"/>
      <c r="K1004" s="3"/>
    </row>
    <row r="1005" spans="1:11" s="71" customFormat="1">
      <c r="A1005" s="87"/>
      <c r="B1005" s="30"/>
      <c r="C1005" s="70"/>
      <c r="G1005" s="30"/>
      <c r="H1005" s="77"/>
      <c r="I1005" s="77"/>
      <c r="J1005" s="58"/>
      <c r="K1005" s="3"/>
    </row>
    <row r="1006" spans="1:11" s="71" customFormat="1">
      <c r="A1006" s="87"/>
      <c r="B1006" s="30"/>
      <c r="C1006" s="70"/>
      <c r="G1006" s="30"/>
      <c r="H1006" s="77"/>
      <c r="I1006" s="77"/>
      <c r="J1006" s="58"/>
      <c r="K1006" s="3"/>
    </row>
    <row r="1007" spans="1:11" s="71" customFormat="1">
      <c r="A1007" s="87"/>
      <c r="B1007" s="30"/>
      <c r="C1007" s="70"/>
      <c r="G1007" s="30"/>
      <c r="H1007" s="77"/>
      <c r="I1007" s="77"/>
      <c r="J1007" s="58"/>
      <c r="K1007" s="3"/>
    </row>
    <row r="1008" spans="1:11" s="71" customFormat="1">
      <c r="A1008" s="87"/>
      <c r="B1008" s="30"/>
      <c r="C1008" s="70"/>
      <c r="G1008" s="30"/>
      <c r="H1008" s="77"/>
      <c r="I1008" s="77"/>
      <c r="J1008" s="58"/>
      <c r="K1008" s="3"/>
    </row>
    <row r="1009" spans="1:11" s="71" customFormat="1">
      <c r="A1009" s="87"/>
      <c r="B1009" s="30"/>
      <c r="C1009" s="70"/>
      <c r="G1009" s="30"/>
      <c r="H1009" s="77"/>
      <c r="I1009" s="77"/>
      <c r="J1009" s="58"/>
      <c r="K1009" s="3"/>
    </row>
    <row r="1010" spans="1:11" s="71" customFormat="1">
      <c r="A1010" s="87"/>
      <c r="B1010" s="30"/>
      <c r="C1010" s="70"/>
      <c r="G1010" s="30"/>
      <c r="H1010" s="77"/>
      <c r="I1010" s="77"/>
      <c r="J1010" s="58"/>
      <c r="K1010" s="3"/>
    </row>
    <row r="1011" spans="1:11" s="71" customFormat="1">
      <c r="A1011" s="87"/>
      <c r="B1011" s="30"/>
      <c r="C1011" s="70"/>
      <c r="G1011" s="30"/>
      <c r="H1011" s="77"/>
      <c r="I1011" s="77"/>
      <c r="J1011" s="58"/>
      <c r="K1011" s="3"/>
    </row>
    <row r="1012" spans="1:11" s="71" customFormat="1">
      <c r="A1012" s="87"/>
      <c r="B1012" s="30"/>
      <c r="C1012" s="70"/>
      <c r="G1012" s="30"/>
      <c r="H1012" s="77"/>
      <c r="I1012" s="77"/>
      <c r="J1012" s="58"/>
      <c r="K1012" s="3"/>
    </row>
    <row r="1013" spans="1:11" s="71" customFormat="1">
      <c r="A1013" s="87"/>
      <c r="B1013" s="30"/>
      <c r="C1013" s="70"/>
      <c r="G1013" s="30"/>
      <c r="H1013" s="77"/>
      <c r="I1013" s="77"/>
      <c r="J1013" s="58"/>
      <c r="K1013" s="3"/>
    </row>
    <row r="1014" spans="1:11" s="71" customFormat="1">
      <c r="A1014" s="87"/>
      <c r="B1014" s="30"/>
      <c r="C1014" s="70"/>
      <c r="G1014" s="30"/>
      <c r="H1014" s="77"/>
      <c r="I1014" s="77"/>
      <c r="J1014" s="58"/>
      <c r="K1014" s="3"/>
    </row>
    <row r="1015" spans="1:11" s="71" customFormat="1">
      <c r="A1015" s="87"/>
      <c r="B1015" s="30"/>
      <c r="C1015" s="70"/>
      <c r="G1015" s="30"/>
      <c r="H1015" s="77"/>
      <c r="I1015" s="77"/>
      <c r="J1015" s="58"/>
      <c r="K1015" s="3"/>
    </row>
    <row r="1016" spans="1:11" s="71" customFormat="1">
      <c r="A1016" s="87"/>
      <c r="B1016" s="30"/>
      <c r="C1016" s="70"/>
      <c r="G1016" s="30"/>
      <c r="H1016" s="77"/>
      <c r="I1016" s="77"/>
      <c r="J1016" s="58"/>
      <c r="K1016" s="3"/>
    </row>
    <row r="1017" spans="1:11" s="71" customFormat="1">
      <c r="A1017" s="87"/>
      <c r="B1017" s="30"/>
      <c r="C1017" s="70"/>
      <c r="G1017" s="30"/>
      <c r="H1017" s="77"/>
      <c r="I1017" s="77"/>
      <c r="J1017" s="58"/>
      <c r="K1017" s="3"/>
    </row>
    <row r="1018" spans="1:11" s="71" customFormat="1">
      <c r="A1018" s="87"/>
      <c r="B1018" s="30"/>
      <c r="C1018" s="70"/>
      <c r="G1018" s="30"/>
      <c r="H1018" s="77"/>
      <c r="I1018" s="77"/>
      <c r="J1018" s="58"/>
      <c r="K1018" s="3"/>
    </row>
    <row r="1019" spans="1:11" s="71" customFormat="1">
      <c r="A1019" s="87"/>
      <c r="B1019" s="30"/>
      <c r="C1019" s="70"/>
      <c r="G1019" s="30"/>
      <c r="H1019" s="77"/>
      <c r="I1019" s="77"/>
      <c r="J1019" s="58"/>
      <c r="K1019" s="3"/>
    </row>
    <row r="1020" spans="1:11" s="71" customFormat="1">
      <c r="A1020" s="87"/>
      <c r="B1020" s="30"/>
      <c r="C1020" s="70"/>
      <c r="G1020" s="30"/>
      <c r="H1020" s="77"/>
      <c r="I1020" s="77"/>
      <c r="J1020" s="58"/>
      <c r="K1020" s="3"/>
    </row>
    <row r="1021" spans="1:11" s="71" customFormat="1">
      <c r="A1021" s="87"/>
      <c r="B1021" s="30"/>
      <c r="C1021" s="70"/>
      <c r="G1021" s="30"/>
      <c r="H1021" s="77"/>
      <c r="I1021" s="77"/>
      <c r="J1021" s="58"/>
      <c r="K1021" s="3"/>
    </row>
    <row r="1022" spans="1:11" s="71" customFormat="1">
      <c r="A1022" s="87"/>
      <c r="B1022" s="30"/>
      <c r="C1022" s="70"/>
      <c r="G1022" s="30"/>
      <c r="H1022" s="77"/>
      <c r="I1022" s="77"/>
      <c r="J1022" s="58"/>
      <c r="K1022" s="3"/>
    </row>
    <row r="1023" spans="1:11" s="71" customFormat="1">
      <c r="A1023" s="87"/>
      <c r="B1023" s="30"/>
      <c r="C1023" s="70"/>
      <c r="G1023" s="30"/>
      <c r="H1023" s="77"/>
      <c r="I1023" s="77"/>
      <c r="J1023" s="58"/>
      <c r="K1023" s="3"/>
    </row>
    <row r="1024" spans="1:11" s="71" customFormat="1">
      <c r="A1024" s="87"/>
      <c r="B1024" s="30"/>
      <c r="C1024" s="70"/>
      <c r="G1024" s="30"/>
      <c r="H1024" s="77"/>
      <c r="I1024" s="77"/>
      <c r="J1024" s="58"/>
      <c r="K1024" s="3"/>
    </row>
    <row r="1025" spans="1:11" s="71" customFormat="1">
      <c r="A1025" s="87"/>
      <c r="B1025" s="30"/>
      <c r="C1025" s="70"/>
      <c r="G1025" s="30"/>
      <c r="H1025" s="77"/>
      <c r="I1025" s="77"/>
      <c r="J1025" s="58"/>
      <c r="K1025" s="3"/>
    </row>
    <row r="1026" spans="1:11" s="71" customFormat="1">
      <c r="A1026" s="87"/>
      <c r="B1026" s="30"/>
      <c r="C1026" s="70"/>
      <c r="G1026" s="30"/>
      <c r="H1026" s="77"/>
      <c r="I1026" s="77"/>
      <c r="J1026" s="58"/>
      <c r="K1026" s="3"/>
    </row>
    <row r="1027" spans="1:11" s="71" customFormat="1">
      <c r="A1027" s="87"/>
      <c r="B1027" s="30"/>
      <c r="C1027" s="70"/>
      <c r="G1027" s="30"/>
      <c r="H1027" s="77"/>
      <c r="I1027" s="77"/>
      <c r="J1027" s="58"/>
      <c r="K1027" s="3"/>
    </row>
    <row r="1028" spans="1:11" s="71" customFormat="1">
      <c r="A1028" s="87"/>
      <c r="B1028" s="30"/>
      <c r="C1028" s="70"/>
      <c r="G1028" s="30"/>
      <c r="H1028" s="77"/>
      <c r="I1028" s="77"/>
      <c r="J1028" s="58"/>
      <c r="K1028" s="3"/>
    </row>
    <row r="1029" spans="1:11" s="71" customFormat="1">
      <c r="A1029" s="87"/>
      <c r="B1029" s="30"/>
      <c r="C1029" s="70"/>
      <c r="G1029" s="30"/>
      <c r="H1029" s="77"/>
      <c r="I1029" s="77"/>
      <c r="J1029" s="58"/>
      <c r="K1029" s="3"/>
    </row>
    <row r="1030" spans="1:11" s="71" customFormat="1">
      <c r="A1030" s="87"/>
      <c r="B1030" s="30"/>
      <c r="C1030" s="70"/>
      <c r="G1030" s="30"/>
      <c r="H1030" s="77"/>
      <c r="I1030" s="77"/>
      <c r="J1030" s="58"/>
      <c r="K1030" s="3"/>
    </row>
    <row r="1031" spans="1:11" s="71" customFormat="1">
      <c r="A1031" s="87"/>
      <c r="B1031" s="30"/>
      <c r="C1031" s="70"/>
      <c r="G1031" s="30"/>
      <c r="H1031" s="77"/>
      <c r="I1031" s="77"/>
      <c r="J1031" s="58"/>
      <c r="K1031" s="3"/>
    </row>
    <row r="1032" spans="1:11" s="71" customFormat="1">
      <c r="A1032" s="87"/>
      <c r="B1032" s="30"/>
      <c r="C1032" s="70"/>
      <c r="G1032" s="30"/>
      <c r="H1032" s="77"/>
      <c r="I1032" s="77"/>
      <c r="J1032" s="58"/>
      <c r="K1032" s="3"/>
    </row>
    <row r="1033" spans="1:11" s="71" customFormat="1">
      <c r="A1033" s="87"/>
      <c r="B1033" s="30"/>
      <c r="C1033" s="70"/>
      <c r="G1033" s="30"/>
      <c r="H1033" s="77"/>
      <c r="I1033" s="77"/>
      <c r="J1033" s="58"/>
      <c r="K1033" s="3"/>
    </row>
    <row r="1034" spans="1:11" s="71" customFormat="1">
      <c r="A1034" s="87"/>
      <c r="B1034" s="30"/>
      <c r="C1034" s="70"/>
      <c r="G1034" s="30"/>
      <c r="H1034" s="77"/>
      <c r="I1034" s="77"/>
      <c r="J1034" s="58"/>
      <c r="K1034" s="3"/>
    </row>
    <row r="1035" spans="1:11" s="71" customFormat="1">
      <c r="A1035" s="87"/>
      <c r="B1035" s="30"/>
      <c r="C1035" s="70"/>
      <c r="G1035" s="30"/>
      <c r="H1035" s="77"/>
      <c r="I1035" s="77"/>
      <c r="J1035" s="58"/>
      <c r="K1035" s="3"/>
    </row>
    <row r="1036" spans="1:11" s="71" customFormat="1">
      <c r="A1036" s="87"/>
      <c r="B1036" s="30"/>
      <c r="C1036" s="70"/>
      <c r="G1036" s="30"/>
      <c r="H1036" s="77"/>
      <c r="I1036" s="77"/>
      <c r="J1036" s="58"/>
      <c r="K1036" s="3"/>
    </row>
    <row r="1037" spans="1:11" s="71" customFormat="1">
      <c r="A1037" s="87"/>
      <c r="B1037" s="30"/>
      <c r="C1037" s="70"/>
      <c r="G1037" s="30"/>
      <c r="H1037" s="77"/>
      <c r="I1037" s="77"/>
      <c r="J1037" s="58"/>
      <c r="K1037" s="3"/>
    </row>
    <row r="1038" spans="1:11" s="71" customFormat="1">
      <c r="A1038" s="87"/>
      <c r="B1038" s="30"/>
      <c r="C1038" s="70"/>
      <c r="G1038" s="30"/>
      <c r="H1038" s="77"/>
      <c r="I1038" s="77"/>
      <c r="J1038" s="58"/>
      <c r="K1038" s="3"/>
    </row>
    <row r="1039" spans="1:11" s="71" customFormat="1">
      <c r="A1039" s="87"/>
      <c r="B1039" s="30"/>
      <c r="C1039" s="70"/>
      <c r="G1039" s="30"/>
      <c r="H1039" s="77"/>
      <c r="I1039" s="77"/>
      <c r="J1039" s="58"/>
      <c r="K1039" s="3"/>
    </row>
    <row r="1040" spans="1:11" s="71" customFormat="1">
      <c r="A1040" s="87"/>
      <c r="B1040" s="30"/>
      <c r="C1040" s="70"/>
      <c r="G1040" s="30"/>
      <c r="H1040" s="77"/>
      <c r="I1040" s="77"/>
      <c r="J1040" s="58"/>
      <c r="K1040" s="3"/>
    </row>
    <row r="1041" spans="1:11" s="71" customFormat="1">
      <c r="A1041" s="87"/>
      <c r="B1041" s="30"/>
      <c r="C1041" s="70"/>
      <c r="G1041" s="30"/>
      <c r="H1041" s="77"/>
      <c r="I1041" s="77"/>
      <c r="J1041" s="58"/>
      <c r="K1041" s="3"/>
    </row>
    <row r="1042" spans="1:11" s="71" customFormat="1">
      <c r="A1042" s="87"/>
      <c r="B1042" s="30"/>
      <c r="C1042" s="70"/>
      <c r="G1042" s="30"/>
      <c r="H1042" s="77"/>
      <c r="I1042" s="77"/>
      <c r="J1042" s="58"/>
      <c r="K1042" s="3"/>
    </row>
    <row r="1043" spans="1:11" s="71" customFormat="1">
      <c r="A1043" s="87"/>
      <c r="B1043" s="30"/>
      <c r="C1043" s="70"/>
      <c r="G1043" s="30"/>
      <c r="H1043" s="77"/>
      <c r="I1043" s="77"/>
      <c r="J1043" s="58"/>
      <c r="K1043" s="3"/>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K1044"/>
  <sheetViews>
    <sheetView showZeros="0" topLeftCell="A8" zoomScale="80" zoomScaleNormal="80" workbookViewId="0">
      <selection activeCell="J34" sqref="J34"/>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6.140625" style="77" customWidth="1"/>
    <col min="10" max="10" width="9.140625" style="58" customWidth="1"/>
    <col min="11" max="16384" width="8.85546875" style="3"/>
  </cols>
  <sheetData>
    <row r="1" spans="2:11" ht="15.75">
      <c r="B1" s="1" t="str">
        <f>'Drawings &amp; Data'!A1</f>
        <v>ESTATE NAME</v>
      </c>
      <c r="C1" s="1"/>
      <c r="D1" s="1"/>
      <c r="E1" s="1"/>
      <c r="F1" s="1"/>
      <c r="G1" s="1"/>
      <c r="H1" s="1"/>
      <c r="I1" s="1"/>
      <c r="J1" s="3"/>
    </row>
    <row r="2" spans="2:11" ht="15.75">
      <c r="B2" s="4" t="str">
        <f>'Drawings &amp; Data'!A2</f>
        <v>STAGE X</v>
      </c>
      <c r="C2" s="1"/>
      <c r="D2" s="1"/>
      <c r="E2" s="1"/>
      <c r="F2" s="1"/>
      <c r="G2" s="1"/>
      <c r="H2" s="1"/>
      <c r="I2" s="1"/>
      <c r="J2" s="3"/>
    </row>
    <row r="3" spans="2:11" ht="15.75">
      <c r="B3" s="1"/>
      <c r="C3" s="1"/>
      <c r="D3" s="1"/>
      <c r="E3" s="1"/>
      <c r="F3" s="1"/>
      <c r="G3" s="1"/>
      <c r="H3" s="1"/>
      <c r="I3" s="1"/>
      <c r="J3" s="3"/>
    </row>
    <row r="4" spans="2:11" ht="15.75">
      <c r="B4" s="5" t="s">
        <v>9</v>
      </c>
      <c r="C4" s="1"/>
      <c r="D4" s="1"/>
      <c r="E4" s="1"/>
      <c r="F4" s="1"/>
      <c r="G4" s="1"/>
      <c r="H4" s="1"/>
      <c r="I4" s="1"/>
      <c r="J4" s="3"/>
    </row>
    <row r="5" spans="2:11" ht="15.75">
      <c r="B5" s="6" t="str">
        <f>'Drawings &amp; Data'!A5</f>
        <v>Name and/or entity</v>
      </c>
      <c r="C5" s="1"/>
      <c r="D5" s="1"/>
      <c r="E5" s="1"/>
      <c r="F5" s="1"/>
      <c r="G5" s="1"/>
      <c r="H5" s="1"/>
      <c r="I5" s="1"/>
      <c r="J5" s="3"/>
    </row>
    <row r="6" spans="2:11" ht="15.75">
      <c r="B6" s="6" t="str">
        <f>'Drawings &amp; Data'!A6</f>
        <v>Address 1</v>
      </c>
      <c r="C6" s="1"/>
      <c r="D6" s="1"/>
      <c r="E6" s="1"/>
      <c r="F6" s="1"/>
      <c r="G6" s="1"/>
      <c r="H6" s="1"/>
      <c r="I6" s="1"/>
      <c r="J6" s="3"/>
    </row>
    <row r="7" spans="2:11" ht="15.75">
      <c r="B7" s="6" t="str">
        <f>'Drawings &amp; Data'!A7</f>
        <v>Address 2</v>
      </c>
      <c r="C7" s="1"/>
      <c r="D7" s="1"/>
      <c r="E7" s="1"/>
      <c r="F7" s="1"/>
      <c r="G7" s="1"/>
      <c r="H7" s="1"/>
      <c r="I7" s="1"/>
      <c r="J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c r="K10" s="58"/>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342</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0" ht="72" customHeight="1">
      <c r="B17" s="110" t="s">
        <v>182</v>
      </c>
      <c r="C17" s="110"/>
      <c r="D17" s="38"/>
      <c r="E17" s="38"/>
      <c r="F17" s="38"/>
      <c r="G17" s="39"/>
      <c r="H17" s="40"/>
      <c r="I17" s="40"/>
    </row>
    <row r="18" spans="1:10" ht="8.4499999999999993" customHeight="1">
      <c r="B18" s="42"/>
      <c r="C18" s="42"/>
      <c r="D18" s="38"/>
      <c r="E18" s="38"/>
      <c r="F18" s="38"/>
      <c r="G18" s="39"/>
      <c r="H18" s="40"/>
      <c r="I18" s="40"/>
    </row>
    <row r="19" spans="1:10" ht="72.599999999999994" customHeight="1">
      <c r="B19" s="110" t="s">
        <v>532</v>
      </c>
      <c r="C19" s="110"/>
      <c r="D19" s="38"/>
      <c r="E19" s="38"/>
      <c r="F19" s="38"/>
      <c r="G19" s="39"/>
      <c r="H19" s="40"/>
      <c r="I19" s="40"/>
    </row>
    <row r="20" spans="1:10" ht="8.4499999999999993" customHeight="1">
      <c r="B20" s="42"/>
      <c r="C20" s="42"/>
      <c r="D20" s="38"/>
      <c r="E20" s="38"/>
      <c r="F20" s="38"/>
      <c r="G20" s="39"/>
      <c r="H20" s="40"/>
      <c r="I20" s="40"/>
    </row>
    <row r="21" spans="1:10" ht="60.6" customHeight="1">
      <c r="B21" s="110" t="s">
        <v>183</v>
      </c>
      <c r="C21" s="110"/>
      <c r="D21" s="38"/>
      <c r="E21" s="38"/>
      <c r="F21" s="38"/>
      <c r="G21" s="39"/>
      <c r="H21" s="40"/>
      <c r="I21" s="40"/>
    </row>
    <row r="22" spans="1:10" s="41" customFormat="1" ht="15">
      <c r="A22" s="43" t="s">
        <v>513</v>
      </c>
      <c r="B22" s="94"/>
      <c r="C22" s="30"/>
      <c r="D22" s="38"/>
      <c r="E22" s="38"/>
      <c r="F22" s="38"/>
      <c r="G22" s="39"/>
      <c r="H22" s="40"/>
      <c r="I22" s="40"/>
      <c r="J22" s="58"/>
    </row>
    <row r="23" spans="1:10" s="41" customFormat="1" ht="15">
      <c r="A23" s="43" t="s">
        <v>514</v>
      </c>
      <c r="B23" s="46" t="s">
        <v>0</v>
      </c>
      <c r="C23" s="47" t="s">
        <v>1</v>
      </c>
      <c r="D23" s="48" t="s">
        <v>71</v>
      </c>
      <c r="E23" s="48" t="s">
        <v>72</v>
      </c>
      <c r="F23" s="48" t="s">
        <v>3</v>
      </c>
      <c r="G23" s="46" t="s">
        <v>2</v>
      </c>
      <c r="H23" s="49" t="s">
        <v>4</v>
      </c>
      <c r="I23" s="49" t="s">
        <v>5</v>
      </c>
    </row>
    <row r="24" spans="1:10" s="41" customFormat="1" ht="15">
      <c r="A24" s="43" t="s">
        <v>515</v>
      </c>
      <c r="B24" s="46"/>
      <c r="C24" s="47"/>
      <c r="D24" s="48"/>
      <c r="E24" s="48"/>
      <c r="F24" s="48"/>
      <c r="G24" s="46"/>
      <c r="H24" s="49"/>
      <c r="I24" s="49"/>
    </row>
    <row r="25" spans="1:10" s="41" customFormat="1" ht="75">
      <c r="A25" s="50">
        <v>1</v>
      </c>
      <c r="B25" s="51">
        <f ca="1">IF($A25="","",NumList())</f>
        <v>1</v>
      </c>
      <c r="C25" s="63" t="s">
        <v>610</v>
      </c>
      <c r="D25" s="48"/>
      <c r="E25" s="48"/>
      <c r="F25" s="48"/>
      <c r="G25" s="46"/>
      <c r="H25" s="53"/>
      <c r="I25" s="53">
        <f t="shared" ref="I25:I87" si="0">F25*H25</f>
        <v>0</v>
      </c>
    </row>
    <row r="26" spans="1:10" s="41" customFormat="1" ht="45">
      <c r="A26" s="50" t="s">
        <v>516</v>
      </c>
      <c r="B26" s="51" t="str">
        <f>IF($A26="","",NumList())</f>
        <v/>
      </c>
      <c r="C26" s="63" t="s">
        <v>287</v>
      </c>
      <c r="D26" s="48"/>
      <c r="E26" s="48"/>
      <c r="F26" s="48"/>
      <c r="G26" s="46"/>
      <c r="H26" s="53"/>
      <c r="I26" s="53">
        <f t="shared" si="0"/>
        <v>0</v>
      </c>
    </row>
    <row r="27" spans="1:10" s="41" customFormat="1" ht="15">
      <c r="A27" s="50">
        <v>2</v>
      </c>
      <c r="B27" s="51" t="str">
        <f ca="1">IF($A27="","",NumList())</f>
        <v>1.1</v>
      </c>
      <c r="C27" s="61" t="s">
        <v>66</v>
      </c>
      <c r="D27" s="55">
        <f ca="1">IF(ISTEXT(G27),RANDBETWEEN(1,1),0)</f>
        <v>1</v>
      </c>
      <c r="E27" s="55"/>
      <c r="F27" s="55">
        <f ca="1">IF(ISTEXT(G27),RANDBETWEEN(1,100),0)</f>
        <v>12</v>
      </c>
      <c r="G27" s="51" t="s">
        <v>6</v>
      </c>
      <c r="H27" s="78">
        <f ca="1">IF(ISTEXT(G27),RANDBETWEEN(1,100),0)</f>
        <v>79</v>
      </c>
      <c r="I27" s="53">
        <f t="shared" ca="1" si="0"/>
        <v>948</v>
      </c>
      <c r="J27" s="58"/>
    </row>
    <row r="28" spans="1:10" s="41" customFormat="1" ht="15">
      <c r="A28" s="50">
        <v>2</v>
      </c>
      <c r="B28" s="51" t="str">
        <f ca="1">IF($A28="","",NumList())</f>
        <v>1.2</v>
      </c>
      <c r="C28" s="61" t="s">
        <v>25</v>
      </c>
      <c r="D28" s="55">
        <f t="shared" ref="D28:D91" ca="1" si="1">IF(ISTEXT(G28),RANDBETWEEN(1,1),0)</f>
        <v>1</v>
      </c>
      <c r="E28" s="55"/>
      <c r="F28" s="55">
        <f t="shared" ref="F28:F91" ca="1" si="2">IF(ISTEXT(G28),RANDBETWEEN(1,100),0)</f>
        <v>94</v>
      </c>
      <c r="G28" s="51" t="s">
        <v>6</v>
      </c>
      <c r="H28" s="78">
        <f t="shared" ref="H28:H91" ca="1" si="3">IF(ISTEXT(G28),RANDBETWEEN(1,100),0)</f>
        <v>13</v>
      </c>
      <c r="I28" s="53">
        <f t="shared" ca="1" si="0"/>
        <v>1222</v>
      </c>
      <c r="J28" s="58"/>
    </row>
    <row r="29" spans="1:10" s="41" customFormat="1" ht="15">
      <c r="A29" s="50">
        <v>2</v>
      </c>
      <c r="B29" s="51" t="str">
        <f ca="1">IF($A29="","",NumList())</f>
        <v>1.3</v>
      </c>
      <c r="C29" s="61" t="s">
        <v>41</v>
      </c>
      <c r="D29" s="55">
        <f t="shared" ca="1" si="1"/>
        <v>1</v>
      </c>
      <c r="E29" s="55"/>
      <c r="F29" s="55">
        <f t="shared" ca="1" si="2"/>
        <v>25</v>
      </c>
      <c r="G29" s="51" t="s">
        <v>6</v>
      </c>
      <c r="H29" s="78">
        <f t="shared" ca="1" si="3"/>
        <v>89</v>
      </c>
      <c r="I29" s="53">
        <f t="shared" ca="1" si="0"/>
        <v>2225</v>
      </c>
      <c r="J29" s="58"/>
    </row>
    <row r="30" spans="1:10" s="41" customFormat="1" ht="15">
      <c r="A30" s="50">
        <v>2</v>
      </c>
      <c r="B30" s="51" t="str">
        <f ca="1">IF($A30="","",NumList())</f>
        <v>1.4</v>
      </c>
      <c r="C30" s="61" t="s">
        <v>327</v>
      </c>
      <c r="D30" s="55">
        <f t="shared" ca="1" si="1"/>
        <v>1</v>
      </c>
      <c r="E30" s="55"/>
      <c r="F30" s="55">
        <f t="shared" ca="1" si="2"/>
        <v>53</v>
      </c>
      <c r="G30" s="51" t="s">
        <v>6</v>
      </c>
      <c r="H30" s="78">
        <f t="shared" ca="1" si="3"/>
        <v>6</v>
      </c>
      <c r="I30" s="53">
        <f t="shared" ca="1" si="0"/>
        <v>318</v>
      </c>
      <c r="J30" s="58"/>
    </row>
    <row r="31" spans="1:10" s="41" customFormat="1" ht="15">
      <c r="A31" s="50">
        <v>2</v>
      </c>
      <c r="B31" s="51" t="str">
        <f ca="1">IF($A31="","",NumList())</f>
        <v>1.5</v>
      </c>
      <c r="C31" s="61" t="s">
        <v>328</v>
      </c>
      <c r="D31" s="55">
        <f t="shared" ca="1" si="1"/>
        <v>1</v>
      </c>
      <c r="E31" s="55"/>
      <c r="F31" s="55">
        <f t="shared" ca="1" si="2"/>
        <v>79</v>
      </c>
      <c r="G31" s="51" t="s">
        <v>6</v>
      </c>
      <c r="H31" s="78">
        <f t="shared" ca="1" si="3"/>
        <v>37</v>
      </c>
      <c r="I31" s="53">
        <f t="shared" ca="1" si="0"/>
        <v>2923</v>
      </c>
      <c r="J31" s="58"/>
    </row>
    <row r="32" spans="1:10" s="41" customFormat="1" ht="15">
      <c r="A32" s="50">
        <v>2</v>
      </c>
      <c r="B32" s="51" t="str">
        <f ca="1">IF($A32="","",NumList())</f>
        <v>1.6</v>
      </c>
      <c r="C32" s="61" t="s">
        <v>329</v>
      </c>
      <c r="D32" s="55">
        <f t="shared" ca="1" si="1"/>
        <v>1</v>
      </c>
      <c r="E32" s="55"/>
      <c r="F32" s="55">
        <f t="shared" ca="1" si="2"/>
        <v>54</v>
      </c>
      <c r="G32" s="51" t="s">
        <v>6</v>
      </c>
      <c r="H32" s="78">
        <f t="shared" ca="1" si="3"/>
        <v>61</v>
      </c>
      <c r="I32" s="53">
        <f t="shared" ca="1" si="0"/>
        <v>3294</v>
      </c>
      <c r="J32" s="58"/>
    </row>
    <row r="33" spans="1:11" s="41" customFormat="1" ht="15">
      <c r="A33" s="50">
        <v>2</v>
      </c>
      <c r="B33" s="51" t="str">
        <f ca="1">IF($A33="","",NumList())</f>
        <v>1.7</v>
      </c>
      <c r="C33" s="61" t="s">
        <v>13</v>
      </c>
      <c r="D33" s="55">
        <f t="shared" ca="1" si="1"/>
        <v>1</v>
      </c>
      <c r="E33" s="55"/>
      <c r="F33" s="55">
        <f t="shared" ca="1" si="2"/>
        <v>70</v>
      </c>
      <c r="G33" s="51" t="s">
        <v>6</v>
      </c>
      <c r="H33" s="78">
        <f t="shared" ca="1" si="3"/>
        <v>56</v>
      </c>
      <c r="I33" s="53">
        <f t="shared" ca="1" si="0"/>
        <v>3920</v>
      </c>
      <c r="J33" s="58"/>
    </row>
    <row r="34" spans="1:11" s="41" customFormat="1" ht="15">
      <c r="A34" s="50">
        <v>2</v>
      </c>
      <c r="B34" s="51" t="str">
        <f ca="1">IF($A34="","",NumList())</f>
        <v>1.8</v>
      </c>
      <c r="C34" s="62" t="s">
        <v>21</v>
      </c>
      <c r="D34" s="55">
        <f t="shared" ca="1" si="1"/>
        <v>1</v>
      </c>
      <c r="E34" s="55"/>
      <c r="F34" s="55">
        <f t="shared" ca="1" si="2"/>
        <v>92</v>
      </c>
      <c r="G34" s="51" t="s">
        <v>6</v>
      </c>
      <c r="H34" s="78">
        <f t="shared" ca="1" si="3"/>
        <v>21</v>
      </c>
      <c r="I34" s="53">
        <f t="shared" ca="1" si="0"/>
        <v>1932</v>
      </c>
      <c r="J34" s="58"/>
    </row>
    <row r="35" spans="1:11" s="41" customFormat="1" ht="15">
      <c r="A35" s="50">
        <v>2</v>
      </c>
      <c r="B35" s="51" t="str">
        <f ca="1">IF($A35="","",NumList())</f>
        <v>1.9</v>
      </c>
      <c r="C35" s="61" t="s">
        <v>42</v>
      </c>
      <c r="D35" s="55">
        <f t="shared" ca="1" si="1"/>
        <v>1</v>
      </c>
      <c r="E35" s="55"/>
      <c r="F35" s="55">
        <f t="shared" ca="1" si="2"/>
        <v>79</v>
      </c>
      <c r="G35" s="51" t="s">
        <v>6</v>
      </c>
      <c r="H35" s="78">
        <f t="shared" ca="1" si="3"/>
        <v>79</v>
      </c>
      <c r="I35" s="53">
        <f t="shared" ca="1" si="0"/>
        <v>6241</v>
      </c>
      <c r="J35" s="58"/>
    </row>
    <row r="36" spans="1:11" s="41" customFormat="1" ht="15">
      <c r="A36" s="50">
        <v>2</v>
      </c>
      <c r="B36" s="51" t="str">
        <f ca="1">IF($A36="","",NumList())</f>
        <v>1.10</v>
      </c>
      <c r="C36" s="61" t="s">
        <v>43</v>
      </c>
      <c r="D36" s="55">
        <f t="shared" ca="1" si="1"/>
        <v>1</v>
      </c>
      <c r="E36" s="55"/>
      <c r="F36" s="55">
        <f t="shared" ca="1" si="2"/>
        <v>85</v>
      </c>
      <c r="G36" s="51" t="s">
        <v>6</v>
      </c>
      <c r="H36" s="78">
        <f t="shared" ca="1" si="3"/>
        <v>93</v>
      </c>
      <c r="I36" s="53">
        <f t="shared" ca="1" si="0"/>
        <v>7905</v>
      </c>
      <c r="J36" s="58"/>
    </row>
    <row r="37" spans="1:11" s="41" customFormat="1" ht="15">
      <c r="A37" s="50">
        <v>2</v>
      </c>
      <c r="B37" s="51" t="str">
        <f ca="1">IF($A37="","",NumList())</f>
        <v>1.11</v>
      </c>
      <c r="C37" s="61" t="s">
        <v>292</v>
      </c>
      <c r="D37" s="55">
        <f t="shared" ca="1" si="1"/>
        <v>1</v>
      </c>
      <c r="E37" s="55"/>
      <c r="F37" s="55">
        <f t="shared" ca="1" si="2"/>
        <v>47</v>
      </c>
      <c r="G37" s="51" t="s">
        <v>6</v>
      </c>
      <c r="H37" s="78">
        <f t="shared" ca="1" si="3"/>
        <v>63</v>
      </c>
      <c r="I37" s="53">
        <f t="shared" ca="1" si="0"/>
        <v>2961</v>
      </c>
      <c r="J37" s="58"/>
    </row>
    <row r="38" spans="1:11" s="41" customFormat="1" ht="15">
      <c r="A38" s="50">
        <v>2</v>
      </c>
      <c r="B38" s="51" t="str">
        <f ca="1">IF($A38="","",NumList())</f>
        <v>1.12</v>
      </c>
      <c r="C38" s="62" t="s">
        <v>293</v>
      </c>
      <c r="D38" s="55">
        <f t="shared" ca="1" si="1"/>
        <v>1</v>
      </c>
      <c r="E38" s="55"/>
      <c r="F38" s="55">
        <f t="shared" ca="1" si="2"/>
        <v>60</v>
      </c>
      <c r="G38" s="51" t="s">
        <v>6</v>
      </c>
      <c r="H38" s="78">
        <f t="shared" ca="1" si="3"/>
        <v>48</v>
      </c>
      <c r="I38" s="53">
        <f t="shared" ca="1" si="0"/>
        <v>2880</v>
      </c>
      <c r="J38" s="58"/>
    </row>
    <row r="39" spans="1:11" s="41" customFormat="1" ht="15">
      <c r="A39" s="50">
        <v>2</v>
      </c>
      <c r="B39" s="51" t="str">
        <f ca="1">IF($A39="","",NumList())</f>
        <v>1.13</v>
      </c>
      <c r="C39" s="61" t="s">
        <v>294</v>
      </c>
      <c r="D39" s="55">
        <f t="shared" ca="1" si="1"/>
        <v>1</v>
      </c>
      <c r="E39" s="55"/>
      <c r="F39" s="55">
        <f t="shared" ca="1" si="2"/>
        <v>40</v>
      </c>
      <c r="G39" s="51" t="s">
        <v>6</v>
      </c>
      <c r="H39" s="78">
        <f t="shared" ca="1" si="3"/>
        <v>73</v>
      </c>
      <c r="I39" s="53">
        <f t="shared" ca="1" si="0"/>
        <v>2920</v>
      </c>
      <c r="J39" s="58"/>
    </row>
    <row r="40" spans="1:11" s="41" customFormat="1" ht="15">
      <c r="A40" s="50">
        <v>2</v>
      </c>
      <c r="B40" s="51" t="str">
        <f ca="1">IF($A40="","",NumList())</f>
        <v>1.14</v>
      </c>
      <c r="C40" s="61" t="s">
        <v>295</v>
      </c>
      <c r="D40" s="55">
        <f t="shared" ca="1" si="1"/>
        <v>1</v>
      </c>
      <c r="E40" s="55"/>
      <c r="F40" s="55">
        <f t="shared" ca="1" si="2"/>
        <v>83</v>
      </c>
      <c r="G40" s="51" t="s">
        <v>6</v>
      </c>
      <c r="H40" s="78">
        <f t="shared" ca="1" si="3"/>
        <v>99</v>
      </c>
      <c r="I40" s="53">
        <f t="shared" ca="1" si="0"/>
        <v>8217</v>
      </c>
      <c r="J40" s="58"/>
    </row>
    <row r="41" spans="1:11" s="41" customFormat="1" ht="15">
      <c r="A41" s="50" t="s">
        <v>516</v>
      </c>
      <c r="B41" s="51" t="str">
        <f>IF($A41="","",NumList())</f>
        <v/>
      </c>
      <c r="C41" s="62"/>
      <c r="D41" s="55">
        <f t="shared" ca="1" si="1"/>
        <v>0</v>
      </c>
      <c r="E41" s="55"/>
      <c r="F41" s="55">
        <f t="shared" ca="1" si="2"/>
        <v>0</v>
      </c>
      <c r="G41" s="51"/>
      <c r="H41" s="78">
        <f t="shared" ca="1" si="3"/>
        <v>0</v>
      </c>
      <c r="I41" s="53">
        <f t="shared" ca="1" si="0"/>
        <v>0</v>
      </c>
      <c r="J41" s="58"/>
      <c r="K41" s="58"/>
    </row>
    <row r="42" spans="1:11" s="41" customFormat="1" ht="15">
      <c r="A42" s="50">
        <v>2</v>
      </c>
      <c r="B42" s="51" t="str">
        <f ca="1">IF($A42="","",NumList())</f>
        <v>1.15</v>
      </c>
      <c r="C42" s="54" t="s">
        <v>340</v>
      </c>
      <c r="D42" s="55">
        <f t="shared" ca="1" si="1"/>
        <v>0</v>
      </c>
      <c r="E42" s="51"/>
      <c r="F42" s="55">
        <f t="shared" ca="1" si="2"/>
        <v>0</v>
      </c>
      <c r="G42" s="78"/>
      <c r="H42" s="78">
        <f t="shared" ca="1" si="3"/>
        <v>0</v>
      </c>
      <c r="I42" s="53">
        <f t="shared" ca="1" si="0"/>
        <v>0</v>
      </c>
      <c r="J42" s="58"/>
      <c r="K42" s="58"/>
    </row>
    <row r="43" spans="1:11" s="41" customFormat="1" ht="15">
      <c r="A43" s="50">
        <v>3</v>
      </c>
      <c r="B43" s="51" t="str">
        <f ca="1">IF($A43="","",NumList())</f>
        <v>1.15.1</v>
      </c>
      <c r="C43" s="62" t="s">
        <v>341</v>
      </c>
      <c r="D43" s="55">
        <f t="shared" ca="1" si="1"/>
        <v>1</v>
      </c>
      <c r="E43" s="55"/>
      <c r="F43" s="55">
        <f t="shared" ca="1" si="2"/>
        <v>69</v>
      </c>
      <c r="G43" s="78" t="s">
        <v>6</v>
      </c>
      <c r="H43" s="78">
        <f t="shared" ca="1" si="3"/>
        <v>53</v>
      </c>
      <c r="I43" s="53">
        <f t="shared" ca="1" si="0"/>
        <v>3657</v>
      </c>
      <c r="J43" s="58"/>
      <c r="K43" s="58"/>
    </row>
    <row r="44" spans="1:11" s="41" customFormat="1" ht="15">
      <c r="A44" s="50" t="s">
        <v>516</v>
      </c>
      <c r="B44" s="51" t="str">
        <f>IF($A44="","",NumList())</f>
        <v/>
      </c>
      <c r="C44" s="62"/>
      <c r="D44" s="55">
        <f t="shared" ca="1" si="1"/>
        <v>0</v>
      </c>
      <c r="E44" s="55"/>
      <c r="F44" s="55">
        <f t="shared" ca="1" si="2"/>
        <v>0</v>
      </c>
      <c r="G44" s="78"/>
      <c r="H44" s="78">
        <f t="shared" ca="1" si="3"/>
        <v>0</v>
      </c>
      <c r="I44" s="53">
        <f t="shared" ca="1" si="0"/>
        <v>0</v>
      </c>
      <c r="J44" s="58"/>
      <c r="K44" s="58"/>
    </row>
    <row r="45" spans="1:11" s="41" customFormat="1" ht="53.25" customHeight="1">
      <c r="A45" s="50">
        <v>1</v>
      </c>
      <c r="B45" s="51">
        <f ca="1">IF($A45="","",NumList())</f>
        <v>2</v>
      </c>
      <c r="C45" s="52" t="s">
        <v>611</v>
      </c>
      <c r="D45" s="55">
        <f t="shared" ca="1" si="1"/>
        <v>0</v>
      </c>
      <c r="E45" s="48"/>
      <c r="F45" s="55">
        <f t="shared" ca="1" si="2"/>
        <v>0</v>
      </c>
      <c r="G45" s="46"/>
      <c r="H45" s="78">
        <f t="shared" ca="1" si="3"/>
        <v>0</v>
      </c>
      <c r="I45" s="53">
        <f t="shared" ca="1" si="0"/>
        <v>0</v>
      </c>
      <c r="J45" s="95" t="s">
        <v>495</v>
      </c>
    </row>
    <row r="46" spans="1:11" s="58" customFormat="1" ht="15" customHeight="1">
      <c r="A46" s="50">
        <v>2</v>
      </c>
      <c r="B46" s="51" t="str">
        <f ca="1">IF($A46="","",NumList())</f>
        <v>2.1</v>
      </c>
      <c r="C46" s="61" t="s">
        <v>448</v>
      </c>
      <c r="D46" s="55">
        <f t="shared" ca="1" si="1"/>
        <v>0</v>
      </c>
      <c r="E46" s="55"/>
      <c r="F46" s="55">
        <f t="shared" ca="1" si="2"/>
        <v>0</v>
      </c>
      <c r="G46" s="51"/>
      <c r="H46" s="78">
        <f t="shared" ca="1" si="3"/>
        <v>0</v>
      </c>
      <c r="I46" s="53">
        <f t="shared" ca="1" si="0"/>
        <v>0</v>
      </c>
    </row>
    <row r="47" spans="1:11" s="58" customFormat="1" ht="15" customHeight="1">
      <c r="A47" s="50">
        <v>3</v>
      </c>
      <c r="B47" s="51" t="str">
        <f ca="1">IF($A47="","",NumList())</f>
        <v>2.1.1</v>
      </c>
      <c r="C47" s="62" t="s">
        <v>26</v>
      </c>
      <c r="D47" s="55">
        <f t="shared" ca="1" si="1"/>
        <v>1</v>
      </c>
      <c r="E47" s="55"/>
      <c r="F47" s="55">
        <f t="shared" ca="1" si="2"/>
        <v>28</v>
      </c>
      <c r="G47" s="51" t="s">
        <v>8</v>
      </c>
      <c r="H47" s="78">
        <f t="shared" ca="1" si="3"/>
        <v>4</v>
      </c>
      <c r="I47" s="53">
        <f t="shared" ca="1" si="0"/>
        <v>112</v>
      </c>
    </row>
    <row r="48" spans="1:11" s="58" customFormat="1" ht="15" customHeight="1">
      <c r="A48" s="50">
        <v>3</v>
      </c>
      <c r="B48" s="51" t="str">
        <f ca="1">IF($A48="","",NumList())</f>
        <v>2.1.2</v>
      </c>
      <c r="C48" s="61" t="s">
        <v>27</v>
      </c>
      <c r="D48" s="55">
        <f t="shared" ca="1" si="1"/>
        <v>1</v>
      </c>
      <c r="E48" s="55"/>
      <c r="F48" s="55">
        <f t="shared" ca="1" si="2"/>
        <v>12</v>
      </c>
      <c r="G48" s="51" t="s">
        <v>8</v>
      </c>
      <c r="H48" s="78">
        <f t="shared" ca="1" si="3"/>
        <v>84</v>
      </c>
      <c r="I48" s="53">
        <f t="shared" ca="1" si="0"/>
        <v>1008</v>
      </c>
    </row>
    <row r="49" spans="1:9" s="58" customFormat="1" ht="15" customHeight="1">
      <c r="A49" s="50">
        <v>3</v>
      </c>
      <c r="B49" s="51" t="str">
        <f ca="1">IF($A49="","",NumList())</f>
        <v>2.1.3</v>
      </c>
      <c r="C49" s="61" t="s">
        <v>44</v>
      </c>
      <c r="D49" s="55">
        <f t="shared" ca="1" si="1"/>
        <v>1</v>
      </c>
      <c r="E49" s="55"/>
      <c r="F49" s="55">
        <f t="shared" ca="1" si="2"/>
        <v>49</v>
      </c>
      <c r="G49" s="51" t="s">
        <v>8</v>
      </c>
      <c r="H49" s="78">
        <f t="shared" ca="1" si="3"/>
        <v>87</v>
      </c>
      <c r="I49" s="53">
        <f t="shared" ca="1" si="0"/>
        <v>4263</v>
      </c>
    </row>
    <row r="50" spans="1:9" s="58" customFormat="1" ht="15" customHeight="1">
      <c r="A50" s="50">
        <v>3</v>
      </c>
      <c r="B50" s="51" t="str">
        <f ca="1">IF($A50="","",NumList())</f>
        <v>2.1.4</v>
      </c>
      <c r="C50" s="61" t="s">
        <v>45</v>
      </c>
      <c r="D50" s="55">
        <f t="shared" ca="1" si="1"/>
        <v>1</v>
      </c>
      <c r="E50" s="55"/>
      <c r="F50" s="55">
        <f t="shared" ca="1" si="2"/>
        <v>81</v>
      </c>
      <c r="G50" s="51" t="s">
        <v>8</v>
      </c>
      <c r="H50" s="78">
        <f t="shared" ca="1" si="3"/>
        <v>78</v>
      </c>
      <c r="I50" s="53">
        <f t="shared" ca="1" si="0"/>
        <v>6318</v>
      </c>
    </row>
    <row r="51" spans="1:9" s="58" customFormat="1" ht="46.5" customHeight="1">
      <c r="A51" s="50">
        <v>3</v>
      </c>
      <c r="B51" s="51" t="str">
        <f ca="1">IF($A51="","",NumList())</f>
        <v>2.1.5</v>
      </c>
      <c r="C51" s="62" t="s">
        <v>449</v>
      </c>
      <c r="D51" s="55">
        <f t="shared" ca="1" si="1"/>
        <v>1</v>
      </c>
      <c r="E51" s="55"/>
      <c r="F51" s="55">
        <f t="shared" ca="1" si="2"/>
        <v>9</v>
      </c>
      <c r="G51" s="51" t="s">
        <v>8</v>
      </c>
      <c r="H51" s="78">
        <f t="shared" ca="1" si="3"/>
        <v>79</v>
      </c>
      <c r="I51" s="53">
        <f t="shared" ca="1" si="0"/>
        <v>711</v>
      </c>
    </row>
    <row r="52" spans="1:9" s="58" customFormat="1" ht="15" customHeight="1">
      <c r="A52" s="50">
        <v>2</v>
      </c>
      <c r="B52" s="51" t="str">
        <f ca="1">IF($A52="","",NumList())</f>
        <v>2.2</v>
      </c>
      <c r="C52" s="62" t="s">
        <v>450</v>
      </c>
      <c r="D52" s="55">
        <f t="shared" ca="1" si="1"/>
        <v>0</v>
      </c>
      <c r="E52" s="55"/>
      <c r="F52" s="55">
        <f t="shared" ca="1" si="2"/>
        <v>0</v>
      </c>
      <c r="G52" s="51"/>
      <c r="H52" s="78">
        <f t="shared" ca="1" si="3"/>
        <v>0</v>
      </c>
      <c r="I52" s="53">
        <f t="shared" ca="1" si="0"/>
        <v>0</v>
      </c>
    </row>
    <row r="53" spans="1:9" s="58" customFormat="1" ht="15" customHeight="1">
      <c r="A53" s="50">
        <v>3</v>
      </c>
      <c r="B53" s="51" t="str">
        <f ca="1">IF($A53="","",NumList())</f>
        <v>2.2.1</v>
      </c>
      <c r="C53" s="62" t="s">
        <v>67</v>
      </c>
      <c r="D53" s="55">
        <f t="shared" ca="1" si="1"/>
        <v>1</v>
      </c>
      <c r="E53" s="55"/>
      <c r="F53" s="55">
        <f t="shared" ca="1" si="2"/>
        <v>13</v>
      </c>
      <c r="G53" s="51" t="s">
        <v>8</v>
      </c>
      <c r="H53" s="78">
        <f t="shared" ca="1" si="3"/>
        <v>35</v>
      </c>
      <c r="I53" s="53">
        <f t="shared" ca="1" si="0"/>
        <v>455</v>
      </c>
    </row>
    <row r="54" spans="1:9" s="58" customFormat="1" ht="15" customHeight="1">
      <c r="A54" s="50">
        <v>3</v>
      </c>
      <c r="B54" s="51" t="str">
        <f ca="1">IF($A54="","",NumList())</f>
        <v>2.2.2</v>
      </c>
      <c r="C54" s="62" t="s">
        <v>28</v>
      </c>
      <c r="D54" s="55">
        <f t="shared" ca="1" si="1"/>
        <v>1</v>
      </c>
      <c r="E54" s="55"/>
      <c r="F54" s="55">
        <f t="shared" ca="1" si="2"/>
        <v>56</v>
      </c>
      <c r="G54" s="51" t="s">
        <v>8</v>
      </c>
      <c r="H54" s="78">
        <f t="shared" ca="1" si="3"/>
        <v>47</v>
      </c>
      <c r="I54" s="53">
        <f t="shared" ca="1" si="0"/>
        <v>2632</v>
      </c>
    </row>
    <row r="55" spans="1:9" s="58" customFormat="1" ht="15" customHeight="1">
      <c r="A55" s="50">
        <v>3</v>
      </c>
      <c r="B55" s="51" t="str">
        <f ca="1">IF($A55="","",NumList())</f>
        <v>2.2.3</v>
      </c>
      <c r="C55" s="62" t="s">
        <v>46</v>
      </c>
      <c r="D55" s="55">
        <f t="shared" ca="1" si="1"/>
        <v>1</v>
      </c>
      <c r="E55" s="55"/>
      <c r="F55" s="55">
        <f t="shared" ca="1" si="2"/>
        <v>61</v>
      </c>
      <c r="G55" s="51" t="s">
        <v>8</v>
      </c>
      <c r="H55" s="78">
        <f t="shared" ca="1" si="3"/>
        <v>87</v>
      </c>
      <c r="I55" s="53">
        <f t="shared" ca="1" si="0"/>
        <v>5307</v>
      </c>
    </row>
    <row r="56" spans="1:9" s="58" customFormat="1" ht="15" customHeight="1">
      <c r="A56" s="50">
        <v>3</v>
      </c>
      <c r="B56" s="51" t="str">
        <f ca="1">IF($A56="","",NumList())</f>
        <v>2.2.4</v>
      </c>
      <c r="C56" s="62" t="s">
        <v>26</v>
      </c>
      <c r="D56" s="55">
        <f t="shared" ca="1" si="1"/>
        <v>1</v>
      </c>
      <c r="E56" s="55"/>
      <c r="F56" s="55">
        <f t="shared" ca="1" si="2"/>
        <v>84</v>
      </c>
      <c r="G56" s="51" t="s">
        <v>8</v>
      </c>
      <c r="H56" s="78">
        <f t="shared" ca="1" si="3"/>
        <v>51</v>
      </c>
      <c r="I56" s="53">
        <f t="shared" ca="1" si="0"/>
        <v>4284</v>
      </c>
    </row>
    <row r="57" spans="1:9" s="58" customFormat="1" ht="15" customHeight="1">
      <c r="A57" s="50">
        <v>3</v>
      </c>
      <c r="B57" s="51" t="str">
        <f ca="1">IF($A57="","",NumList())</f>
        <v>2.2.5</v>
      </c>
      <c r="C57" s="61" t="s">
        <v>27</v>
      </c>
      <c r="D57" s="55">
        <f t="shared" ca="1" si="1"/>
        <v>1</v>
      </c>
      <c r="E57" s="55"/>
      <c r="F57" s="55">
        <f t="shared" ca="1" si="2"/>
        <v>29</v>
      </c>
      <c r="G57" s="51" t="s">
        <v>8</v>
      </c>
      <c r="H57" s="78">
        <f t="shared" ca="1" si="3"/>
        <v>71</v>
      </c>
      <c r="I57" s="53">
        <f t="shared" ca="1" si="0"/>
        <v>2059</v>
      </c>
    </row>
    <row r="58" spans="1:9" s="58" customFormat="1" ht="15" customHeight="1">
      <c r="A58" s="50">
        <v>3</v>
      </c>
      <c r="B58" s="51" t="str">
        <f ca="1">IF($A58="","",NumList())</f>
        <v>2.2.6</v>
      </c>
      <c r="C58" s="61" t="s">
        <v>44</v>
      </c>
      <c r="D58" s="55">
        <f t="shared" ca="1" si="1"/>
        <v>1</v>
      </c>
      <c r="E58" s="55"/>
      <c r="F58" s="55">
        <f t="shared" ca="1" si="2"/>
        <v>98</v>
      </c>
      <c r="G58" s="51" t="s">
        <v>8</v>
      </c>
      <c r="H58" s="78">
        <f t="shared" ca="1" si="3"/>
        <v>36</v>
      </c>
      <c r="I58" s="53">
        <f t="shared" ca="1" si="0"/>
        <v>3528</v>
      </c>
    </row>
    <row r="59" spans="1:9" s="58" customFormat="1" ht="15" customHeight="1">
      <c r="A59" s="50">
        <v>3</v>
      </c>
      <c r="B59" s="51" t="str">
        <f ca="1">IF($A59="","",NumList())</f>
        <v>2.2.7</v>
      </c>
      <c r="C59" s="61" t="s">
        <v>45</v>
      </c>
      <c r="D59" s="55">
        <f t="shared" ca="1" si="1"/>
        <v>1</v>
      </c>
      <c r="E59" s="55"/>
      <c r="F59" s="55">
        <f t="shared" ca="1" si="2"/>
        <v>54</v>
      </c>
      <c r="G59" s="51" t="s">
        <v>8</v>
      </c>
      <c r="H59" s="78">
        <f t="shared" ca="1" si="3"/>
        <v>73</v>
      </c>
      <c r="I59" s="53">
        <f t="shared" ca="1" si="0"/>
        <v>3942</v>
      </c>
    </row>
    <row r="60" spans="1:9" s="58" customFormat="1" ht="36.75" customHeight="1">
      <c r="A60" s="50">
        <v>2</v>
      </c>
      <c r="B60" s="51" t="str">
        <f ca="1">IF($A60="","",NumList())</f>
        <v>2.3</v>
      </c>
      <c r="C60" s="61" t="s">
        <v>451</v>
      </c>
      <c r="D60" s="55">
        <f t="shared" ca="1" si="1"/>
        <v>0</v>
      </c>
      <c r="E60" s="55"/>
      <c r="F60" s="55">
        <f t="shared" ca="1" si="2"/>
        <v>0</v>
      </c>
      <c r="G60" s="51"/>
      <c r="H60" s="78">
        <f t="shared" ca="1" si="3"/>
        <v>0</v>
      </c>
      <c r="I60" s="53">
        <f t="shared" ca="1" si="0"/>
        <v>0</v>
      </c>
    </row>
    <row r="61" spans="1:9" s="58" customFormat="1" ht="15" customHeight="1">
      <c r="A61" s="50">
        <v>3</v>
      </c>
      <c r="B61" s="51" t="str">
        <f ca="1">IF($A61="","",NumList())</f>
        <v>2.3.1</v>
      </c>
      <c r="C61" s="62" t="s">
        <v>330</v>
      </c>
      <c r="D61" s="55">
        <f t="shared" ca="1" si="1"/>
        <v>1</v>
      </c>
      <c r="E61" s="55"/>
      <c r="F61" s="55">
        <f t="shared" ca="1" si="2"/>
        <v>23</v>
      </c>
      <c r="G61" s="51" t="s">
        <v>8</v>
      </c>
      <c r="H61" s="78">
        <f t="shared" ca="1" si="3"/>
        <v>44</v>
      </c>
      <c r="I61" s="53">
        <f t="shared" ca="1" si="0"/>
        <v>1012</v>
      </c>
    </row>
    <row r="62" spans="1:9" s="58" customFormat="1" ht="15" customHeight="1">
      <c r="A62" s="50">
        <v>3</v>
      </c>
      <c r="B62" s="51" t="str">
        <f ca="1">IF($A62="","",NumList())</f>
        <v>2.3.2</v>
      </c>
      <c r="C62" s="62" t="s">
        <v>331</v>
      </c>
      <c r="D62" s="55">
        <f t="shared" ca="1" si="1"/>
        <v>1</v>
      </c>
      <c r="E62" s="55"/>
      <c r="F62" s="55">
        <f t="shared" ca="1" si="2"/>
        <v>15</v>
      </c>
      <c r="G62" s="51" t="s">
        <v>8</v>
      </c>
      <c r="H62" s="78">
        <f t="shared" ca="1" si="3"/>
        <v>39</v>
      </c>
      <c r="I62" s="53">
        <f t="shared" ca="1" si="0"/>
        <v>585</v>
      </c>
    </row>
    <row r="63" spans="1:9" s="58" customFormat="1" ht="15" customHeight="1">
      <c r="A63" s="50">
        <v>3</v>
      </c>
      <c r="B63" s="51" t="str">
        <f ca="1">IF($A63="","",NumList())</f>
        <v>2.3.3</v>
      </c>
      <c r="C63" s="62" t="s">
        <v>332</v>
      </c>
      <c r="D63" s="55">
        <f t="shared" ca="1" si="1"/>
        <v>1</v>
      </c>
      <c r="E63" s="55"/>
      <c r="F63" s="55">
        <f t="shared" ca="1" si="2"/>
        <v>90</v>
      </c>
      <c r="G63" s="51" t="s">
        <v>8</v>
      </c>
      <c r="H63" s="78">
        <f t="shared" ca="1" si="3"/>
        <v>64</v>
      </c>
      <c r="I63" s="53">
        <f t="shared" ca="1" si="0"/>
        <v>5760</v>
      </c>
    </row>
    <row r="64" spans="1:9" s="58" customFormat="1" ht="15" customHeight="1">
      <c r="A64" s="50">
        <v>3</v>
      </c>
      <c r="B64" s="51" t="str">
        <f ca="1">IF($A64="","",NumList())</f>
        <v>2.3.4</v>
      </c>
      <c r="C64" s="62" t="s">
        <v>452</v>
      </c>
      <c r="D64" s="55">
        <f t="shared" ca="1" si="1"/>
        <v>1</v>
      </c>
      <c r="E64" s="55"/>
      <c r="F64" s="55">
        <f t="shared" ca="1" si="2"/>
        <v>15</v>
      </c>
      <c r="G64" s="51" t="s">
        <v>8</v>
      </c>
      <c r="H64" s="78">
        <f t="shared" ca="1" si="3"/>
        <v>23</v>
      </c>
      <c r="I64" s="53">
        <f t="shared" ca="1" si="0"/>
        <v>345</v>
      </c>
    </row>
    <row r="65" spans="1:9" s="58" customFormat="1" ht="15" customHeight="1">
      <c r="A65" s="50">
        <v>3</v>
      </c>
      <c r="B65" s="51" t="str">
        <f ca="1">IF($A65="","",NumList())</f>
        <v>2.3.5</v>
      </c>
      <c r="C65" s="61" t="s">
        <v>453</v>
      </c>
      <c r="D65" s="55">
        <f t="shared" ca="1" si="1"/>
        <v>1</v>
      </c>
      <c r="E65" s="55"/>
      <c r="F65" s="55">
        <f t="shared" ca="1" si="2"/>
        <v>21</v>
      </c>
      <c r="G65" s="51" t="s">
        <v>8</v>
      </c>
      <c r="H65" s="78">
        <f t="shared" ca="1" si="3"/>
        <v>23</v>
      </c>
      <c r="I65" s="53">
        <f t="shared" ca="1" si="0"/>
        <v>483</v>
      </c>
    </row>
    <row r="66" spans="1:9" s="58" customFormat="1" ht="15" customHeight="1">
      <c r="A66" s="50">
        <v>2</v>
      </c>
      <c r="B66" s="51" t="str">
        <f ca="1">IF($A66="","",NumList())</f>
        <v>2.4</v>
      </c>
      <c r="C66" s="62" t="s">
        <v>454</v>
      </c>
      <c r="D66" s="55">
        <f t="shared" ca="1" si="1"/>
        <v>0</v>
      </c>
      <c r="E66" s="55"/>
      <c r="F66" s="55">
        <f t="shared" ca="1" si="2"/>
        <v>0</v>
      </c>
      <c r="G66" s="51"/>
      <c r="H66" s="78">
        <f t="shared" ca="1" si="3"/>
        <v>0</v>
      </c>
      <c r="I66" s="53">
        <f t="shared" ca="1" si="0"/>
        <v>0</v>
      </c>
    </row>
    <row r="67" spans="1:9" s="58" customFormat="1" ht="15" customHeight="1">
      <c r="A67" s="50">
        <v>3</v>
      </c>
      <c r="B67" s="51" t="str">
        <f ca="1">IF($A67="","",NumList())</f>
        <v>2.4.1</v>
      </c>
      <c r="C67" s="61" t="s">
        <v>44</v>
      </c>
      <c r="D67" s="55">
        <f t="shared" ca="1" si="1"/>
        <v>1</v>
      </c>
      <c r="E67" s="55"/>
      <c r="F67" s="55">
        <f t="shared" ca="1" si="2"/>
        <v>5</v>
      </c>
      <c r="G67" s="51" t="s">
        <v>8</v>
      </c>
      <c r="H67" s="78">
        <f t="shared" ca="1" si="3"/>
        <v>4</v>
      </c>
      <c r="I67" s="53">
        <f t="shared" ca="1" si="0"/>
        <v>20</v>
      </c>
    </row>
    <row r="68" spans="1:9" s="58" customFormat="1" ht="15" customHeight="1">
      <c r="A68" s="50">
        <v>3</v>
      </c>
      <c r="B68" s="51" t="str">
        <f ca="1">IF($A68="","",NumList())</f>
        <v>2.4.2</v>
      </c>
      <c r="C68" s="61" t="s">
        <v>45</v>
      </c>
      <c r="D68" s="55">
        <f t="shared" ca="1" si="1"/>
        <v>1</v>
      </c>
      <c r="E68" s="55"/>
      <c r="F68" s="55">
        <f t="shared" ca="1" si="2"/>
        <v>24</v>
      </c>
      <c r="G68" s="51" t="s">
        <v>8</v>
      </c>
      <c r="H68" s="78">
        <f t="shared" ca="1" si="3"/>
        <v>41</v>
      </c>
      <c r="I68" s="53">
        <f t="shared" ca="1" si="0"/>
        <v>984</v>
      </c>
    </row>
    <row r="69" spans="1:9" s="58" customFormat="1" ht="15" customHeight="1">
      <c r="A69" s="50">
        <v>2</v>
      </c>
      <c r="B69" s="51" t="str">
        <f ca="1">IF($A69="","",NumList())</f>
        <v>2.5</v>
      </c>
      <c r="C69" s="62" t="s">
        <v>458</v>
      </c>
      <c r="D69" s="55">
        <f t="shared" ca="1" si="1"/>
        <v>0</v>
      </c>
      <c r="E69" s="55"/>
      <c r="F69" s="55">
        <f t="shared" ca="1" si="2"/>
        <v>0</v>
      </c>
      <c r="G69" s="51"/>
      <c r="H69" s="78">
        <f t="shared" ca="1" si="3"/>
        <v>0</v>
      </c>
      <c r="I69" s="53">
        <f t="shared" ca="1" si="0"/>
        <v>0</v>
      </c>
    </row>
    <row r="70" spans="1:9" s="58" customFormat="1" ht="15" customHeight="1">
      <c r="A70" s="50">
        <v>3</v>
      </c>
      <c r="B70" s="51" t="str">
        <f ca="1">IF($A70="","",NumList())</f>
        <v>2.5.1</v>
      </c>
      <c r="C70" s="62" t="s">
        <v>257</v>
      </c>
      <c r="D70" s="55">
        <f t="shared" ca="1" si="1"/>
        <v>1</v>
      </c>
      <c r="E70" s="55"/>
      <c r="F70" s="55">
        <f t="shared" ca="1" si="2"/>
        <v>75</v>
      </c>
      <c r="G70" s="51" t="s">
        <v>8</v>
      </c>
      <c r="H70" s="78">
        <f t="shared" ca="1" si="3"/>
        <v>71</v>
      </c>
      <c r="I70" s="53">
        <f t="shared" ca="1" si="0"/>
        <v>5325</v>
      </c>
    </row>
    <row r="71" spans="1:9" s="58" customFormat="1" ht="15" customHeight="1">
      <c r="A71" s="50">
        <v>3</v>
      </c>
      <c r="B71" s="51" t="str">
        <f ca="1">IF($A71="","",NumList())</f>
        <v>2.5.2</v>
      </c>
      <c r="C71" s="62" t="s">
        <v>492</v>
      </c>
      <c r="D71" s="55">
        <f t="shared" ca="1" si="1"/>
        <v>1</v>
      </c>
      <c r="E71" s="55"/>
      <c r="F71" s="55">
        <f t="shared" ca="1" si="2"/>
        <v>64</v>
      </c>
      <c r="G71" s="51" t="s">
        <v>8</v>
      </c>
      <c r="H71" s="78">
        <f t="shared" ca="1" si="3"/>
        <v>76</v>
      </c>
      <c r="I71" s="53">
        <f t="shared" ca="1" si="0"/>
        <v>4864</v>
      </c>
    </row>
    <row r="72" spans="1:9" s="58" customFormat="1" ht="15" customHeight="1">
      <c r="A72" s="50">
        <v>3</v>
      </c>
      <c r="B72" s="51" t="str">
        <f ca="1">IF($A72="","",NumList())</f>
        <v>2.5.3</v>
      </c>
      <c r="C72" s="61" t="s">
        <v>258</v>
      </c>
      <c r="D72" s="55">
        <f t="shared" ca="1" si="1"/>
        <v>1</v>
      </c>
      <c r="E72" s="55"/>
      <c r="F72" s="55">
        <f t="shared" ca="1" si="2"/>
        <v>92</v>
      </c>
      <c r="G72" s="51" t="s">
        <v>8</v>
      </c>
      <c r="H72" s="78">
        <f t="shared" ca="1" si="3"/>
        <v>90</v>
      </c>
      <c r="I72" s="53">
        <f t="shared" ca="1" si="0"/>
        <v>8280</v>
      </c>
    </row>
    <row r="73" spans="1:9" s="58" customFormat="1" ht="15" customHeight="1">
      <c r="A73" s="50">
        <v>3</v>
      </c>
      <c r="B73" s="51" t="str">
        <f ca="1">IF($A73="","",NumList())</f>
        <v>2.5.4</v>
      </c>
      <c r="C73" s="61" t="s">
        <v>493</v>
      </c>
      <c r="D73" s="55">
        <f t="shared" ca="1" si="1"/>
        <v>1</v>
      </c>
      <c r="E73" s="55"/>
      <c r="F73" s="55">
        <f t="shared" ca="1" si="2"/>
        <v>41</v>
      </c>
      <c r="G73" s="51" t="s">
        <v>8</v>
      </c>
      <c r="H73" s="78">
        <f t="shared" ca="1" si="3"/>
        <v>8</v>
      </c>
      <c r="I73" s="53">
        <f t="shared" ca="1" si="0"/>
        <v>328</v>
      </c>
    </row>
    <row r="74" spans="1:9" s="58" customFormat="1" ht="15" customHeight="1">
      <c r="A74" s="50">
        <v>3</v>
      </c>
      <c r="B74" s="51" t="str">
        <f ca="1">IF($A74="","",NumList())</f>
        <v>2.5.5</v>
      </c>
      <c r="C74" s="61" t="s">
        <v>259</v>
      </c>
      <c r="D74" s="55">
        <f t="shared" ca="1" si="1"/>
        <v>1</v>
      </c>
      <c r="E74" s="55"/>
      <c r="F74" s="55">
        <f t="shared" ca="1" si="2"/>
        <v>25</v>
      </c>
      <c r="G74" s="51" t="s">
        <v>8</v>
      </c>
      <c r="H74" s="78">
        <f t="shared" ca="1" si="3"/>
        <v>31</v>
      </c>
      <c r="I74" s="53">
        <f t="shared" ca="1" si="0"/>
        <v>775</v>
      </c>
    </row>
    <row r="75" spans="1:9" s="58" customFormat="1" ht="15" customHeight="1">
      <c r="A75" s="50">
        <v>3</v>
      </c>
      <c r="B75" s="51" t="str">
        <f ca="1">IF($A75="","",NumList())</f>
        <v>2.5.6</v>
      </c>
      <c r="C75" s="61" t="s">
        <v>260</v>
      </c>
      <c r="D75" s="55">
        <f t="shared" ca="1" si="1"/>
        <v>1</v>
      </c>
      <c r="E75" s="55"/>
      <c r="F75" s="55">
        <f t="shared" ca="1" si="2"/>
        <v>48</v>
      </c>
      <c r="G75" s="51" t="s">
        <v>8</v>
      </c>
      <c r="H75" s="78">
        <f t="shared" ca="1" si="3"/>
        <v>63</v>
      </c>
      <c r="I75" s="53">
        <f t="shared" ca="1" si="0"/>
        <v>3024</v>
      </c>
    </row>
    <row r="76" spans="1:9" s="58" customFormat="1" ht="15" customHeight="1">
      <c r="A76" s="50">
        <v>2</v>
      </c>
      <c r="B76" s="51" t="str">
        <f ca="1">IF($A76="","",NumList())</f>
        <v>2.6</v>
      </c>
      <c r="C76" s="62" t="s">
        <v>261</v>
      </c>
      <c r="D76" s="55">
        <f t="shared" ca="1" si="1"/>
        <v>0</v>
      </c>
      <c r="E76" s="55"/>
      <c r="F76" s="55">
        <f t="shared" ca="1" si="2"/>
        <v>0</v>
      </c>
      <c r="G76" s="51"/>
      <c r="H76" s="78">
        <f t="shared" ca="1" si="3"/>
        <v>0</v>
      </c>
      <c r="I76" s="53">
        <f t="shared" ca="1" si="0"/>
        <v>0</v>
      </c>
    </row>
    <row r="77" spans="1:9" s="58" customFormat="1" ht="15" customHeight="1">
      <c r="A77" s="50">
        <v>3</v>
      </c>
      <c r="B77" s="51" t="str">
        <f ca="1">IF($A77="","",NumList())</f>
        <v>2.6.1</v>
      </c>
      <c r="C77" s="62" t="s">
        <v>606</v>
      </c>
      <c r="D77" s="55">
        <f t="shared" ca="1" si="1"/>
        <v>0</v>
      </c>
      <c r="E77" s="55"/>
      <c r="F77" s="55">
        <f t="shared" ca="1" si="2"/>
        <v>0</v>
      </c>
      <c r="H77" s="78">
        <f t="shared" ca="1" si="3"/>
        <v>0</v>
      </c>
      <c r="I77" s="53">
        <f t="shared" ca="1" si="0"/>
        <v>0</v>
      </c>
    </row>
    <row r="78" spans="1:9" s="58" customFormat="1" ht="15" customHeight="1">
      <c r="A78" s="50">
        <v>4</v>
      </c>
      <c r="B78" s="51" t="str">
        <f ca="1">IF($A78="","",NumList())</f>
        <v>2.6.1.1</v>
      </c>
      <c r="C78" s="62" t="s">
        <v>26</v>
      </c>
      <c r="D78" s="55">
        <f t="shared" ca="1" si="1"/>
        <v>1</v>
      </c>
      <c r="E78" s="55"/>
      <c r="F78" s="55">
        <f t="shared" ca="1" si="2"/>
        <v>6</v>
      </c>
      <c r="G78" s="51" t="s">
        <v>8</v>
      </c>
      <c r="H78" s="78">
        <f t="shared" ca="1" si="3"/>
        <v>61</v>
      </c>
      <c r="I78" s="53">
        <f t="shared" ca="1" si="0"/>
        <v>366</v>
      </c>
    </row>
    <row r="79" spans="1:9" s="58" customFormat="1" ht="15" customHeight="1">
      <c r="A79" s="50">
        <v>4</v>
      </c>
      <c r="B79" s="51" t="str">
        <f ca="1">IF($A79="","",NumList())</f>
        <v>2.6.1.2</v>
      </c>
      <c r="C79" s="61" t="s">
        <v>27</v>
      </c>
      <c r="D79" s="55">
        <f t="shared" ca="1" si="1"/>
        <v>1</v>
      </c>
      <c r="E79" s="55"/>
      <c r="F79" s="55">
        <f t="shared" ca="1" si="2"/>
        <v>17</v>
      </c>
      <c r="G79" s="51" t="s">
        <v>8</v>
      </c>
      <c r="H79" s="78">
        <f t="shared" ca="1" si="3"/>
        <v>51</v>
      </c>
      <c r="I79" s="53">
        <f t="shared" ca="1" si="0"/>
        <v>867</v>
      </c>
    </row>
    <row r="80" spans="1:9" s="58" customFormat="1" ht="15" customHeight="1">
      <c r="A80" s="50">
        <v>4</v>
      </c>
      <c r="B80" s="51" t="str">
        <f ca="1">IF($A80="","",NumList())</f>
        <v>2.6.1.3</v>
      </c>
      <c r="C80" s="61" t="s">
        <v>44</v>
      </c>
      <c r="D80" s="55">
        <f t="shared" ca="1" si="1"/>
        <v>1</v>
      </c>
      <c r="E80" s="55"/>
      <c r="F80" s="55">
        <f t="shared" ca="1" si="2"/>
        <v>46</v>
      </c>
      <c r="G80" s="51" t="s">
        <v>8</v>
      </c>
      <c r="H80" s="78">
        <f t="shared" ca="1" si="3"/>
        <v>76</v>
      </c>
      <c r="I80" s="53">
        <f t="shared" ca="1" si="0"/>
        <v>3496</v>
      </c>
    </row>
    <row r="81" spans="1:9" s="58" customFormat="1" ht="15" customHeight="1">
      <c r="A81" s="50">
        <v>4</v>
      </c>
      <c r="B81" s="51" t="str">
        <f ca="1">IF($A81="","",NumList())</f>
        <v>2.6.1.4</v>
      </c>
      <c r="C81" s="61" t="s">
        <v>45</v>
      </c>
      <c r="D81" s="55">
        <f t="shared" ca="1" si="1"/>
        <v>1</v>
      </c>
      <c r="E81" s="55"/>
      <c r="F81" s="55">
        <f t="shared" ca="1" si="2"/>
        <v>32</v>
      </c>
      <c r="G81" s="51" t="s">
        <v>8</v>
      </c>
      <c r="H81" s="78">
        <f t="shared" ca="1" si="3"/>
        <v>32</v>
      </c>
      <c r="I81" s="53">
        <f t="shared" ca="1" si="0"/>
        <v>1024</v>
      </c>
    </row>
    <row r="82" spans="1:9" s="58" customFormat="1" ht="15" customHeight="1">
      <c r="A82" s="50">
        <v>3</v>
      </c>
      <c r="B82" s="51" t="str">
        <f ca="1">IF($A82="","",NumList())</f>
        <v>2.6.2</v>
      </c>
      <c r="C82" s="62" t="s">
        <v>607</v>
      </c>
      <c r="D82" s="55">
        <f t="shared" ca="1" si="1"/>
        <v>1</v>
      </c>
      <c r="E82" s="55"/>
      <c r="F82" s="55">
        <f t="shared" ca="1" si="2"/>
        <v>74</v>
      </c>
      <c r="G82" s="51" t="s">
        <v>8</v>
      </c>
      <c r="H82" s="78">
        <f t="shared" ca="1" si="3"/>
        <v>80</v>
      </c>
      <c r="I82" s="53">
        <f t="shared" ca="1" si="0"/>
        <v>5920</v>
      </c>
    </row>
    <row r="83" spans="1:9" s="58" customFormat="1" ht="15" customHeight="1">
      <c r="A83" s="50">
        <v>4</v>
      </c>
      <c r="B83" s="51" t="str">
        <f ca="1">IF($A83="","",NumList())</f>
        <v>2.6.2.1</v>
      </c>
      <c r="C83" s="62" t="s">
        <v>26</v>
      </c>
      <c r="D83" s="55">
        <f t="shared" ca="1" si="1"/>
        <v>0</v>
      </c>
      <c r="E83" s="55"/>
      <c r="F83" s="55">
        <f t="shared" ca="1" si="2"/>
        <v>0</v>
      </c>
      <c r="G83" s="51"/>
      <c r="H83" s="78">
        <f t="shared" ca="1" si="3"/>
        <v>0</v>
      </c>
      <c r="I83" s="53">
        <f t="shared" ca="1" si="0"/>
        <v>0</v>
      </c>
    </row>
    <row r="84" spans="1:9" s="58" customFormat="1" ht="15" customHeight="1">
      <c r="A84" s="50">
        <v>4</v>
      </c>
      <c r="B84" s="51" t="str">
        <f ca="1">IF($A84="","",NumList())</f>
        <v>2.6.2.2</v>
      </c>
      <c r="C84" s="61" t="s">
        <v>27</v>
      </c>
      <c r="D84" s="55">
        <f t="shared" ca="1" si="1"/>
        <v>1</v>
      </c>
      <c r="E84" s="55"/>
      <c r="F84" s="55">
        <f t="shared" ca="1" si="2"/>
        <v>95</v>
      </c>
      <c r="G84" s="51" t="s">
        <v>8</v>
      </c>
      <c r="H84" s="78">
        <f t="shared" ca="1" si="3"/>
        <v>33</v>
      </c>
      <c r="I84" s="53">
        <f t="shared" ca="1" si="0"/>
        <v>3135</v>
      </c>
    </row>
    <row r="85" spans="1:9" s="58" customFormat="1" ht="15" customHeight="1">
      <c r="A85" s="50">
        <v>4</v>
      </c>
      <c r="B85" s="51" t="str">
        <f ca="1">IF($A85="","",NumList())</f>
        <v>2.6.2.3</v>
      </c>
      <c r="C85" s="61" t="s">
        <v>44</v>
      </c>
      <c r="D85" s="55">
        <f t="shared" ca="1" si="1"/>
        <v>1</v>
      </c>
      <c r="E85" s="55"/>
      <c r="F85" s="55">
        <f t="shared" ca="1" si="2"/>
        <v>82</v>
      </c>
      <c r="G85" s="51" t="s">
        <v>8</v>
      </c>
      <c r="H85" s="78">
        <f t="shared" ca="1" si="3"/>
        <v>34</v>
      </c>
      <c r="I85" s="53">
        <f t="shared" ca="1" si="0"/>
        <v>2788</v>
      </c>
    </row>
    <row r="86" spans="1:9" s="58" customFormat="1" ht="15" customHeight="1">
      <c r="A86" s="50">
        <v>4</v>
      </c>
      <c r="B86" s="51" t="str">
        <f ca="1">IF($A86="","",NumList())</f>
        <v>2.6.2.4</v>
      </c>
      <c r="C86" s="61" t="s">
        <v>45</v>
      </c>
      <c r="D86" s="55">
        <f t="shared" ca="1" si="1"/>
        <v>1</v>
      </c>
      <c r="E86" s="55"/>
      <c r="F86" s="55">
        <f t="shared" ca="1" si="2"/>
        <v>64</v>
      </c>
      <c r="G86" s="51" t="s">
        <v>8</v>
      </c>
      <c r="H86" s="78">
        <f t="shared" ca="1" si="3"/>
        <v>98</v>
      </c>
      <c r="I86" s="53">
        <f t="shared" ca="1" si="0"/>
        <v>6272</v>
      </c>
    </row>
    <row r="87" spans="1:9" s="58" customFormat="1" ht="15" customHeight="1">
      <c r="A87" s="50">
        <v>3</v>
      </c>
      <c r="B87" s="51" t="str">
        <f ca="1">IF($A87="","",NumList())</f>
        <v>2.6.3</v>
      </c>
      <c r="C87" s="62" t="s">
        <v>608</v>
      </c>
      <c r="D87" s="55">
        <f t="shared" ca="1" si="1"/>
        <v>1</v>
      </c>
      <c r="E87" s="55"/>
      <c r="F87" s="55">
        <f t="shared" ca="1" si="2"/>
        <v>87</v>
      </c>
      <c r="G87" s="51" t="s">
        <v>8</v>
      </c>
      <c r="H87" s="78">
        <f t="shared" ca="1" si="3"/>
        <v>21</v>
      </c>
      <c r="I87" s="53">
        <f t="shared" ca="1" si="0"/>
        <v>1827</v>
      </c>
    </row>
    <row r="88" spans="1:9" s="58" customFormat="1" ht="15" customHeight="1">
      <c r="A88" s="50">
        <v>4</v>
      </c>
      <c r="B88" s="51" t="str">
        <f ca="1">IF($A88="","",NumList())</f>
        <v>2.6.3.1</v>
      </c>
      <c r="C88" s="62" t="s">
        <v>26</v>
      </c>
      <c r="D88" s="55">
        <f t="shared" ca="1" si="1"/>
        <v>0</v>
      </c>
      <c r="E88" s="55"/>
      <c r="F88" s="55">
        <f t="shared" ca="1" si="2"/>
        <v>0</v>
      </c>
      <c r="G88" s="51"/>
      <c r="H88" s="78">
        <f t="shared" ca="1" si="3"/>
        <v>0</v>
      </c>
      <c r="I88" s="53">
        <f t="shared" ref="I88:I148" ca="1" si="4">F88*H88</f>
        <v>0</v>
      </c>
    </row>
    <row r="89" spans="1:9" s="58" customFormat="1" ht="15" customHeight="1">
      <c r="A89" s="50">
        <v>4</v>
      </c>
      <c r="B89" s="51" t="str">
        <f ca="1">IF($A89="","",NumList())</f>
        <v>2.6.3.2</v>
      </c>
      <c r="C89" s="61" t="s">
        <v>27</v>
      </c>
      <c r="D89" s="55">
        <f t="shared" ca="1" si="1"/>
        <v>1</v>
      </c>
      <c r="E89" s="55"/>
      <c r="F89" s="55">
        <f t="shared" ca="1" si="2"/>
        <v>99</v>
      </c>
      <c r="G89" s="51" t="s">
        <v>8</v>
      </c>
      <c r="H89" s="78">
        <f t="shared" ca="1" si="3"/>
        <v>67</v>
      </c>
      <c r="I89" s="53">
        <f t="shared" ca="1" si="4"/>
        <v>6633</v>
      </c>
    </row>
    <row r="90" spans="1:9" s="58" customFormat="1" ht="15" customHeight="1">
      <c r="A90" s="50">
        <v>4</v>
      </c>
      <c r="B90" s="51" t="str">
        <f ca="1">IF($A90="","",NumList())</f>
        <v>2.6.3.3</v>
      </c>
      <c r="C90" s="61" t="s">
        <v>44</v>
      </c>
      <c r="D90" s="55">
        <f t="shared" ca="1" si="1"/>
        <v>1</v>
      </c>
      <c r="E90" s="55"/>
      <c r="F90" s="55">
        <f t="shared" ca="1" si="2"/>
        <v>86</v>
      </c>
      <c r="G90" s="51" t="s">
        <v>8</v>
      </c>
      <c r="H90" s="78">
        <f t="shared" ca="1" si="3"/>
        <v>26</v>
      </c>
      <c r="I90" s="53">
        <f t="shared" ca="1" si="4"/>
        <v>2236</v>
      </c>
    </row>
    <row r="91" spans="1:9" s="58" customFormat="1" ht="15" customHeight="1">
      <c r="A91" s="50">
        <v>4</v>
      </c>
      <c r="B91" s="51" t="str">
        <f ca="1">IF($A91="","",NumList())</f>
        <v>2.6.3.4</v>
      </c>
      <c r="C91" s="61" t="s">
        <v>45</v>
      </c>
      <c r="D91" s="55">
        <f t="shared" ca="1" si="1"/>
        <v>1</v>
      </c>
      <c r="E91" s="55"/>
      <c r="F91" s="55">
        <f t="shared" ca="1" si="2"/>
        <v>63</v>
      </c>
      <c r="G91" s="51" t="s">
        <v>8</v>
      </c>
      <c r="H91" s="78">
        <f t="shared" ca="1" si="3"/>
        <v>62</v>
      </c>
      <c r="I91" s="53">
        <f t="shared" ca="1" si="4"/>
        <v>3906</v>
      </c>
    </row>
    <row r="92" spans="1:9" s="58" customFormat="1" ht="15" customHeight="1">
      <c r="A92" s="50">
        <v>3</v>
      </c>
      <c r="B92" s="51" t="str">
        <f ca="1">IF($A92="","",NumList())</f>
        <v>2.6.4</v>
      </c>
      <c r="C92" s="62" t="s">
        <v>609</v>
      </c>
      <c r="D92" s="55">
        <f t="shared" ref="D92:D152" ca="1" si="5">IF(ISTEXT(G92),RANDBETWEEN(1,1),0)</f>
        <v>1</v>
      </c>
      <c r="E92" s="55"/>
      <c r="F92" s="55">
        <f t="shared" ref="F92:F149" ca="1" si="6">IF(ISTEXT(G92),RANDBETWEEN(1,100),0)</f>
        <v>79</v>
      </c>
      <c r="G92" s="51" t="s">
        <v>8</v>
      </c>
      <c r="H92" s="78">
        <f t="shared" ref="H92:H149" ca="1" si="7">IF(ISTEXT(G92),RANDBETWEEN(1,100),0)</f>
        <v>35</v>
      </c>
      <c r="I92" s="53">
        <f t="shared" ca="1" si="4"/>
        <v>2765</v>
      </c>
    </row>
    <row r="93" spans="1:9" s="58" customFormat="1" ht="15" customHeight="1">
      <c r="A93" s="50">
        <v>4</v>
      </c>
      <c r="B93" s="51" t="str">
        <f ca="1">IF($A93="","",NumList())</f>
        <v>2.6.4.1</v>
      </c>
      <c r="C93" s="62" t="s">
        <v>26</v>
      </c>
      <c r="D93" s="55">
        <f t="shared" ca="1" si="5"/>
        <v>0</v>
      </c>
      <c r="E93" s="55"/>
      <c r="F93" s="55">
        <f t="shared" ca="1" si="6"/>
        <v>0</v>
      </c>
      <c r="G93" s="51"/>
      <c r="H93" s="78">
        <f t="shared" ca="1" si="7"/>
        <v>0</v>
      </c>
      <c r="I93" s="53">
        <f t="shared" ca="1" si="4"/>
        <v>0</v>
      </c>
    </row>
    <row r="94" spans="1:9" s="58" customFormat="1" ht="15" customHeight="1">
      <c r="A94" s="50">
        <v>4</v>
      </c>
      <c r="B94" s="51" t="str">
        <f ca="1">IF($A94="","",NumList())</f>
        <v>2.6.4.2</v>
      </c>
      <c r="C94" s="61" t="s">
        <v>27</v>
      </c>
      <c r="D94" s="55">
        <f t="shared" ca="1" si="5"/>
        <v>1</v>
      </c>
      <c r="E94" s="55"/>
      <c r="F94" s="55">
        <f t="shared" ca="1" si="6"/>
        <v>16</v>
      </c>
      <c r="G94" s="51" t="s">
        <v>8</v>
      </c>
      <c r="H94" s="78">
        <f t="shared" ca="1" si="7"/>
        <v>26</v>
      </c>
      <c r="I94" s="53">
        <f t="shared" ca="1" si="4"/>
        <v>416</v>
      </c>
    </row>
    <row r="95" spans="1:9" s="58" customFormat="1" ht="15" customHeight="1">
      <c r="A95" s="50">
        <v>4</v>
      </c>
      <c r="B95" s="51" t="str">
        <f ca="1">IF($A95="","",NumList())</f>
        <v>2.6.4.3</v>
      </c>
      <c r="C95" s="61" t="s">
        <v>44</v>
      </c>
      <c r="D95" s="55">
        <f t="shared" ca="1" si="5"/>
        <v>1</v>
      </c>
      <c r="E95" s="55"/>
      <c r="F95" s="55">
        <f t="shared" ca="1" si="6"/>
        <v>86</v>
      </c>
      <c r="G95" s="51" t="s">
        <v>8</v>
      </c>
      <c r="H95" s="78">
        <f t="shared" ca="1" si="7"/>
        <v>87</v>
      </c>
      <c r="I95" s="53">
        <f t="shared" ca="1" si="4"/>
        <v>7482</v>
      </c>
    </row>
    <row r="96" spans="1:9" s="58" customFormat="1" ht="15" customHeight="1">
      <c r="A96" s="50">
        <v>4</v>
      </c>
      <c r="B96" s="51" t="str">
        <f ca="1">IF($A96="","",NumList())</f>
        <v>2.6.4.4</v>
      </c>
      <c r="C96" s="61" t="s">
        <v>45</v>
      </c>
      <c r="D96" s="55">
        <f t="shared" ca="1" si="5"/>
        <v>1</v>
      </c>
      <c r="E96" s="55"/>
      <c r="F96" s="55">
        <f t="shared" ca="1" si="6"/>
        <v>46</v>
      </c>
      <c r="G96" s="51" t="s">
        <v>8</v>
      </c>
      <c r="H96" s="78">
        <f t="shared" ca="1" si="7"/>
        <v>8</v>
      </c>
      <c r="I96" s="53">
        <f t="shared" ca="1" si="4"/>
        <v>368</v>
      </c>
    </row>
    <row r="97" spans="1:10" s="58" customFormat="1" ht="15" customHeight="1">
      <c r="A97" s="50">
        <v>2</v>
      </c>
      <c r="B97" s="51" t="str">
        <f ca="1">IF($A97="","",NumList())</f>
        <v>2.7</v>
      </c>
      <c r="C97" s="62" t="s">
        <v>459</v>
      </c>
      <c r="D97" s="55">
        <f t="shared" ca="1" si="5"/>
        <v>0</v>
      </c>
      <c r="E97" s="55"/>
      <c r="F97" s="55">
        <f t="shared" ca="1" si="6"/>
        <v>0</v>
      </c>
      <c r="G97" s="51"/>
      <c r="H97" s="78">
        <f t="shared" ca="1" si="7"/>
        <v>0</v>
      </c>
      <c r="I97" s="53">
        <f t="shared" ca="1" si="4"/>
        <v>0</v>
      </c>
    </row>
    <row r="98" spans="1:10" s="58" customFormat="1" ht="15" customHeight="1">
      <c r="A98" s="50">
        <v>3</v>
      </c>
      <c r="B98" s="51" t="str">
        <f ca="1">IF($A98="","",NumList())</f>
        <v>2.7.1</v>
      </c>
      <c r="C98" s="62" t="s">
        <v>26</v>
      </c>
      <c r="D98" s="55">
        <f t="shared" ca="1" si="5"/>
        <v>1</v>
      </c>
      <c r="E98" s="55"/>
      <c r="F98" s="55">
        <f t="shared" ca="1" si="6"/>
        <v>38</v>
      </c>
      <c r="G98" s="51" t="s">
        <v>8</v>
      </c>
      <c r="H98" s="78">
        <f t="shared" ca="1" si="7"/>
        <v>96</v>
      </c>
      <c r="I98" s="53">
        <f t="shared" ca="1" si="4"/>
        <v>3648</v>
      </c>
    </row>
    <row r="99" spans="1:10" s="58" customFormat="1" ht="15" customHeight="1">
      <c r="A99" s="50">
        <v>3</v>
      </c>
      <c r="B99" s="51" t="str">
        <f ca="1">IF($A99="","",NumList())</f>
        <v>2.7.2</v>
      </c>
      <c r="C99" s="61" t="s">
        <v>27</v>
      </c>
      <c r="D99" s="55">
        <f t="shared" ca="1" si="5"/>
        <v>1</v>
      </c>
      <c r="E99" s="55"/>
      <c r="F99" s="55">
        <f t="shared" ca="1" si="6"/>
        <v>79</v>
      </c>
      <c r="G99" s="51" t="s">
        <v>8</v>
      </c>
      <c r="H99" s="78">
        <f t="shared" ca="1" si="7"/>
        <v>51</v>
      </c>
      <c r="I99" s="53">
        <f t="shared" ca="1" si="4"/>
        <v>4029</v>
      </c>
    </row>
    <row r="100" spans="1:10" s="58" customFormat="1" ht="15" customHeight="1">
      <c r="A100" s="50">
        <v>3</v>
      </c>
      <c r="B100" s="51" t="str">
        <f ca="1">IF($A100="","",NumList())</f>
        <v>2.7.3</v>
      </c>
      <c r="C100" s="61" t="s">
        <v>44</v>
      </c>
      <c r="D100" s="55">
        <f t="shared" ca="1" si="5"/>
        <v>1</v>
      </c>
      <c r="E100" s="55"/>
      <c r="F100" s="55">
        <f t="shared" ca="1" si="6"/>
        <v>86</v>
      </c>
      <c r="G100" s="51" t="s">
        <v>8</v>
      </c>
      <c r="H100" s="78">
        <f t="shared" ca="1" si="7"/>
        <v>77</v>
      </c>
      <c r="I100" s="53">
        <f t="shared" ca="1" si="4"/>
        <v>6622</v>
      </c>
    </row>
    <row r="101" spans="1:10" s="58" customFormat="1" ht="15" customHeight="1">
      <c r="A101" s="50">
        <v>3</v>
      </c>
      <c r="B101" s="51" t="str">
        <f ca="1">IF($A101="","",NumList())</f>
        <v>2.7.4</v>
      </c>
      <c r="C101" s="61" t="s">
        <v>45</v>
      </c>
      <c r="D101" s="55">
        <f t="shared" ca="1" si="5"/>
        <v>1</v>
      </c>
      <c r="E101" s="55"/>
      <c r="F101" s="55">
        <f t="shared" ca="1" si="6"/>
        <v>92</v>
      </c>
      <c r="G101" s="51" t="s">
        <v>8</v>
      </c>
      <c r="H101" s="78">
        <f t="shared" ca="1" si="7"/>
        <v>92</v>
      </c>
      <c r="I101" s="53">
        <f t="shared" ca="1" si="4"/>
        <v>8464</v>
      </c>
    </row>
    <row r="102" spans="1:10" s="58" customFormat="1" ht="15" customHeight="1">
      <c r="A102" s="50">
        <v>2</v>
      </c>
      <c r="B102" s="51" t="str">
        <f ca="1">IF($A102="","",NumList())</f>
        <v>2.8</v>
      </c>
      <c r="C102" s="61" t="s">
        <v>460</v>
      </c>
      <c r="D102" s="55">
        <f t="shared" ca="1" si="5"/>
        <v>0</v>
      </c>
      <c r="E102" s="55"/>
      <c r="F102" s="55">
        <f t="shared" ca="1" si="6"/>
        <v>0</v>
      </c>
      <c r="G102" s="51"/>
      <c r="H102" s="78">
        <f t="shared" ca="1" si="7"/>
        <v>0</v>
      </c>
      <c r="I102" s="53">
        <f t="shared" ca="1" si="4"/>
        <v>0</v>
      </c>
    </row>
    <row r="103" spans="1:10" s="58" customFormat="1" ht="15" customHeight="1">
      <c r="A103" s="50">
        <v>3</v>
      </c>
      <c r="B103" s="51" t="str">
        <f ca="1">IF($A103="","",NumList())</f>
        <v>2.8.1</v>
      </c>
      <c r="C103" s="62" t="s">
        <v>234</v>
      </c>
      <c r="D103" s="55">
        <f t="shared" ca="1" si="5"/>
        <v>1</v>
      </c>
      <c r="E103" s="55"/>
      <c r="F103" s="55">
        <f t="shared" ca="1" si="6"/>
        <v>2</v>
      </c>
      <c r="G103" s="51" t="s">
        <v>8</v>
      </c>
      <c r="H103" s="78">
        <f t="shared" ca="1" si="7"/>
        <v>3</v>
      </c>
      <c r="I103" s="53">
        <f t="shared" ca="1" si="4"/>
        <v>6</v>
      </c>
    </row>
    <row r="104" spans="1:10" s="58" customFormat="1" ht="15" customHeight="1">
      <c r="A104" s="50">
        <v>3</v>
      </c>
      <c r="B104" s="51" t="str">
        <f ca="1">IF($A104="","",NumList())</f>
        <v>2.8.2</v>
      </c>
      <c r="C104" s="61" t="s">
        <v>233</v>
      </c>
      <c r="D104" s="55">
        <f t="shared" ca="1" si="5"/>
        <v>1</v>
      </c>
      <c r="E104" s="55"/>
      <c r="F104" s="55">
        <f t="shared" ca="1" si="6"/>
        <v>96</v>
      </c>
      <c r="G104" s="51" t="s">
        <v>8</v>
      </c>
      <c r="H104" s="78">
        <f t="shared" ca="1" si="7"/>
        <v>70</v>
      </c>
      <c r="I104" s="53">
        <f t="shared" ca="1" si="4"/>
        <v>6720</v>
      </c>
    </row>
    <row r="105" spans="1:10" s="58" customFormat="1" ht="15" customHeight="1">
      <c r="A105" s="50">
        <v>3</v>
      </c>
      <c r="B105" s="51" t="str">
        <f ca="1">IF($A105="","",NumList())</f>
        <v>2.8.3</v>
      </c>
      <c r="C105" s="61" t="s">
        <v>232</v>
      </c>
      <c r="D105" s="55">
        <f t="shared" ca="1" si="5"/>
        <v>1</v>
      </c>
      <c r="E105" s="55"/>
      <c r="F105" s="55">
        <f t="shared" ca="1" si="6"/>
        <v>64</v>
      </c>
      <c r="G105" s="51" t="s">
        <v>8</v>
      </c>
      <c r="H105" s="78">
        <f t="shared" ca="1" si="7"/>
        <v>91</v>
      </c>
      <c r="I105" s="53">
        <f t="shared" ca="1" si="4"/>
        <v>5824</v>
      </c>
    </row>
    <row r="106" spans="1:10" s="58" customFormat="1" ht="15" customHeight="1">
      <c r="A106" s="50" t="s">
        <v>516</v>
      </c>
      <c r="B106" s="51" t="str">
        <f>IF($A106="","",NumList())</f>
        <v/>
      </c>
      <c r="C106" s="61"/>
      <c r="D106" s="55">
        <f t="shared" ca="1" si="5"/>
        <v>0</v>
      </c>
      <c r="E106" s="55"/>
      <c r="F106" s="55">
        <f t="shared" ca="1" si="6"/>
        <v>0</v>
      </c>
      <c r="G106" s="51"/>
      <c r="H106" s="78">
        <f t="shared" ca="1" si="7"/>
        <v>0</v>
      </c>
      <c r="I106" s="53">
        <f t="shared" ca="1" si="4"/>
        <v>0</v>
      </c>
    </row>
    <row r="107" spans="1:10" s="41" customFormat="1" ht="43.5">
      <c r="A107" s="50">
        <v>1</v>
      </c>
      <c r="B107" s="51">
        <f ca="1">IF($A107="","",NumList())</f>
        <v>3</v>
      </c>
      <c r="C107" s="63" t="s">
        <v>617</v>
      </c>
      <c r="D107" s="55">
        <f t="shared" ca="1" si="5"/>
        <v>0</v>
      </c>
      <c r="E107" s="48"/>
      <c r="F107" s="55">
        <f t="shared" ca="1" si="6"/>
        <v>0</v>
      </c>
      <c r="G107" s="46"/>
      <c r="H107" s="78">
        <f t="shared" ca="1" si="7"/>
        <v>0</v>
      </c>
      <c r="I107" s="53">
        <f t="shared" ca="1" si="4"/>
        <v>0</v>
      </c>
    </row>
    <row r="108" spans="1:10" s="58" customFormat="1" ht="28.5">
      <c r="A108" s="50">
        <v>2</v>
      </c>
      <c r="B108" s="51" t="str">
        <f ca="1">IF($A108="","",NumList())</f>
        <v>3.1</v>
      </c>
      <c r="C108" s="62" t="s">
        <v>499</v>
      </c>
      <c r="D108" s="55">
        <f t="shared" ca="1" si="5"/>
        <v>0</v>
      </c>
      <c r="E108" s="55"/>
      <c r="F108" s="55">
        <f t="shared" ca="1" si="6"/>
        <v>0</v>
      </c>
      <c r="G108" s="51"/>
      <c r="H108" s="78">
        <f t="shared" ca="1" si="7"/>
        <v>0</v>
      </c>
      <c r="I108" s="53">
        <f t="shared" ca="1" si="4"/>
        <v>0</v>
      </c>
      <c r="J108" s="95" t="s">
        <v>494</v>
      </c>
    </row>
    <row r="109" spans="1:10" s="58" customFormat="1" ht="15" customHeight="1">
      <c r="A109" s="50">
        <v>3</v>
      </c>
      <c r="B109" s="51" t="str">
        <f ca="1">IF($A109="","",NumList())</f>
        <v>3.1.1</v>
      </c>
      <c r="C109" s="62" t="s">
        <v>613</v>
      </c>
      <c r="D109" s="55">
        <f t="shared" ca="1" si="5"/>
        <v>1</v>
      </c>
      <c r="E109" s="55"/>
      <c r="F109" s="55">
        <f t="shared" ca="1" si="6"/>
        <v>85</v>
      </c>
      <c r="G109" s="51" t="s">
        <v>8</v>
      </c>
      <c r="H109" s="78">
        <f t="shared" ca="1" si="7"/>
        <v>84</v>
      </c>
      <c r="I109" s="53">
        <f t="shared" ca="1" si="4"/>
        <v>7140</v>
      </c>
    </row>
    <row r="110" spans="1:10" s="58" customFormat="1" ht="15" customHeight="1">
      <c r="A110" s="50">
        <v>3</v>
      </c>
      <c r="B110" s="51" t="str">
        <f ca="1">IF($A110="","",NumList())</f>
        <v>3.1.2</v>
      </c>
      <c r="C110" s="62" t="s">
        <v>614</v>
      </c>
      <c r="D110" s="55">
        <f t="shared" ca="1" si="5"/>
        <v>1</v>
      </c>
      <c r="E110" s="55"/>
      <c r="F110" s="55">
        <f t="shared" ca="1" si="6"/>
        <v>92</v>
      </c>
      <c r="G110" s="51" t="s">
        <v>8</v>
      </c>
      <c r="H110" s="78">
        <f t="shared" ca="1" si="7"/>
        <v>90</v>
      </c>
      <c r="I110" s="53">
        <f t="shared" ca="1" si="4"/>
        <v>8280</v>
      </c>
    </row>
    <row r="111" spans="1:10" s="58" customFormat="1" ht="15" customHeight="1">
      <c r="A111" s="50">
        <v>3</v>
      </c>
      <c r="B111" s="51" t="str">
        <f ca="1">IF($A111="","",NumList())</f>
        <v>3.1.3</v>
      </c>
      <c r="C111" s="62" t="s">
        <v>615</v>
      </c>
      <c r="D111" s="55">
        <f t="shared" ca="1" si="5"/>
        <v>1</v>
      </c>
      <c r="E111" s="55"/>
      <c r="F111" s="55">
        <f t="shared" ca="1" si="6"/>
        <v>31</v>
      </c>
      <c r="G111" s="51" t="s">
        <v>8</v>
      </c>
      <c r="H111" s="78">
        <f t="shared" ca="1" si="7"/>
        <v>52</v>
      </c>
      <c r="I111" s="53">
        <f t="shared" ca="1" si="4"/>
        <v>1612</v>
      </c>
    </row>
    <row r="112" spans="1:10" s="58" customFormat="1" ht="15" customHeight="1">
      <c r="A112" s="50" t="s">
        <v>516</v>
      </c>
      <c r="B112" s="51" t="str">
        <f>IF($A112="","",NumList())</f>
        <v/>
      </c>
      <c r="C112" s="62"/>
      <c r="D112" s="55">
        <f t="shared" ca="1" si="5"/>
        <v>0</v>
      </c>
      <c r="E112" s="55"/>
      <c r="F112" s="55">
        <f t="shared" ca="1" si="6"/>
        <v>0</v>
      </c>
      <c r="G112" s="51"/>
      <c r="H112" s="78">
        <f t="shared" ca="1" si="7"/>
        <v>0</v>
      </c>
      <c r="I112" s="53">
        <f t="shared" ca="1" si="4"/>
        <v>0</v>
      </c>
    </row>
    <row r="113" spans="1:10" s="58" customFormat="1" ht="28.5">
      <c r="A113" s="50">
        <v>2</v>
      </c>
      <c r="B113" s="51" t="str">
        <f ca="1">IF($A113="","",NumList())</f>
        <v>3.2</v>
      </c>
      <c r="C113" s="62" t="s">
        <v>498</v>
      </c>
      <c r="D113" s="55">
        <f t="shared" ca="1" si="5"/>
        <v>1</v>
      </c>
      <c r="E113" s="55"/>
      <c r="F113" s="55">
        <f t="shared" ca="1" si="6"/>
        <v>65</v>
      </c>
      <c r="G113" s="51" t="s">
        <v>8</v>
      </c>
      <c r="H113" s="78">
        <f t="shared" ca="1" si="7"/>
        <v>30</v>
      </c>
      <c r="I113" s="53">
        <f t="shared" ca="1" si="4"/>
        <v>1950</v>
      </c>
      <c r="J113" s="95" t="s">
        <v>494</v>
      </c>
    </row>
    <row r="114" spans="1:10" s="58" customFormat="1" ht="15" customHeight="1">
      <c r="A114" s="50">
        <v>3</v>
      </c>
      <c r="B114" s="51" t="str">
        <f ca="1">IF($A114="","",NumList())</f>
        <v>3.2.1</v>
      </c>
      <c r="C114" s="62" t="s">
        <v>613</v>
      </c>
      <c r="D114" s="55">
        <f t="shared" ca="1" si="5"/>
        <v>1</v>
      </c>
      <c r="E114" s="55"/>
      <c r="F114" s="55">
        <f t="shared" ca="1" si="6"/>
        <v>68</v>
      </c>
      <c r="G114" s="51" t="s">
        <v>8</v>
      </c>
      <c r="H114" s="78">
        <f t="shared" ca="1" si="7"/>
        <v>41</v>
      </c>
      <c r="I114" s="53">
        <f t="shared" ca="1" si="4"/>
        <v>2788</v>
      </c>
    </row>
    <row r="115" spans="1:10" s="58" customFormat="1" ht="15" customHeight="1">
      <c r="A115" s="50">
        <v>3</v>
      </c>
      <c r="B115" s="51" t="str">
        <f ca="1">IF($A115="","",NumList())</f>
        <v>3.2.2</v>
      </c>
      <c r="C115" s="62" t="s">
        <v>614</v>
      </c>
      <c r="D115" s="55">
        <f t="shared" ca="1" si="5"/>
        <v>1</v>
      </c>
      <c r="E115" s="55"/>
      <c r="F115" s="55">
        <f t="shared" ca="1" si="6"/>
        <v>77</v>
      </c>
      <c r="G115" s="51" t="s">
        <v>8</v>
      </c>
      <c r="H115" s="78">
        <f t="shared" ca="1" si="7"/>
        <v>96</v>
      </c>
      <c r="I115" s="53">
        <f t="shared" ca="1" si="4"/>
        <v>7392</v>
      </c>
    </row>
    <row r="116" spans="1:10" s="58" customFormat="1" ht="15" customHeight="1">
      <c r="A116" s="50">
        <v>3</v>
      </c>
      <c r="B116" s="51" t="str">
        <f ca="1">IF($A116="","",NumList())</f>
        <v>3.2.3</v>
      </c>
      <c r="C116" s="62" t="s">
        <v>615</v>
      </c>
      <c r="D116" s="55">
        <f t="shared" ca="1" si="5"/>
        <v>1</v>
      </c>
      <c r="E116" s="55"/>
      <c r="F116" s="55">
        <f t="shared" ca="1" si="6"/>
        <v>2</v>
      </c>
      <c r="G116" s="51" t="s">
        <v>8</v>
      </c>
      <c r="H116" s="78">
        <f t="shared" ca="1" si="7"/>
        <v>56</v>
      </c>
      <c r="I116" s="53">
        <f t="shared" ca="1" si="4"/>
        <v>112</v>
      </c>
    </row>
    <row r="117" spans="1:10" s="41" customFormat="1" ht="15">
      <c r="A117" s="50" t="s">
        <v>516</v>
      </c>
      <c r="B117" s="51" t="str">
        <f>IF($A117="","",NumList())</f>
        <v/>
      </c>
      <c r="C117" s="54"/>
      <c r="D117" s="55">
        <f t="shared" ca="1" si="5"/>
        <v>0</v>
      </c>
      <c r="E117" s="55"/>
      <c r="F117" s="55">
        <f t="shared" ca="1" si="6"/>
        <v>0</v>
      </c>
      <c r="G117" s="51"/>
      <c r="H117" s="78">
        <f t="shared" ca="1" si="7"/>
        <v>0</v>
      </c>
      <c r="I117" s="53">
        <f t="shared" ca="1" si="4"/>
        <v>0</v>
      </c>
      <c r="J117" s="58"/>
    </row>
    <row r="118" spans="1:10" s="41" customFormat="1" ht="15">
      <c r="A118" s="50">
        <v>1</v>
      </c>
      <c r="B118" s="51">
        <f ca="1">IF($A118="","",NumList())</f>
        <v>4</v>
      </c>
      <c r="C118" s="63" t="s">
        <v>231</v>
      </c>
      <c r="D118" s="55">
        <f t="shared" ca="1" si="5"/>
        <v>0</v>
      </c>
      <c r="E118" s="48"/>
      <c r="F118" s="55">
        <f t="shared" ca="1" si="6"/>
        <v>0</v>
      </c>
      <c r="G118" s="46"/>
      <c r="H118" s="78">
        <f t="shared" ca="1" si="7"/>
        <v>0</v>
      </c>
      <c r="I118" s="53">
        <f t="shared" ca="1" si="4"/>
        <v>0</v>
      </c>
    </row>
    <row r="119" spans="1:10" s="58" customFormat="1" ht="28.5">
      <c r="A119" s="50">
        <v>2</v>
      </c>
      <c r="B119" s="51" t="str">
        <f ca="1">IF($A119="","",NumList())</f>
        <v>4.1</v>
      </c>
      <c r="C119" s="61" t="s">
        <v>455</v>
      </c>
      <c r="D119" s="55">
        <f t="shared" ca="1" si="5"/>
        <v>0</v>
      </c>
      <c r="E119" s="55"/>
      <c r="F119" s="55">
        <f t="shared" ca="1" si="6"/>
        <v>0</v>
      </c>
      <c r="G119" s="51"/>
      <c r="H119" s="78">
        <f t="shared" ca="1" si="7"/>
        <v>0</v>
      </c>
      <c r="I119" s="53">
        <f t="shared" ca="1" si="4"/>
        <v>0</v>
      </c>
    </row>
    <row r="120" spans="1:10" s="41" customFormat="1" ht="15">
      <c r="A120" s="50">
        <v>3</v>
      </c>
      <c r="B120" s="51" t="str">
        <f ca="1">IF($A120="","",NumList())</f>
        <v>4.1.1</v>
      </c>
      <c r="C120" s="62" t="s">
        <v>14</v>
      </c>
      <c r="D120" s="55">
        <f t="shared" ca="1" si="5"/>
        <v>1</v>
      </c>
      <c r="E120" s="55"/>
      <c r="F120" s="55">
        <f t="shared" ca="1" si="6"/>
        <v>11</v>
      </c>
      <c r="G120" s="51" t="s">
        <v>8</v>
      </c>
      <c r="H120" s="78">
        <f t="shared" ca="1" si="7"/>
        <v>44</v>
      </c>
      <c r="I120" s="53">
        <f t="shared" ca="1" si="4"/>
        <v>484</v>
      </c>
      <c r="J120" s="58"/>
    </row>
    <row r="121" spans="1:10" s="41" customFormat="1" ht="15">
      <c r="A121" s="50">
        <v>3</v>
      </c>
      <c r="B121" s="51" t="str">
        <f ca="1">IF($A121="","",NumList())</f>
        <v>4.1.2</v>
      </c>
      <c r="C121" s="62" t="s">
        <v>22</v>
      </c>
      <c r="D121" s="55">
        <f t="shared" ca="1" si="5"/>
        <v>1</v>
      </c>
      <c r="E121" s="55"/>
      <c r="F121" s="55">
        <f t="shared" ca="1" si="6"/>
        <v>51</v>
      </c>
      <c r="G121" s="51" t="s">
        <v>8</v>
      </c>
      <c r="H121" s="78">
        <f t="shared" ca="1" si="7"/>
        <v>68</v>
      </c>
      <c r="I121" s="53">
        <f t="shared" ca="1" si="4"/>
        <v>3468</v>
      </c>
      <c r="J121" s="58"/>
    </row>
    <row r="122" spans="1:10" s="41" customFormat="1" ht="15">
      <c r="A122" s="50">
        <v>3</v>
      </c>
      <c r="B122" s="51" t="str">
        <f ca="1">IF($A122="","",NumList())</f>
        <v>4.1.3</v>
      </c>
      <c r="C122" s="61" t="s">
        <v>34</v>
      </c>
      <c r="D122" s="55">
        <f t="shared" ca="1" si="5"/>
        <v>1</v>
      </c>
      <c r="E122" s="55"/>
      <c r="F122" s="55">
        <f t="shared" ca="1" si="6"/>
        <v>74</v>
      </c>
      <c r="G122" s="51" t="s">
        <v>8</v>
      </c>
      <c r="H122" s="78">
        <f t="shared" ca="1" si="7"/>
        <v>67</v>
      </c>
      <c r="I122" s="53">
        <f t="shared" ca="1" si="4"/>
        <v>4958</v>
      </c>
      <c r="J122" s="58"/>
    </row>
    <row r="123" spans="1:10" s="41" customFormat="1" ht="15">
      <c r="A123" s="50">
        <v>3</v>
      </c>
      <c r="B123" s="51" t="str">
        <f ca="1">IF($A123="","",NumList())</f>
        <v>4.1.4</v>
      </c>
      <c r="C123" s="61" t="s">
        <v>35</v>
      </c>
      <c r="D123" s="55">
        <f t="shared" ca="1" si="5"/>
        <v>1</v>
      </c>
      <c r="E123" s="55"/>
      <c r="F123" s="55">
        <f t="shared" ca="1" si="6"/>
        <v>6</v>
      </c>
      <c r="G123" s="51" t="s">
        <v>8</v>
      </c>
      <c r="H123" s="78">
        <f t="shared" ca="1" si="7"/>
        <v>86</v>
      </c>
      <c r="I123" s="53">
        <f t="shared" ca="1" si="4"/>
        <v>516</v>
      </c>
      <c r="J123" s="58"/>
    </row>
    <row r="124" spans="1:10" s="41" customFormat="1" ht="15">
      <c r="A124" s="50">
        <v>2</v>
      </c>
      <c r="B124" s="51" t="str">
        <f ca="1">IF($A124="","",NumList())</f>
        <v>4.2</v>
      </c>
      <c r="C124" s="62" t="s">
        <v>333</v>
      </c>
      <c r="D124" s="55">
        <f t="shared" ca="1" si="5"/>
        <v>0</v>
      </c>
      <c r="E124" s="55"/>
      <c r="F124" s="55">
        <f t="shared" ca="1" si="6"/>
        <v>0</v>
      </c>
      <c r="G124" s="51"/>
      <c r="H124" s="78">
        <f t="shared" ca="1" si="7"/>
        <v>0</v>
      </c>
      <c r="I124" s="53">
        <f t="shared" ca="1" si="4"/>
        <v>0</v>
      </c>
      <c r="J124" s="58"/>
    </row>
    <row r="125" spans="1:10" s="41" customFormat="1" ht="15">
      <c r="A125" s="50">
        <v>3</v>
      </c>
      <c r="B125" s="51" t="str">
        <f ca="1">IF($A125="","",NumList())</f>
        <v>4.2.1</v>
      </c>
      <c r="C125" s="62" t="s">
        <v>335</v>
      </c>
      <c r="D125" s="55">
        <f t="shared" ca="1" si="5"/>
        <v>1</v>
      </c>
      <c r="E125" s="55"/>
      <c r="F125" s="55">
        <f t="shared" ca="1" si="6"/>
        <v>31</v>
      </c>
      <c r="G125" s="51" t="s">
        <v>8</v>
      </c>
      <c r="H125" s="78">
        <f t="shared" ca="1" si="7"/>
        <v>85</v>
      </c>
      <c r="I125" s="53">
        <f t="shared" ca="1" si="4"/>
        <v>2635</v>
      </c>
      <c r="J125" s="58"/>
    </row>
    <row r="126" spans="1:10" s="41" customFormat="1" ht="15">
      <c r="A126" s="50">
        <v>3</v>
      </c>
      <c r="B126" s="51" t="str">
        <f ca="1">IF($A126="","",NumList())</f>
        <v>4.2.2</v>
      </c>
      <c r="C126" s="62" t="s">
        <v>336</v>
      </c>
      <c r="D126" s="55">
        <f t="shared" ca="1" si="5"/>
        <v>1</v>
      </c>
      <c r="E126" s="55"/>
      <c r="F126" s="55">
        <f t="shared" ca="1" si="6"/>
        <v>77</v>
      </c>
      <c r="G126" s="51" t="s">
        <v>8</v>
      </c>
      <c r="H126" s="78">
        <f t="shared" ca="1" si="7"/>
        <v>19</v>
      </c>
      <c r="I126" s="53">
        <f t="shared" ca="1" si="4"/>
        <v>1463</v>
      </c>
      <c r="J126" s="58"/>
    </row>
    <row r="127" spans="1:10" s="41" customFormat="1" ht="15">
      <c r="A127" s="50">
        <v>3</v>
      </c>
      <c r="B127" s="51" t="str">
        <f ca="1">IF($A127="","",NumList())</f>
        <v>4.2.3</v>
      </c>
      <c r="C127" s="62" t="s">
        <v>337</v>
      </c>
      <c r="D127" s="55">
        <f t="shared" ca="1" si="5"/>
        <v>1</v>
      </c>
      <c r="E127" s="55"/>
      <c r="F127" s="55">
        <f t="shared" ca="1" si="6"/>
        <v>49</v>
      </c>
      <c r="G127" s="51" t="s">
        <v>8</v>
      </c>
      <c r="H127" s="78">
        <f t="shared" ca="1" si="7"/>
        <v>67</v>
      </c>
      <c r="I127" s="53">
        <f t="shared" ca="1" si="4"/>
        <v>3283</v>
      </c>
      <c r="J127" s="58"/>
    </row>
    <row r="128" spans="1:10" s="41" customFormat="1" ht="15">
      <c r="A128" s="50">
        <v>3</v>
      </c>
      <c r="B128" s="51" t="str">
        <f ca="1">IF($A128="","",NumList())</f>
        <v>4.2.4</v>
      </c>
      <c r="C128" s="62" t="s">
        <v>338</v>
      </c>
      <c r="D128" s="55">
        <f t="shared" ca="1" si="5"/>
        <v>1</v>
      </c>
      <c r="E128" s="55"/>
      <c r="F128" s="55">
        <f t="shared" ca="1" si="6"/>
        <v>8</v>
      </c>
      <c r="G128" s="51" t="s">
        <v>8</v>
      </c>
      <c r="H128" s="78">
        <f t="shared" ca="1" si="7"/>
        <v>2</v>
      </c>
      <c r="I128" s="53">
        <f t="shared" ca="1" si="4"/>
        <v>16</v>
      </c>
      <c r="J128" s="58"/>
    </row>
    <row r="129" spans="1:10" s="41" customFormat="1" ht="15">
      <c r="A129" s="50">
        <v>2</v>
      </c>
      <c r="B129" s="51" t="str">
        <f ca="1">IF($A129="","",NumList())</f>
        <v>4.3</v>
      </c>
      <c r="C129" s="62" t="s">
        <v>334</v>
      </c>
      <c r="D129" s="55">
        <f t="shared" ca="1" si="5"/>
        <v>0</v>
      </c>
      <c r="E129" s="55"/>
      <c r="F129" s="55">
        <f t="shared" ca="1" si="6"/>
        <v>0</v>
      </c>
      <c r="G129" s="51"/>
      <c r="H129" s="78">
        <f t="shared" ca="1" si="7"/>
        <v>0</v>
      </c>
      <c r="I129" s="53">
        <f t="shared" ca="1" si="4"/>
        <v>0</v>
      </c>
      <c r="J129" s="58"/>
    </row>
    <row r="130" spans="1:10" s="41" customFormat="1" ht="15">
      <c r="A130" s="50">
        <v>3</v>
      </c>
      <c r="B130" s="51" t="str">
        <f ca="1">IF($A130="","",NumList())</f>
        <v>4.3.1</v>
      </c>
      <c r="C130" s="62" t="s">
        <v>335</v>
      </c>
      <c r="D130" s="55">
        <f t="shared" ca="1" si="5"/>
        <v>1</v>
      </c>
      <c r="E130" s="55"/>
      <c r="F130" s="55">
        <f t="shared" ca="1" si="6"/>
        <v>5</v>
      </c>
      <c r="G130" s="51" t="s">
        <v>8</v>
      </c>
      <c r="H130" s="78">
        <f t="shared" ca="1" si="7"/>
        <v>26</v>
      </c>
      <c r="I130" s="53">
        <f t="shared" ca="1" si="4"/>
        <v>130</v>
      </c>
      <c r="J130" s="58"/>
    </row>
    <row r="131" spans="1:10" s="41" customFormat="1" ht="15">
      <c r="A131" s="50">
        <v>3</v>
      </c>
      <c r="B131" s="51" t="str">
        <f ca="1">IF($A131="","",NumList())</f>
        <v>4.3.2</v>
      </c>
      <c r="C131" s="62" t="s">
        <v>336</v>
      </c>
      <c r="D131" s="55">
        <f t="shared" ca="1" si="5"/>
        <v>1</v>
      </c>
      <c r="E131" s="55"/>
      <c r="F131" s="55">
        <f t="shared" ca="1" si="6"/>
        <v>55</v>
      </c>
      <c r="G131" s="51" t="s">
        <v>8</v>
      </c>
      <c r="H131" s="78">
        <f t="shared" ca="1" si="7"/>
        <v>79</v>
      </c>
      <c r="I131" s="53">
        <f t="shared" ca="1" si="4"/>
        <v>4345</v>
      </c>
      <c r="J131" s="58"/>
    </row>
    <row r="132" spans="1:10" s="41" customFormat="1" ht="15">
      <c r="A132" s="50">
        <v>3</v>
      </c>
      <c r="B132" s="51" t="str">
        <f ca="1">IF($A132="","",NumList())</f>
        <v>4.3.3</v>
      </c>
      <c r="C132" s="62" t="s">
        <v>337</v>
      </c>
      <c r="D132" s="55">
        <f t="shared" ca="1" si="5"/>
        <v>1</v>
      </c>
      <c r="E132" s="55"/>
      <c r="F132" s="55">
        <f t="shared" ca="1" si="6"/>
        <v>28</v>
      </c>
      <c r="G132" s="51" t="s">
        <v>8</v>
      </c>
      <c r="H132" s="78">
        <f t="shared" ca="1" si="7"/>
        <v>9</v>
      </c>
      <c r="I132" s="53">
        <f t="shared" ca="1" si="4"/>
        <v>252</v>
      </c>
      <c r="J132" s="58"/>
    </row>
    <row r="133" spans="1:10" s="41" customFormat="1" ht="15">
      <c r="A133" s="50">
        <v>3</v>
      </c>
      <c r="B133" s="51" t="str">
        <f ca="1">IF($A133="","",NumList())</f>
        <v>4.3.4</v>
      </c>
      <c r="C133" s="62" t="s">
        <v>338</v>
      </c>
      <c r="D133" s="55">
        <f t="shared" ca="1" si="5"/>
        <v>1</v>
      </c>
      <c r="E133" s="55"/>
      <c r="F133" s="55">
        <f t="shared" ca="1" si="6"/>
        <v>77</v>
      </c>
      <c r="G133" s="51" t="s">
        <v>8</v>
      </c>
      <c r="H133" s="78">
        <f t="shared" ca="1" si="7"/>
        <v>82</v>
      </c>
      <c r="I133" s="53">
        <f t="shared" ca="1" si="4"/>
        <v>6314</v>
      </c>
      <c r="J133" s="58"/>
    </row>
    <row r="134" spans="1:10" s="41" customFormat="1" ht="15">
      <c r="A134" s="50" t="s">
        <v>516</v>
      </c>
      <c r="B134" s="51" t="str">
        <f>IF($A134="","",NumList())</f>
        <v/>
      </c>
      <c r="C134" s="62"/>
      <c r="D134" s="55">
        <f t="shared" ca="1" si="5"/>
        <v>0</v>
      </c>
      <c r="E134" s="55"/>
      <c r="F134" s="55">
        <f t="shared" ca="1" si="6"/>
        <v>0</v>
      </c>
      <c r="G134" s="51"/>
      <c r="H134" s="78">
        <f t="shared" ca="1" si="7"/>
        <v>0</v>
      </c>
      <c r="I134" s="53">
        <f t="shared" ca="1" si="4"/>
        <v>0</v>
      </c>
      <c r="J134" s="58"/>
    </row>
    <row r="135" spans="1:10" s="41" customFormat="1" ht="15">
      <c r="A135" s="50">
        <v>2</v>
      </c>
      <c r="B135" s="51" t="str">
        <f ca="1">IF($A135="","",NumList())</f>
        <v>4.4</v>
      </c>
      <c r="C135" s="62" t="s">
        <v>47</v>
      </c>
      <c r="D135" s="55">
        <f t="shared" ca="1" si="5"/>
        <v>1</v>
      </c>
      <c r="E135" s="55"/>
      <c r="F135" s="55">
        <f t="shared" ca="1" si="6"/>
        <v>60</v>
      </c>
      <c r="G135" s="51" t="s">
        <v>0</v>
      </c>
      <c r="H135" s="78">
        <f t="shared" ca="1" si="7"/>
        <v>85</v>
      </c>
      <c r="I135" s="53">
        <f t="shared" ca="1" si="4"/>
        <v>5100</v>
      </c>
      <c r="J135" s="58"/>
    </row>
    <row r="136" spans="1:10" s="41" customFormat="1" ht="15">
      <c r="A136" s="50" t="s">
        <v>516</v>
      </c>
      <c r="B136" s="51" t="str">
        <f>IF($A136="","",NumList())</f>
        <v/>
      </c>
      <c r="C136" s="61"/>
      <c r="D136" s="55">
        <f t="shared" ca="1" si="5"/>
        <v>0</v>
      </c>
      <c r="E136" s="55"/>
      <c r="F136" s="55">
        <f t="shared" ca="1" si="6"/>
        <v>0</v>
      </c>
      <c r="G136" s="51"/>
      <c r="H136" s="78">
        <f t="shared" ca="1" si="7"/>
        <v>0</v>
      </c>
      <c r="I136" s="53">
        <f t="shared" ca="1" si="4"/>
        <v>0</v>
      </c>
      <c r="J136" s="58"/>
    </row>
    <row r="137" spans="1:10" s="41" customFormat="1" ht="15">
      <c r="A137" s="50">
        <v>1</v>
      </c>
      <c r="B137" s="51">
        <f ca="1">IF($A137="","",NumList())</f>
        <v>5</v>
      </c>
      <c r="C137" s="69" t="s">
        <v>456</v>
      </c>
      <c r="D137" s="55">
        <f t="shared" ca="1" si="5"/>
        <v>0</v>
      </c>
      <c r="E137" s="48"/>
      <c r="F137" s="55">
        <f t="shared" ca="1" si="6"/>
        <v>0</v>
      </c>
      <c r="G137" s="46"/>
      <c r="H137" s="78">
        <f t="shared" ca="1" si="7"/>
        <v>0</v>
      </c>
      <c r="I137" s="53">
        <f t="shared" ca="1" si="4"/>
        <v>0</v>
      </c>
    </row>
    <row r="138" spans="1:10" s="41" customFormat="1" ht="15">
      <c r="A138" s="50">
        <v>2</v>
      </c>
      <c r="B138" s="51" t="str">
        <f ca="1">IF($A138="","",NumList())</f>
        <v>5.1</v>
      </c>
      <c r="C138" s="62" t="s">
        <v>15</v>
      </c>
      <c r="D138" s="55">
        <f t="shared" ca="1" si="5"/>
        <v>1</v>
      </c>
      <c r="E138" s="55"/>
      <c r="F138" s="55">
        <f t="shared" ca="1" si="6"/>
        <v>3</v>
      </c>
      <c r="G138" s="51" t="s">
        <v>8</v>
      </c>
      <c r="H138" s="78">
        <f t="shared" ca="1" si="7"/>
        <v>91</v>
      </c>
      <c r="I138" s="53">
        <f t="shared" ca="1" si="4"/>
        <v>273</v>
      </c>
      <c r="J138" s="58"/>
    </row>
    <row r="139" spans="1:10" s="41" customFormat="1" ht="15">
      <c r="A139" s="50">
        <v>2</v>
      </c>
      <c r="B139" s="51" t="str">
        <f ca="1">IF($A139="","",NumList())</f>
        <v>5.2</v>
      </c>
      <c r="C139" s="62" t="s">
        <v>16</v>
      </c>
      <c r="D139" s="55">
        <f t="shared" ca="1" si="5"/>
        <v>1</v>
      </c>
      <c r="E139" s="55"/>
      <c r="F139" s="55">
        <f t="shared" ca="1" si="6"/>
        <v>35</v>
      </c>
      <c r="G139" s="51" t="s">
        <v>8</v>
      </c>
      <c r="H139" s="78">
        <f t="shared" ca="1" si="7"/>
        <v>18</v>
      </c>
      <c r="I139" s="53">
        <f t="shared" ca="1" si="4"/>
        <v>630</v>
      </c>
      <c r="J139" s="58"/>
    </row>
    <row r="140" spans="1:10" s="41" customFormat="1" ht="28.5">
      <c r="A140" s="50">
        <v>2</v>
      </c>
      <c r="B140" s="51" t="str">
        <f ca="1">IF($A140="","",NumList())</f>
        <v>5.3</v>
      </c>
      <c r="C140" s="62" t="s">
        <v>70</v>
      </c>
      <c r="D140" s="55">
        <f t="shared" ca="1" si="5"/>
        <v>1</v>
      </c>
      <c r="E140" s="55"/>
      <c r="F140" s="55">
        <f t="shared" ca="1" si="6"/>
        <v>59</v>
      </c>
      <c r="G140" s="51" t="s">
        <v>8</v>
      </c>
      <c r="H140" s="78">
        <f t="shared" ca="1" si="7"/>
        <v>93</v>
      </c>
      <c r="I140" s="53">
        <f t="shared" ca="1" si="4"/>
        <v>5487</v>
      </c>
      <c r="J140" s="58"/>
    </row>
    <row r="141" spans="1:10" s="41" customFormat="1" ht="28.5">
      <c r="A141" s="50">
        <v>2</v>
      </c>
      <c r="B141" s="51" t="str">
        <f ca="1">IF($A141="","",NumList())</f>
        <v>5.4</v>
      </c>
      <c r="C141" s="62" t="s">
        <v>235</v>
      </c>
      <c r="D141" s="55">
        <f t="shared" ca="1" si="5"/>
        <v>1</v>
      </c>
      <c r="E141" s="55"/>
      <c r="F141" s="55">
        <f t="shared" ca="1" si="6"/>
        <v>48</v>
      </c>
      <c r="G141" s="51" t="s">
        <v>8</v>
      </c>
      <c r="H141" s="78">
        <f t="shared" ca="1" si="7"/>
        <v>10</v>
      </c>
      <c r="I141" s="53">
        <f t="shared" ca="1" si="4"/>
        <v>480</v>
      </c>
      <c r="J141" s="58"/>
    </row>
    <row r="142" spans="1:10" s="41" customFormat="1" ht="15">
      <c r="A142" s="50" t="s">
        <v>516</v>
      </c>
      <c r="B142" s="51" t="str">
        <f>IF($A142="","",NumList())</f>
        <v/>
      </c>
      <c r="C142" s="62"/>
      <c r="D142" s="55">
        <f t="shared" ca="1" si="5"/>
        <v>0</v>
      </c>
      <c r="E142" s="55"/>
      <c r="F142" s="55">
        <f t="shared" ca="1" si="6"/>
        <v>0</v>
      </c>
      <c r="G142" s="51"/>
      <c r="H142" s="78">
        <f t="shared" ca="1" si="7"/>
        <v>0</v>
      </c>
      <c r="I142" s="53">
        <f t="shared" ca="1" si="4"/>
        <v>0</v>
      </c>
      <c r="J142" s="58"/>
    </row>
    <row r="143" spans="1:10" s="41" customFormat="1" ht="45">
      <c r="A143" s="50">
        <v>1</v>
      </c>
      <c r="B143" s="51">
        <f ca="1">IF($A143="","",NumList())</f>
        <v>6</v>
      </c>
      <c r="C143" s="69" t="s">
        <v>457</v>
      </c>
      <c r="D143" s="55">
        <f t="shared" ca="1" si="5"/>
        <v>0</v>
      </c>
      <c r="E143" s="55"/>
      <c r="F143" s="55">
        <f t="shared" ca="1" si="6"/>
        <v>0</v>
      </c>
      <c r="G143" s="51"/>
      <c r="H143" s="78">
        <f t="shared" ca="1" si="7"/>
        <v>0</v>
      </c>
      <c r="I143" s="53">
        <f t="shared" ca="1" si="4"/>
        <v>0</v>
      </c>
      <c r="J143" s="58"/>
    </row>
    <row r="144" spans="1:10" s="41" customFormat="1" ht="15">
      <c r="A144" s="50">
        <v>2</v>
      </c>
      <c r="B144" s="51" t="str">
        <f ca="1">IF($A144="","",NumList())</f>
        <v>6.1</v>
      </c>
      <c r="C144" s="62" t="s">
        <v>369</v>
      </c>
      <c r="D144" s="55">
        <f t="shared" ca="1" si="5"/>
        <v>1</v>
      </c>
      <c r="E144" s="55"/>
      <c r="F144" s="55">
        <f t="shared" ca="1" si="6"/>
        <v>79</v>
      </c>
      <c r="G144" s="51" t="s">
        <v>0</v>
      </c>
      <c r="H144" s="78">
        <f t="shared" ca="1" si="7"/>
        <v>56</v>
      </c>
      <c r="I144" s="53">
        <f t="shared" ca="1" si="4"/>
        <v>4424</v>
      </c>
      <c r="J144" s="58"/>
    </row>
    <row r="145" spans="1:11" s="41" customFormat="1" ht="15">
      <c r="A145" s="50">
        <v>2</v>
      </c>
      <c r="B145" s="51" t="str">
        <f ca="1">IF($A145="","",NumList())</f>
        <v>6.2</v>
      </c>
      <c r="C145" s="62" t="s">
        <v>370</v>
      </c>
      <c r="D145" s="55">
        <f t="shared" ca="1" si="5"/>
        <v>1</v>
      </c>
      <c r="E145" s="55"/>
      <c r="F145" s="55">
        <f t="shared" ca="1" si="6"/>
        <v>44</v>
      </c>
      <c r="G145" s="51" t="s">
        <v>0</v>
      </c>
      <c r="H145" s="78">
        <f t="shared" ca="1" si="7"/>
        <v>42</v>
      </c>
      <c r="I145" s="53">
        <f t="shared" ca="1" si="4"/>
        <v>1848</v>
      </c>
      <c r="J145" s="58"/>
    </row>
    <row r="146" spans="1:11" s="58" customFormat="1" ht="15">
      <c r="A146" s="50" t="s">
        <v>516</v>
      </c>
      <c r="B146" s="51" t="str">
        <f>IF($A146="","",NumList())</f>
        <v/>
      </c>
      <c r="C146" s="54"/>
      <c r="D146" s="55">
        <f t="shared" ca="1" si="5"/>
        <v>0</v>
      </c>
      <c r="E146" s="55"/>
      <c r="F146" s="55">
        <f t="shared" ca="1" si="6"/>
        <v>0</v>
      </c>
      <c r="G146" s="51"/>
      <c r="H146" s="78">
        <f t="shared" ca="1" si="7"/>
        <v>0</v>
      </c>
      <c r="I146" s="53">
        <f t="shared" ca="1" si="4"/>
        <v>0</v>
      </c>
    </row>
    <row r="147" spans="1:11" s="41" customFormat="1" ht="15">
      <c r="A147" s="50">
        <v>1</v>
      </c>
      <c r="B147" s="51">
        <f ca="1">IF($A147="","",NumList())</f>
        <v>7</v>
      </c>
      <c r="C147" s="52" t="s">
        <v>11</v>
      </c>
      <c r="D147" s="55">
        <f t="shared" ca="1" si="5"/>
        <v>0</v>
      </c>
      <c r="E147" s="48"/>
      <c r="F147" s="55">
        <f t="shared" ca="1" si="6"/>
        <v>0</v>
      </c>
      <c r="G147" s="46"/>
      <c r="H147" s="78">
        <f t="shared" ca="1" si="7"/>
        <v>0</v>
      </c>
      <c r="I147" s="53">
        <f t="shared" ca="1" si="4"/>
        <v>0</v>
      </c>
    </row>
    <row r="148" spans="1:11" s="58" customFormat="1" ht="57">
      <c r="A148" s="50">
        <v>2</v>
      </c>
      <c r="B148" s="51" t="str">
        <f ca="1">IF($A148="","",NumList())</f>
        <v>7.1</v>
      </c>
      <c r="C148" s="62" t="s">
        <v>276</v>
      </c>
      <c r="D148" s="55">
        <f t="shared" ca="1" si="5"/>
        <v>1</v>
      </c>
      <c r="E148" s="55"/>
      <c r="F148" s="55">
        <f t="shared" ca="1" si="6"/>
        <v>60</v>
      </c>
      <c r="G148" s="51" t="s">
        <v>0</v>
      </c>
      <c r="H148" s="78">
        <f t="shared" ca="1" si="7"/>
        <v>83</v>
      </c>
      <c r="I148" s="53">
        <f t="shared" ca="1" si="4"/>
        <v>4980</v>
      </c>
    </row>
    <row r="149" spans="1:11" s="58" customFormat="1" ht="28.5">
      <c r="A149" s="50">
        <v>2</v>
      </c>
      <c r="B149" s="51" t="str">
        <f ca="1">IF($A149="","",NumList())</f>
        <v>7.2</v>
      </c>
      <c r="C149" s="62" t="s">
        <v>48</v>
      </c>
      <c r="D149" s="55">
        <f t="shared" ca="1" si="5"/>
        <v>1</v>
      </c>
      <c r="E149" s="55"/>
      <c r="F149" s="55">
        <f t="shared" ca="1" si="6"/>
        <v>17</v>
      </c>
      <c r="G149" s="51" t="s">
        <v>0</v>
      </c>
      <c r="H149" s="78">
        <f t="shared" ca="1" si="7"/>
        <v>47</v>
      </c>
      <c r="I149" s="53">
        <f ca="1">F149*H149</f>
        <v>799</v>
      </c>
    </row>
    <row r="150" spans="1:11" s="58" customFormat="1" ht="15">
      <c r="A150" s="50" t="s">
        <v>516</v>
      </c>
      <c r="B150" s="51" t="str">
        <f>IF($A150="","",NumList())</f>
        <v/>
      </c>
      <c r="C150" s="62"/>
      <c r="D150" s="55">
        <f t="shared" ca="1" si="5"/>
        <v>0</v>
      </c>
      <c r="E150" s="55"/>
      <c r="F150" s="55"/>
      <c r="G150" s="51"/>
      <c r="H150" s="78"/>
      <c r="I150" s="53">
        <f>F150*H150</f>
        <v>0</v>
      </c>
    </row>
    <row r="151" spans="1:11" s="41" customFormat="1" ht="15">
      <c r="A151" s="50">
        <v>1</v>
      </c>
      <c r="B151" s="51">
        <f ca="1">IF($A151="","",NumList())</f>
        <v>8</v>
      </c>
      <c r="C151" s="52" t="s">
        <v>65</v>
      </c>
      <c r="D151" s="55">
        <f t="shared" ca="1" si="5"/>
        <v>0</v>
      </c>
      <c r="E151" s="55"/>
      <c r="F151" s="55"/>
      <c r="G151" s="51"/>
      <c r="H151" s="78"/>
      <c r="I151" s="53">
        <f>F151*H151</f>
        <v>0</v>
      </c>
      <c r="J151" s="58"/>
      <c r="K151" s="58"/>
    </row>
    <row r="152" spans="1:11" s="41" customFormat="1" ht="28.5">
      <c r="A152" s="50" t="s">
        <v>516</v>
      </c>
      <c r="B152" s="51" t="str">
        <f>IF($A152="","",NumList())</f>
        <v/>
      </c>
      <c r="C152" s="62" t="s">
        <v>283</v>
      </c>
      <c r="D152" s="55">
        <f t="shared" ca="1" si="5"/>
        <v>1</v>
      </c>
      <c r="E152" s="55"/>
      <c r="F152" s="55">
        <v>1</v>
      </c>
      <c r="G152" s="51" t="s">
        <v>0</v>
      </c>
      <c r="H152" s="62" t="s">
        <v>73</v>
      </c>
      <c r="I152" s="53"/>
      <c r="J152" s="58"/>
      <c r="K152" s="58"/>
    </row>
    <row r="153" spans="1:11" s="58" customFormat="1" ht="15" customHeight="1">
      <c r="A153" s="50"/>
      <c r="B153" s="32"/>
      <c r="C153" s="70"/>
      <c r="D153" s="71"/>
      <c r="E153" s="71"/>
      <c r="F153" s="71"/>
      <c r="G153" s="30"/>
      <c r="H153" s="82" t="s">
        <v>343</v>
      </c>
      <c r="I153" s="78">
        <f ca="1">SUM(I25:I152)</f>
        <v>283940</v>
      </c>
    </row>
    <row r="154" spans="1:11" s="58" customFormat="1" ht="14.25" customHeight="1">
      <c r="A154" s="50"/>
      <c r="B154" s="32"/>
      <c r="C154" s="70"/>
      <c r="D154" s="71"/>
      <c r="E154" s="71"/>
      <c r="F154" s="71"/>
      <c r="G154" s="30"/>
      <c r="H154" s="83"/>
      <c r="I154" s="77"/>
    </row>
    <row r="155" spans="1:11" s="58" customFormat="1" ht="14.25" customHeight="1">
      <c r="A155" s="50"/>
      <c r="B155" s="30"/>
      <c r="C155" s="70"/>
      <c r="D155" s="71"/>
      <c r="E155" s="71"/>
      <c r="F155" s="71"/>
      <c r="G155" s="30"/>
      <c r="H155" s="77"/>
      <c r="I155" s="77"/>
    </row>
    <row r="156" spans="1:11" s="58" customFormat="1" ht="14.25" customHeight="1">
      <c r="A156" s="50"/>
      <c r="B156" s="30"/>
      <c r="C156" s="30" t="s">
        <v>18</v>
      </c>
      <c r="D156" s="31"/>
      <c r="E156" s="31"/>
      <c r="F156" s="31"/>
      <c r="G156" s="31"/>
      <c r="H156" s="31"/>
      <c r="I156" s="31"/>
    </row>
    <row r="157" spans="1:11" s="58" customFormat="1" ht="14.25" customHeight="1">
      <c r="A157" s="50"/>
      <c r="B157" s="30"/>
      <c r="C157" s="30"/>
      <c r="D157" s="34"/>
      <c r="E157" s="34"/>
      <c r="F157" s="34"/>
      <c r="G157" s="32"/>
      <c r="H157" s="33"/>
      <c r="I157" s="30"/>
    </row>
    <row r="158" spans="1:11" s="58" customFormat="1" ht="14.25" customHeight="1">
      <c r="A158" s="50"/>
      <c r="B158" s="30"/>
      <c r="C158" s="30" t="s">
        <v>19</v>
      </c>
      <c r="D158" s="31"/>
      <c r="E158" s="31"/>
      <c r="F158" s="31"/>
      <c r="G158" s="31"/>
      <c r="H158" s="31"/>
      <c r="I158" s="31"/>
    </row>
    <row r="159" spans="1:11" s="58" customFormat="1" ht="14.25" customHeight="1">
      <c r="A159" s="50"/>
      <c r="B159" s="30"/>
      <c r="C159" s="30"/>
      <c r="D159" s="34"/>
      <c r="E159" s="34"/>
      <c r="F159" s="34"/>
      <c r="G159" s="32"/>
      <c r="H159" s="33"/>
      <c r="I159" s="30"/>
    </row>
    <row r="160" spans="1:11" ht="67.5">
      <c r="A160" s="50"/>
      <c r="C160" s="74" t="s">
        <v>188</v>
      </c>
    </row>
    <row r="161" spans="1:3">
      <c r="A161" s="50"/>
      <c r="C161" s="70"/>
    </row>
    <row r="162" spans="1:3">
      <c r="A162" s="50"/>
      <c r="C162" s="70"/>
    </row>
    <row r="163" spans="1:3">
      <c r="A163" s="50"/>
      <c r="C163" s="70"/>
    </row>
    <row r="164" spans="1:3">
      <c r="A164" s="50"/>
      <c r="C164" s="70"/>
    </row>
    <row r="165" spans="1:3">
      <c r="A165" s="50"/>
      <c r="C165" s="70"/>
    </row>
    <row r="166" spans="1:3">
      <c r="A166" s="50"/>
      <c r="C166" s="70"/>
    </row>
    <row r="167" spans="1:3">
      <c r="A167" s="50"/>
      <c r="C167" s="70"/>
    </row>
    <row r="168" spans="1:3">
      <c r="A168" s="50"/>
      <c r="C168" s="70"/>
    </row>
    <row r="169" spans="1:3">
      <c r="A169" s="50"/>
      <c r="C169" s="70"/>
    </row>
    <row r="170" spans="1:3">
      <c r="A170" s="50"/>
      <c r="C170" s="70"/>
    </row>
    <row r="171" spans="1:3">
      <c r="A171" s="50"/>
      <c r="C171" s="70"/>
    </row>
    <row r="172" spans="1:3">
      <c r="A172" s="50"/>
      <c r="C172" s="70"/>
    </row>
    <row r="173" spans="1:3">
      <c r="A173" s="50"/>
      <c r="C173" s="70"/>
    </row>
    <row r="174" spans="1:3">
      <c r="A174" s="50"/>
      <c r="C174" s="70"/>
    </row>
    <row r="175" spans="1:3">
      <c r="A175" s="50"/>
      <c r="C175" s="70"/>
    </row>
    <row r="176" spans="1:3">
      <c r="A176" s="50"/>
      <c r="C176" s="70"/>
    </row>
    <row r="177" spans="1:3">
      <c r="A177" s="50"/>
      <c r="C177" s="70"/>
    </row>
    <row r="178" spans="1:3">
      <c r="A178" s="50"/>
      <c r="C178" s="70"/>
    </row>
    <row r="179" spans="1:3">
      <c r="A179" s="50"/>
      <c r="C179" s="70"/>
    </row>
    <row r="180" spans="1:3">
      <c r="A180" s="50"/>
      <c r="C180" s="70"/>
    </row>
    <row r="181" spans="1:3">
      <c r="A181" s="50"/>
      <c r="C181" s="70"/>
    </row>
    <row r="182" spans="1:3">
      <c r="A182" s="50"/>
      <c r="C182" s="70"/>
    </row>
    <row r="183" spans="1:3">
      <c r="A183" s="50"/>
      <c r="C183" s="70"/>
    </row>
    <row r="184" spans="1:3">
      <c r="A184" s="50"/>
      <c r="C184" s="70"/>
    </row>
    <row r="185" spans="1:3">
      <c r="A185" s="50"/>
      <c r="C185" s="70"/>
    </row>
    <row r="186" spans="1:3">
      <c r="A186" s="50"/>
      <c r="C186" s="70"/>
    </row>
    <row r="187" spans="1:3">
      <c r="A187" s="50"/>
      <c r="C187" s="70"/>
    </row>
    <row r="188" spans="1:3">
      <c r="A188" s="50"/>
      <c r="C188" s="70"/>
    </row>
    <row r="189" spans="1:3">
      <c r="A189" s="50"/>
      <c r="C189" s="70"/>
    </row>
    <row r="190" spans="1:3">
      <c r="A190" s="50"/>
      <c r="C190" s="70"/>
    </row>
    <row r="191" spans="1:3">
      <c r="A191" s="50"/>
      <c r="C191" s="70"/>
    </row>
    <row r="192" spans="1:3">
      <c r="A192" s="50"/>
      <c r="C192" s="70"/>
    </row>
    <row r="193" spans="1:3">
      <c r="A193" s="50"/>
      <c r="C193" s="70"/>
    </row>
    <row r="194" spans="1:3">
      <c r="A194" s="50"/>
      <c r="C194" s="70"/>
    </row>
    <row r="195" spans="1:3">
      <c r="A195" s="50"/>
      <c r="C195" s="70"/>
    </row>
    <row r="196" spans="1:3">
      <c r="A196" s="50"/>
      <c r="C196" s="70"/>
    </row>
    <row r="197" spans="1:3">
      <c r="A197" s="50"/>
      <c r="C197" s="70"/>
    </row>
    <row r="198" spans="1:3">
      <c r="A198" s="50"/>
      <c r="C198" s="70"/>
    </row>
    <row r="199" spans="1:3">
      <c r="A199" s="50"/>
      <c r="C199" s="70"/>
    </row>
    <row r="200" spans="1:3">
      <c r="A200" s="50"/>
      <c r="C200" s="70"/>
    </row>
    <row r="201" spans="1:3">
      <c r="A201" s="50"/>
      <c r="C201" s="70"/>
    </row>
    <row r="202" spans="1:3">
      <c r="A202" s="50"/>
      <c r="C202" s="70"/>
    </row>
    <row r="203" spans="1:3">
      <c r="A203" s="50"/>
      <c r="C203" s="70"/>
    </row>
    <row r="204" spans="1:3">
      <c r="A204" s="50"/>
      <c r="C204" s="70"/>
    </row>
    <row r="205" spans="1:3">
      <c r="A205" s="50"/>
      <c r="C205" s="70"/>
    </row>
    <row r="206" spans="1:3">
      <c r="A206" s="50"/>
      <c r="C206" s="70"/>
    </row>
    <row r="207" spans="1:3">
      <c r="A207" s="50"/>
      <c r="C207" s="70"/>
    </row>
    <row r="208" spans="1:3">
      <c r="A208" s="50"/>
      <c r="C208" s="70"/>
    </row>
    <row r="209" spans="1:3">
      <c r="A209" s="50"/>
      <c r="C209" s="70"/>
    </row>
    <row r="210" spans="1:3">
      <c r="A210" s="50"/>
      <c r="C210" s="70"/>
    </row>
    <row r="211" spans="1:3">
      <c r="A211" s="50"/>
      <c r="C211" s="70"/>
    </row>
    <row r="212" spans="1:3">
      <c r="A212" s="50"/>
      <c r="C212" s="70"/>
    </row>
    <row r="213" spans="1:3">
      <c r="A213" s="50"/>
      <c r="C213" s="70"/>
    </row>
    <row r="214" spans="1:3">
      <c r="A214" s="50"/>
      <c r="C214" s="70"/>
    </row>
    <row r="215" spans="1:3">
      <c r="A215" s="50"/>
      <c r="C215" s="70"/>
    </row>
    <row r="216" spans="1:3">
      <c r="A216" s="50"/>
      <c r="C216" s="70"/>
    </row>
    <row r="217" spans="1:3">
      <c r="A217" s="50"/>
      <c r="C217" s="70"/>
    </row>
    <row r="218" spans="1:3">
      <c r="A218" s="50"/>
      <c r="C218" s="70"/>
    </row>
    <row r="219" spans="1:3">
      <c r="A219" s="50"/>
      <c r="C219" s="70"/>
    </row>
    <row r="220" spans="1:3">
      <c r="A220" s="50"/>
      <c r="C220" s="70"/>
    </row>
    <row r="221" spans="1:3">
      <c r="A221" s="50"/>
      <c r="C221" s="70"/>
    </row>
    <row r="222" spans="1:3">
      <c r="A222" s="50"/>
      <c r="C222" s="70"/>
    </row>
    <row r="223" spans="1:3">
      <c r="A223" s="50"/>
      <c r="C223" s="70"/>
    </row>
    <row r="224" spans="1:3">
      <c r="A224" s="50"/>
      <c r="C224" s="70"/>
    </row>
    <row r="225" spans="1:3">
      <c r="A225" s="50"/>
      <c r="C225" s="70"/>
    </row>
    <row r="226" spans="1:3">
      <c r="A226" s="50"/>
      <c r="C226" s="70"/>
    </row>
    <row r="227" spans="1:3">
      <c r="A227" s="50"/>
      <c r="C227" s="70"/>
    </row>
    <row r="228" spans="1:3">
      <c r="A228" s="50"/>
      <c r="C228" s="70"/>
    </row>
    <row r="229" spans="1:3">
      <c r="A229" s="50"/>
      <c r="C229" s="70"/>
    </row>
    <row r="230" spans="1:3">
      <c r="A230" s="50"/>
      <c r="C230" s="70"/>
    </row>
    <row r="231" spans="1:3">
      <c r="A231" s="50"/>
      <c r="C231" s="70"/>
    </row>
    <row r="232" spans="1:3">
      <c r="A232" s="50"/>
      <c r="C232" s="70"/>
    </row>
    <row r="233" spans="1:3">
      <c r="A233" s="50"/>
      <c r="C233" s="70"/>
    </row>
    <row r="234" spans="1:3">
      <c r="A234" s="50"/>
      <c r="C234" s="70"/>
    </row>
    <row r="235" spans="1:3">
      <c r="A235" s="50"/>
      <c r="C235" s="70"/>
    </row>
    <row r="236" spans="1:3">
      <c r="A236" s="50"/>
      <c r="C236" s="70"/>
    </row>
    <row r="237" spans="1:3">
      <c r="A237" s="50"/>
      <c r="C237" s="70"/>
    </row>
    <row r="238" spans="1:3">
      <c r="A238" s="50"/>
      <c r="C238" s="70"/>
    </row>
    <row r="239" spans="1:3">
      <c r="A239" s="50"/>
      <c r="C239" s="70"/>
    </row>
    <row r="240" spans="1:3">
      <c r="A240" s="50"/>
      <c r="C240" s="70"/>
    </row>
    <row r="241" spans="1:3">
      <c r="A241" s="50"/>
      <c r="C241" s="70"/>
    </row>
    <row r="242" spans="1:3">
      <c r="A242" s="50"/>
      <c r="C242" s="70"/>
    </row>
    <row r="243" spans="1:3">
      <c r="A243" s="50"/>
      <c r="C243" s="70"/>
    </row>
    <row r="244" spans="1:3">
      <c r="A244" s="50"/>
      <c r="C244" s="70"/>
    </row>
    <row r="245" spans="1:3">
      <c r="A245" s="50"/>
      <c r="C245" s="70"/>
    </row>
    <row r="246" spans="1:3">
      <c r="A246" s="50"/>
      <c r="C246" s="70"/>
    </row>
    <row r="247" spans="1:3">
      <c r="A247" s="50"/>
      <c r="C247" s="70"/>
    </row>
    <row r="248" spans="1:3">
      <c r="A248" s="50"/>
      <c r="C248" s="70"/>
    </row>
    <row r="249" spans="1:3">
      <c r="A249" s="50"/>
      <c r="C249" s="70"/>
    </row>
    <row r="250" spans="1:3">
      <c r="A250" s="50"/>
      <c r="C250" s="70"/>
    </row>
    <row r="251" spans="1:3">
      <c r="A251" s="50"/>
      <c r="C251" s="70"/>
    </row>
    <row r="252" spans="1:3">
      <c r="A252" s="50"/>
      <c r="C252" s="70"/>
    </row>
    <row r="253" spans="1:3">
      <c r="A253" s="50"/>
      <c r="C253" s="70"/>
    </row>
    <row r="254" spans="1:3">
      <c r="A254" s="50"/>
      <c r="C254" s="70"/>
    </row>
    <row r="255" spans="1:3">
      <c r="A255" s="50"/>
      <c r="C255" s="70"/>
    </row>
    <row r="256" spans="1:3">
      <c r="A256" s="50"/>
      <c r="C256" s="70"/>
    </row>
    <row r="257" spans="1:3">
      <c r="A257" s="50"/>
      <c r="C257" s="70"/>
    </row>
    <row r="258" spans="1:3">
      <c r="A258" s="50"/>
      <c r="C258" s="70"/>
    </row>
    <row r="259" spans="1:3">
      <c r="A259" s="50"/>
      <c r="C259" s="70"/>
    </row>
    <row r="260" spans="1:3">
      <c r="A260" s="50"/>
      <c r="C260" s="70"/>
    </row>
    <row r="261" spans="1:3">
      <c r="A261" s="50"/>
      <c r="C261" s="70"/>
    </row>
    <row r="262" spans="1:3">
      <c r="A262" s="50"/>
      <c r="C262" s="70"/>
    </row>
    <row r="263" spans="1:3">
      <c r="A263" s="50"/>
      <c r="C263" s="70"/>
    </row>
    <row r="264" spans="1:3">
      <c r="A264" s="50"/>
      <c r="C264" s="70"/>
    </row>
    <row r="265" spans="1:3">
      <c r="A265" s="50"/>
      <c r="C265" s="70"/>
    </row>
    <row r="266" spans="1:3">
      <c r="A266" s="50"/>
      <c r="C266" s="70"/>
    </row>
    <row r="267" spans="1:3">
      <c r="A267" s="50"/>
      <c r="C267" s="70"/>
    </row>
    <row r="268" spans="1:3">
      <c r="A268" s="50"/>
      <c r="C268" s="70"/>
    </row>
    <row r="269" spans="1:3">
      <c r="A269" s="50"/>
      <c r="C269" s="70"/>
    </row>
    <row r="270" spans="1:3">
      <c r="A270" s="50"/>
      <c r="C270" s="70"/>
    </row>
    <row r="271" spans="1:3">
      <c r="A271" s="50"/>
      <c r="C271" s="70"/>
    </row>
    <row r="272" spans="1:3">
      <c r="A272" s="50"/>
      <c r="C272" s="70"/>
    </row>
    <row r="273" spans="1:3">
      <c r="A273" s="50"/>
      <c r="C273" s="70"/>
    </row>
    <row r="274" spans="1:3">
      <c r="A274" s="50"/>
      <c r="C274" s="70"/>
    </row>
    <row r="275" spans="1:3">
      <c r="A275" s="50"/>
      <c r="C275" s="70"/>
    </row>
    <row r="276" spans="1:3">
      <c r="A276" s="50"/>
      <c r="C276" s="70"/>
    </row>
    <row r="277" spans="1:3">
      <c r="A277" s="50"/>
      <c r="C277" s="70"/>
    </row>
    <row r="278" spans="1:3">
      <c r="A278" s="50"/>
      <c r="C278" s="70"/>
    </row>
    <row r="279" spans="1:3">
      <c r="A279" s="50"/>
      <c r="C279" s="70"/>
    </row>
    <row r="280" spans="1:3">
      <c r="A280" s="50"/>
      <c r="C280" s="70"/>
    </row>
    <row r="281" spans="1:3">
      <c r="A281" s="50"/>
      <c r="C281" s="70"/>
    </row>
    <row r="282" spans="1:3">
      <c r="A282" s="50"/>
      <c r="C282" s="70"/>
    </row>
    <row r="283" spans="1:3">
      <c r="A283" s="50"/>
      <c r="C283" s="70"/>
    </row>
    <row r="284" spans="1:3">
      <c r="A284" s="50"/>
      <c r="C284" s="70"/>
    </row>
    <row r="285" spans="1:3">
      <c r="A285" s="50"/>
      <c r="C285" s="70"/>
    </row>
    <row r="286" spans="1:3">
      <c r="A286" s="50"/>
      <c r="C286" s="70"/>
    </row>
    <row r="287" spans="1:3">
      <c r="A287" s="50"/>
      <c r="C287" s="70"/>
    </row>
    <row r="288" spans="1:3">
      <c r="A288" s="50"/>
      <c r="C288" s="70"/>
    </row>
    <row r="289" spans="1:3">
      <c r="A289" s="50"/>
      <c r="C289" s="70"/>
    </row>
    <row r="290" spans="1:3">
      <c r="A290" s="50"/>
      <c r="C290" s="70"/>
    </row>
    <row r="291" spans="1:3">
      <c r="A291" s="50"/>
      <c r="C291" s="70"/>
    </row>
    <row r="292" spans="1:3">
      <c r="A292" s="50"/>
      <c r="C292" s="70"/>
    </row>
    <row r="293" spans="1:3">
      <c r="A293" s="50"/>
      <c r="C293" s="70"/>
    </row>
    <row r="294" spans="1:3">
      <c r="A294" s="50"/>
      <c r="C294" s="70"/>
    </row>
    <row r="295" spans="1:3">
      <c r="A295" s="50"/>
      <c r="C295" s="70"/>
    </row>
    <row r="296" spans="1:3">
      <c r="A296" s="50"/>
      <c r="C296" s="70"/>
    </row>
    <row r="297" spans="1:3">
      <c r="A297" s="50"/>
      <c r="C297" s="70"/>
    </row>
    <row r="298" spans="1:3">
      <c r="A298" s="50"/>
      <c r="C298" s="70"/>
    </row>
    <row r="299" spans="1:3">
      <c r="A299" s="50"/>
      <c r="C299" s="70"/>
    </row>
    <row r="300" spans="1:3">
      <c r="A300" s="50"/>
      <c r="C300" s="70"/>
    </row>
    <row r="301" spans="1:3">
      <c r="A301" s="50"/>
      <c r="C301" s="70"/>
    </row>
    <row r="302" spans="1:3">
      <c r="A302" s="50"/>
      <c r="C302" s="70"/>
    </row>
    <row r="303" spans="1:3">
      <c r="A303" s="50"/>
      <c r="C303" s="70"/>
    </row>
    <row r="304" spans="1:3">
      <c r="A304" s="50"/>
      <c r="C304" s="70"/>
    </row>
    <row r="305" spans="1:3">
      <c r="A305" s="50"/>
      <c r="C305" s="70"/>
    </row>
    <row r="306" spans="1:3">
      <c r="A306" s="50"/>
      <c r="C306" s="70"/>
    </row>
    <row r="307" spans="1:3">
      <c r="A307" s="50"/>
      <c r="C307" s="70"/>
    </row>
    <row r="308" spans="1:3">
      <c r="A308" s="50"/>
      <c r="C308" s="70"/>
    </row>
    <row r="309" spans="1:3">
      <c r="A309" s="50"/>
      <c r="C309" s="70"/>
    </row>
    <row r="310" spans="1:3">
      <c r="A310" s="50"/>
      <c r="C310" s="70"/>
    </row>
    <row r="311" spans="1:3">
      <c r="A311" s="50"/>
      <c r="C311" s="70"/>
    </row>
    <row r="312" spans="1:3">
      <c r="A312" s="50"/>
      <c r="C312" s="70"/>
    </row>
    <row r="313" spans="1:3">
      <c r="A313" s="50"/>
      <c r="C313" s="70"/>
    </row>
    <row r="314" spans="1:3">
      <c r="A314" s="50"/>
      <c r="C314" s="70"/>
    </row>
    <row r="315" spans="1:3">
      <c r="A315" s="50"/>
      <c r="C315" s="70"/>
    </row>
    <row r="316" spans="1:3">
      <c r="A316" s="50"/>
      <c r="C316" s="70"/>
    </row>
    <row r="317" spans="1:3">
      <c r="A317" s="50"/>
      <c r="C317" s="70"/>
    </row>
    <row r="318" spans="1:3">
      <c r="A318" s="50"/>
      <c r="C318" s="70"/>
    </row>
    <row r="319" spans="1:3">
      <c r="A319" s="50"/>
      <c r="C319" s="70"/>
    </row>
    <row r="320" spans="1:3">
      <c r="A320" s="50"/>
      <c r="C320" s="70"/>
    </row>
    <row r="321" spans="1:3">
      <c r="A321" s="50"/>
      <c r="C321" s="70"/>
    </row>
    <row r="322" spans="1:3">
      <c r="A322" s="50"/>
      <c r="C322" s="70"/>
    </row>
    <row r="323" spans="1:3">
      <c r="A323" s="50"/>
      <c r="C323" s="70"/>
    </row>
    <row r="324" spans="1:3">
      <c r="A324" s="50"/>
      <c r="C324" s="70"/>
    </row>
    <row r="325" spans="1:3">
      <c r="A325" s="50"/>
      <c r="C325" s="70"/>
    </row>
    <row r="326" spans="1:3">
      <c r="A326" s="50"/>
      <c r="C326" s="70"/>
    </row>
    <row r="327" spans="1:3">
      <c r="A327" s="50"/>
      <c r="C327" s="70"/>
    </row>
    <row r="328" spans="1:3">
      <c r="A328" s="50"/>
      <c r="C328" s="70"/>
    </row>
    <row r="329" spans="1:3">
      <c r="A329" s="50"/>
      <c r="C329" s="70"/>
    </row>
    <row r="330" spans="1:3">
      <c r="A330" s="50"/>
      <c r="C330" s="70"/>
    </row>
    <row r="331" spans="1:3">
      <c r="A331" s="50"/>
      <c r="C331" s="70"/>
    </row>
    <row r="332" spans="1:3">
      <c r="A332" s="50"/>
      <c r="C332" s="70"/>
    </row>
    <row r="333" spans="1:3">
      <c r="A333" s="50"/>
      <c r="C333" s="70"/>
    </row>
    <row r="334" spans="1:3">
      <c r="A334" s="50"/>
      <c r="C334" s="70"/>
    </row>
    <row r="335" spans="1:3">
      <c r="A335" s="50"/>
      <c r="C335" s="70"/>
    </row>
    <row r="336" spans="1:3">
      <c r="A336" s="50"/>
      <c r="C336" s="70"/>
    </row>
    <row r="337" spans="1:3">
      <c r="A337" s="50"/>
      <c r="C337" s="70"/>
    </row>
    <row r="338" spans="1:3">
      <c r="A338" s="50"/>
      <c r="C338" s="70"/>
    </row>
    <row r="339" spans="1:3">
      <c r="A339" s="50"/>
      <c r="C339" s="70"/>
    </row>
    <row r="340" spans="1:3">
      <c r="A340" s="50"/>
      <c r="C340" s="70"/>
    </row>
    <row r="341" spans="1:3">
      <c r="A341" s="50"/>
      <c r="C341" s="70"/>
    </row>
    <row r="342" spans="1:3">
      <c r="A342" s="50"/>
      <c r="C342" s="70"/>
    </row>
    <row r="343" spans="1:3">
      <c r="A343" s="50"/>
      <c r="C343" s="70"/>
    </row>
    <row r="344" spans="1:3">
      <c r="A344" s="50"/>
      <c r="C344" s="70"/>
    </row>
    <row r="345" spans="1:3">
      <c r="A345" s="50"/>
      <c r="C345" s="70"/>
    </row>
    <row r="346" spans="1:3">
      <c r="A346" s="50"/>
      <c r="C346" s="70"/>
    </row>
    <row r="347" spans="1:3">
      <c r="A347" s="50"/>
      <c r="C347" s="70"/>
    </row>
    <row r="348" spans="1:3">
      <c r="A348" s="50"/>
      <c r="C348" s="70"/>
    </row>
    <row r="349" spans="1:3">
      <c r="A349" s="50"/>
      <c r="C349" s="70"/>
    </row>
    <row r="350" spans="1:3">
      <c r="A350" s="50"/>
      <c r="C350" s="70"/>
    </row>
    <row r="351" spans="1:3">
      <c r="A351" s="50"/>
      <c r="C351" s="70"/>
    </row>
    <row r="352" spans="1:3">
      <c r="A352" s="50"/>
      <c r="C352" s="70"/>
    </row>
    <row r="353" spans="1:3">
      <c r="A353" s="50"/>
      <c r="C353" s="70"/>
    </row>
    <row r="354" spans="1:3">
      <c r="A354" s="50"/>
      <c r="C354" s="70"/>
    </row>
    <row r="355" spans="1:3">
      <c r="A355" s="50"/>
      <c r="C355" s="70"/>
    </row>
    <row r="356" spans="1:3">
      <c r="A356" s="50"/>
      <c r="C356" s="70"/>
    </row>
    <row r="357" spans="1:3">
      <c r="A357" s="50"/>
      <c r="C357" s="70"/>
    </row>
    <row r="358" spans="1:3">
      <c r="A358" s="50"/>
      <c r="C358" s="70"/>
    </row>
    <row r="359" spans="1:3">
      <c r="A359" s="50"/>
      <c r="C359" s="70"/>
    </row>
    <row r="360" spans="1:3">
      <c r="A360" s="50"/>
      <c r="C360" s="70"/>
    </row>
    <row r="361" spans="1:3">
      <c r="A361" s="50"/>
      <c r="C361" s="70"/>
    </row>
    <row r="362" spans="1:3">
      <c r="A362" s="50"/>
      <c r="C362" s="70"/>
    </row>
    <row r="363" spans="1:3">
      <c r="A363" s="50"/>
      <c r="C363" s="70"/>
    </row>
    <row r="364" spans="1:3">
      <c r="A364" s="50"/>
      <c r="C364" s="70"/>
    </row>
    <row r="365" spans="1:3">
      <c r="A365" s="50"/>
      <c r="C365" s="70"/>
    </row>
    <row r="366" spans="1:3">
      <c r="A366" s="50"/>
      <c r="C366" s="70"/>
    </row>
    <row r="367" spans="1:3">
      <c r="A367" s="50"/>
      <c r="C367" s="70"/>
    </row>
    <row r="368" spans="1:3">
      <c r="A368" s="50"/>
      <c r="C368" s="70"/>
    </row>
    <row r="369" spans="1:3">
      <c r="A369" s="50"/>
      <c r="C369" s="70"/>
    </row>
    <row r="370" spans="1:3">
      <c r="A370" s="50"/>
      <c r="C370" s="70"/>
    </row>
    <row r="371" spans="1:3">
      <c r="A371" s="50"/>
      <c r="C371" s="70"/>
    </row>
    <row r="372" spans="1:3">
      <c r="A372" s="50"/>
      <c r="C372" s="70"/>
    </row>
    <row r="373" spans="1:3">
      <c r="A373" s="50"/>
      <c r="C373" s="70"/>
    </row>
    <row r="374" spans="1:3">
      <c r="A374" s="50"/>
      <c r="C374" s="70"/>
    </row>
    <row r="375" spans="1:3">
      <c r="A375" s="50"/>
      <c r="C375" s="70"/>
    </row>
    <row r="376" spans="1:3">
      <c r="A376" s="50"/>
      <c r="C376" s="70"/>
    </row>
    <row r="377" spans="1:3">
      <c r="A377" s="50"/>
      <c r="C377" s="70"/>
    </row>
    <row r="378" spans="1:3">
      <c r="A378" s="50"/>
      <c r="C378" s="70"/>
    </row>
    <row r="379" spans="1:3">
      <c r="A379" s="50"/>
      <c r="C379" s="70"/>
    </row>
    <row r="380" spans="1:3">
      <c r="A380" s="50"/>
      <c r="C380" s="70"/>
    </row>
    <row r="381" spans="1:3">
      <c r="A381" s="50"/>
      <c r="C381" s="70"/>
    </row>
    <row r="382" spans="1:3">
      <c r="A382" s="50"/>
      <c r="C382" s="70"/>
    </row>
    <row r="383" spans="1:3">
      <c r="A383" s="50"/>
      <c r="C383" s="70"/>
    </row>
    <row r="384" spans="1:3">
      <c r="A384" s="50"/>
      <c r="C384" s="70"/>
    </row>
    <row r="385" spans="1:3">
      <c r="A385" s="50"/>
      <c r="C385" s="70"/>
    </row>
    <row r="386" spans="1:3">
      <c r="A386" s="50"/>
      <c r="C386" s="70"/>
    </row>
    <row r="387" spans="1:3">
      <c r="A387" s="50"/>
      <c r="C387" s="70"/>
    </row>
    <row r="388" spans="1:3">
      <c r="A388" s="50"/>
      <c r="C388" s="70"/>
    </row>
    <row r="389" spans="1:3">
      <c r="A389" s="50"/>
      <c r="C389" s="70"/>
    </row>
    <row r="390" spans="1:3">
      <c r="A390" s="50"/>
      <c r="C390" s="70"/>
    </row>
    <row r="391" spans="1:3">
      <c r="A391" s="50"/>
      <c r="C391" s="70"/>
    </row>
    <row r="392" spans="1:3">
      <c r="A392" s="50"/>
      <c r="C392" s="70"/>
    </row>
    <row r="393" spans="1:3">
      <c r="A393" s="50"/>
      <c r="C393" s="70"/>
    </row>
    <row r="394" spans="1:3">
      <c r="A394" s="50"/>
      <c r="C394" s="70"/>
    </row>
    <row r="395" spans="1:3">
      <c r="A395" s="50"/>
      <c r="C395" s="70"/>
    </row>
    <row r="396" spans="1:3">
      <c r="A396" s="50"/>
      <c r="C396" s="70"/>
    </row>
    <row r="397" spans="1:3">
      <c r="A397" s="50"/>
      <c r="C397" s="70"/>
    </row>
    <row r="398" spans="1:3">
      <c r="A398" s="50"/>
      <c r="C398" s="70"/>
    </row>
    <row r="399" spans="1:3">
      <c r="A399" s="50"/>
      <c r="C399" s="70"/>
    </row>
    <row r="400" spans="1:3">
      <c r="A400" s="50"/>
      <c r="C400" s="70"/>
    </row>
    <row r="401" spans="1:3">
      <c r="A401" s="50"/>
      <c r="C401" s="70"/>
    </row>
    <row r="402" spans="1:3">
      <c r="A402" s="50"/>
      <c r="C402" s="70"/>
    </row>
    <row r="403" spans="1:3">
      <c r="A403" s="50"/>
      <c r="C403" s="70"/>
    </row>
    <row r="404" spans="1:3">
      <c r="A404" s="50"/>
      <c r="C404" s="70"/>
    </row>
    <row r="405" spans="1:3">
      <c r="A405" s="50"/>
      <c r="C405" s="70"/>
    </row>
    <row r="406" spans="1:3">
      <c r="A406" s="50"/>
      <c r="C406" s="70"/>
    </row>
    <row r="407" spans="1:3">
      <c r="A407" s="50"/>
      <c r="C407" s="70"/>
    </row>
    <row r="408" spans="1:3">
      <c r="A408" s="50"/>
      <c r="C408" s="70"/>
    </row>
    <row r="409" spans="1:3">
      <c r="A409" s="50"/>
      <c r="C409" s="70"/>
    </row>
    <row r="410" spans="1:3">
      <c r="A410" s="50"/>
      <c r="C410" s="70"/>
    </row>
    <row r="411" spans="1:3">
      <c r="A411" s="50"/>
      <c r="C411" s="70"/>
    </row>
    <row r="412" spans="1:3">
      <c r="A412" s="50"/>
      <c r="C412" s="70"/>
    </row>
    <row r="413" spans="1:3">
      <c r="A413" s="50"/>
      <c r="C413" s="70"/>
    </row>
    <row r="414" spans="1:3">
      <c r="A414" s="50"/>
      <c r="C414" s="70"/>
    </row>
    <row r="415" spans="1:3">
      <c r="A415" s="50"/>
      <c r="C415" s="70"/>
    </row>
    <row r="416" spans="1:3">
      <c r="A416" s="50"/>
      <c r="C416" s="70"/>
    </row>
    <row r="417" spans="1:3">
      <c r="A417" s="50"/>
      <c r="C417" s="70"/>
    </row>
    <row r="418" spans="1:3">
      <c r="A418" s="50"/>
      <c r="C418" s="70"/>
    </row>
    <row r="419" spans="1:3">
      <c r="A419" s="50"/>
      <c r="C419" s="70"/>
    </row>
    <row r="420" spans="1:3">
      <c r="A420" s="50"/>
      <c r="C420" s="70"/>
    </row>
    <row r="421" spans="1:3">
      <c r="A421" s="50"/>
      <c r="C421" s="70"/>
    </row>
    <row r="422" spans="1:3">
      <c r="A422" s="50"/>
      <c r="C422" s="70"/>
    </row>
    <row r="423" spans="1:3">
      <c r="A423" s="50"/>
      <c r="C423" s="70"/>
    </row>
    <row r="424" spans="1:3">
      <c r="A424" s="50"/>
      <c r="C424" s="70"/>
    </row>
    <row r="425" spans="1:3">
      <c r="A425" s="50"/>
      <c r="C425" s="70"/>
    </row>
    <row r="426" spans="1:3">
      <c r="A426" s="50"/>
      <c r="C426" s="70"/>
    </row>
    <row r="427" spans="1:3">
      <c r="A427" s="50"/>
      <c r="C427" s="70"/>
    </row>
    <row r="428" spans="1:3">
      <c r="A428" s="50"/>
      <c r="C428" s="70"/>
    </row>
    <row r="429" spans="1:3">
      <c r="A429" s="50"/>
      <c r="C429" s="70"/>
    </row>
    <row r="430" spans="1:3">
      <c r="A430" s="50"/>
      <c r="C430" s="70"/>
    </row>
    <row r="431" spans="1:3">
      <c r="A431" s="50"/>
      <c r="C431" s="70"/>
    </row>
    <row r="432" spans="1:3">
      <c r="A432" s="50"/>
      <c r="C432" s="70"/>
    </row>
    <row r="433" spans="1:3">
      <c r="A433" s="50"/>
      <c r="C433" s="70"/>
    </row>
    <row r="434" spans="1:3">
      <c r="A434" s="50"/>
      <c r="C434" s="70"/>
    </row>
    <row r="435" spans="1:3">
      <c r="A435" s="50"/>
      <c r="C435" s="70"/>
    </row>
    <row r="436" spans="1:3">
      <c r="A436" s="50"/>
      <c r="C436" s="70"/>
    </row>
    <row r="437" spans="1:3">
      <c r="A437" s="50"/>
      <c r="C437" s="70"/>
    </row>
    <row r="438" spans="1:3">
      <c r="A438" s="50"/>
      <c r="C438" s="70"/>
    </row>
    <row r="439" spans="1:3">
      <c r="A439" s="50"/>
      <c r="C439" s="70"/>
    </row>
    <row r="440" spans="1:3">
      <c r="A440" s="50"/>
      <c r="C440" s="70"/>
    </row>
    <row r="441" spans="1:3">
      <c r="A441" s="50"/>
      <c r="C441" s="70"/>
    </row>
    <row r="442" spans="1:3">
      <c r="A442" s="50"/>
      <c r="C442" s="70"/>
    </row>
    <row r="443" spans="1:3">
      <c r="A443" s="50"/>
      <c r="C443" s="70"/>
    </row>
    <row r="444" spans="1:3">
      <c r="A444" s="50"/>
      <c r="C444" s="70"/>
    </row>
    <row r="445" spans="1:3">
      <c r="A445" s="50"/>
      <c r="C445" s="70"/>
    </row>
    <row r="446" spans="1:3">
      <c r="A446" s="50"/>
      <c r="C446" s="70"/>
    </row>
    <row r="447" spans="1:3">
      <c r="A447" s="50"/>
      <c r="C447" s="70"/>
    </row>
    <row r="448" spans="1:3">
      <c r="A448" s="50"/>
      <c r="C448" s="70"/>
    </row>
    <row r="449" spans="1:3">
      <c r="A449" s="50"/>
      <c r="C449" s="70"/>
    </row>
    <row r="450" spans="1:3">
      <c r="A450" s="50"/>
      <c r="C450" s="70"/>
    </row>
    <row r="451" spans="1:3">
      <c r="A451" s="50"/>
      <c r="C451" s="70"/>
    </row>
    <row r="452" spans="1:3">
      <c r="A452" s="50"/>
      <c r="C452" s="70"/>
    </row>
    <row r="453" spans="1:3">
      <c r="A453" s="50"/>
      <c r="C453" s="70"/>
    </row>
    <row r="454" spans="1:3">
      <c r="A454" s="50"/>
      <c r="C454" s="70"/>
    </row>
    <row r="455" spans="1:3">
      <c r="A455" s="50"/>
      <c r="C455" s="70"/>
    </row>
    <row r="456" spans="1:3">
      <c r="A456" s="50"/>
      <c r="C456" s="70"/>
    </row>
    <row r="457" spans="1:3">
      <c r="A457" s="50"/>
      <c r="C457" s="70"/>
    </row>
    <row r="458" spans="1:3">
      <c r="A458" s="50"/>
      <c r="C458" s="70"/>
    </row>
    <row r="459" spans="1:3">
      <c r="A459" s="50"/>
      <c r="C459" s="70"/>
    </row>
    <row r="460" spans="1:3">
      <c r="A460" s="50"/>
      <c r="C460" s="70"/>
    </row>
    <row r="461" spans="1:3">
      <c r="A461" s="50"/>
      <c r="C461" s="70"/>
    </row>
    <row r="462" spans="1:3">
      <c r="A462" s="50"/>
      <c r="C462" s="70"/>
    </row>
    <row r="463" spans="1:3">
      <c r="A463" s="50"/>
      <c r="C463" s="70"/>
    </row>
    <row r="464" spans="1:3">
      <c r="A464" s="50"/>
      <c r="C464" s="70"/>
    </row>
    <row r="465" spans="1:3">
      <c r="A465" s="50"/>
      <c r="C465" s="70"/>
    </row>
    <row r="466" spans="1:3">
      <c r="A466" s="50"/>
      <c r="C466" s="70"/>
    </row>
    <row r="467" spans="1:3">
      <c r="A467" s="50"/>
      <c r="C467" s="70"/>
    </row>
    <row r="468" spans="1:3">
      <c r="A468" s="50"/>
      <c r="C468" s="70"/>
    </row>
    <row r="469" spans="1:3">
      <c r="A469" s="50"/>
      <c r="C469" s="70"/>
    </row>
    <row r="470" spans="1:3">
      <c r="A470" s="50"/>
      <c r="C470" s="70"/>
    </row>
    <row r="471" spans="1:3">
      <c r="A471" s="50"/>
      <c r="C471" s="70"/>
    </row>
    <row r="472" spans="1:3">
      <c r="A472" s="50"/>
      <c r="C472" s="70"/>
    </row>
    <row r="473" spans="1:3">
      <c r="A473" s="50"/>
      <c r="C473" s="70"/>
    </row>
    <row r="474" spans="1:3">
      <c r="A474" s="50"/>
      <c r="C474" s="70"/>
    </row>
    <row r="475" spans="1:3">
      <c r="A475" s="50"/>
      <c r="C475" s="70"/>
    </row>
    <row r="476" spans="1:3">
      <c r="A476" s="50"/>
      <c r="C476" s="70"/>
    </row>
    <row r="477" spans="1:3">
      <c r="A477" s="50"/>
      <c r="C477" s="70"/>
    </row>
    <row r="478" spans="1:3">
      <c r="A478" s="50"/>
      <c r="C478" s="70"/>
    </row>
    <row r="479" spans="1:3">
      <c r="A479" s="50"/>
      <c r="C479" s="70"/>
    </row>
    <row r="480" spans="1:3">
      <c r="A480" s="50"/>
      <c r="C480" s="70"/>
    </row>
    <row r="481" spans="1:3">
      <c r="A481" s="50"/>
      <c r="C481" s="70"/>
    </row>
    <row r="482" spans="1:3">
      <c r="A482" s="50"/>
      <c r="C482" s="70"/>
    </row>
    <row r="483" spans="1:3">
      <c r="A483" s="50"/>
      <c r="C483" s="70"/>
    </row>
    <row r="484" spans="1:3">
      <c r="A484" s="50"/>
      <c r="C484" s="70"/>
    </row>
    <row r="485" spans="1:3">
      <c r="A485" s="50"/>
      <c r="C485" s="70"/>
    </row>
    <row r="486" spans="1:3">
      <c r="A486" s="50"/>
      <c r="C486" s="70"/>
    </row>
    <row r="487" spans="1:3">
      <c r="A487" s="50"/>
      <c r="C487" s="70"/>
    </row>
    <row r="488" spans="1:3">
      <c r="A488" s="50"/>
      <c r="C488" s="70"/>
    </row>
    <row r="489" spans="1:3">
      <c r="A489" s="50"/>
      <c r="C489" s="70"/>
    </row>
    <row r="490" spans="1:3">
      <c r="A490" s="50"/>
      <c r="C490" s="70"/>
    </row>
    <row r="491" spans="1:3">
      <c r="A491" s="50"/>
      <c r="C491" s="70"/>
    </row>
    <row r="492" spans="1:3">
      <c r="A492" s="50"/>
      <c r="C492" s="70"/>
    </row>
    <row r="493" spans="1:3">
      <c r="A493" s="50"/>
      <c r="C493" s="70"/>
    </row>
    <row r="494" spans="1:3">
      <c r="A494" s="50"/>
      <c r="C494" s="70"/>
    </row>
    <row r="495" spans="1:3">
      <c r="A495" s="50"/>
      <c r="C495" s="70"/>
    </row>
    <row r="496" spans="1:3">
      <c r="A496" s="50"/>
      <c r="C496" s="70"/>
    </row>
    <row r="497" spans="1:3">
      <c r="A497" s="50"/>
      <c r="C497" s="70"/>
    </row>
    <row r="498" spans="1:3">
      <c r="A498" s="50"/>
      <c r="C498" s="70"/>
    </row>
    <row r="499" spans="1:3">
      <c r="A499" s="50"/>
      <c r="C499" s="70"/>
    </row>
    <row r="500" spans="1:3">
      <c r="A500" s="50"/>
      <c r="C500" s="70"/>
    </row>
    <row r="501" spans="1:3">
      <c r="A501" s="50"/>
      <c r="C501" s="70"/>
    </row>
    <row r="502" spans="1:3">
      <c r="A502" s="50"/>
      <c r="C502" s="70"/>
    </row>
    <row r="503" spans="1:3">
      <c r="A503" s="50"/>
      <c r="C503" s="70"/>
    </row>
    <row r="504" spans="1:3">
      <c r="A504" s="50"/>
      <c r="C504" s="70"/>
    </row>
    <row r="505" spans="1:3">
      <c r="A505" s="50"/>
      <c r="C505" s="70"/>
    </row>
    <row r="506" spans="1:3">
      <c r="A506" s="50"/>
      <c r="C506" s="70"/>
    </row>
    <row r="507" spans="1:3">
      <c r="A507" s="50"/>
      <c r="C507" s="70"/>
    </row>
    <row r="508" spans="1:3">
      <c r="A508" s="50"/>
      <c r="C508" s="70"/>
    </row>
    <row r="509" spans="1:3">
      <c r="A509" s="50"/>
      <c r="C509" s="70"/>
    </row>
    <row r="510" spans="1:3">
      <c r="A510" s="50"/>
      <c r="C510" s="70"/>
    </row>
    <row r="511" spans="1:3">
      <c r="A511" s="50"/>
      <c r="C511" s="70"/>
    </row>
    <row r="512" spans="1:3">
      <c r="A512" s="50"/>
      <c r="C512" s="70"/>
    </row>
    <row r="513" spans="1:3">
      <c r="A513" s="50"/>
      <c r="C513" s="70"/>
    </row>
    <row r="514" spans="1:3">
      <c r="A514" s="50"/>
      <c r="C514" s="70"/>
    </row>
    <row r="515" spans="1:3">
      <c r="A515" s="50"/>
      <c r="C515" s="70"/>
    </row>
    <row r="516" spans="1:3">
      <c r="A516" s="50"/>
      <c r="C516" s="70"/>
    </row>
    <row r="517" spans="1:3">
      <c r="A517" s="50"/>
      <c r="C517" s="70"/>
    </row>
    <row r="518" spans="1:3">
      <c r="A518" s="50"/>
      <c r="C518" s="70"/>
    </row>
    <row r="519" spans="1:3">
      <c r="A519" s="50"/>
      <c r="C519" s="70"/>
    </row>
    <row r="520" spans="1:3">
      <c r="A520" s="50"/>
      <c r="C520" s="70"/>
    </row>
    <row r="521" spans="1:3">
      <c r="A521" s="50"/>
      <c r="C521" s="70"/>
    </row>
    <row r="522" spans="1:3">
      <c r="A522" s="50"/>
      <c r="C522" s="70"/>
    </row>
    <row r="523" spans="1:3">
      <c r="A523" s="50"/>
      <c r="C523" s="70"/>
    </row>
    <row r="524" spans="1:3">
      <c r="A524" s="50"/>
      <c r="C524" s="70"/>
    </row>
    <row r="525" spans="1:3">
      <c r="A525" s="50"/>
      <c r="C525" s="70"/>
    </row>
    <row r="526" spans="1:3">
      <c r="A526" s="50"/>
      <c r="C526" s="70"/>
    </row>
    <row r="527" spans="1:3">
      <c r="A527" s="50"/>
      <c r="C527" s="70"/>
    </row>
    <row r="528" spans="1:3">
      <c r="A528" s="50"/>
      <c r="C528" s="70"/>
    </row>
    <row r="529" spans="1:3">
      <c r="A529" s="50"/>
      <c r="C529" s="70"/>
    </row>
    <row r="530" spans="1:3">
      <c r="A530" s="50"/>
      <c r="C530" s="70"/>
    </row>
    <row r="531" spans="1:3">
      <c r="A531" s="50"/>
      <c r="C531" s="70"/>
    </row>
    <row r="532" spans="1:3">
      <c r="A532" s="50"/>
      <c r="C532" s="70"/>
    </row>
    <row r="533" spans="1:3">
      <c r="C533" s="70"/>
    </row>
    <row r="534" spans="1:3">
      <c r="C534" s="70"/>
    </row>
    <row r="535" spans="1:3">
      <c r="C535" s="70"/>
    </row>
    <row r="536" spans="1:3">
      <c r="C536" s="70"/>
    </row>
    <row r="537" spans="1:3">
      <c r="C537" s="70"/>
    </row>
    <row r="538" spans="1:3">
      <c r="C538" s="70"/>
    </row>
    <row r="539" spans="1:3">
      <c r="C539" s="70"/>
    </row>
    <row r="540" spans="1:3">
      <c r="C540" s="70"/>
    </row>
    <row r="541" spans="1:3">
      <c r="C541" s="70"/>
    </row>
    <row r="542" spans="1:3">
      <c r="C542" s="70"/>
    </row>
    <row r="543" spans="1:3">
      <c r="C543" s="70"/>
    </row>
    <row r="544" spans="1:3">
      <c r="C544" s="70"/>
    </row>
    <row r="545" spans="3:3">
      <c r="C545" s="70"/>
    </row>
    <row r="546" spans="3:3">
      <c r="C546" s="70"/>
    </row>
    <row r="547" spans="3:3">
      <c r="C547" s="70"/>
    </row>
    <row r="548" spans="3:3">
      <c r="C548" s="70"/>
    </row>
    <row r="549" spans="3:3">
      <c r="C549" s="70"/>
    </row>
    <row r="550" spans="3:3">
      <c r="C550" s="70"/>
    </row>
    <row r="551" spans="3:3">
      <c r="C551" s="70"/>
    </row>
    <row r="552" spans="3:3">
      <c r="C552" s="70"/>
    </row>
    <row r="553" spans="3:3">
      <c r="C553" s="70"/>
    </row>
    <row r="554" spans="3:3">
      <c r="C554" s="70"/>
    </row>
    <row r="555" spans="3:3">
      <c r="C555" s="70"/>
    </row>
    <row r="556" spans="3:3">
      <c r="C556" s="70"/>
    </row>
    <row r="557" spans="3:3">
      <c r="C557" s="70"/>
    </row>
    <row r="558" spans="3:3">
      <c r="C558" s="70"/>
    </row>
    <row r="559" spans="3:3">
      <c r="C559" s="70"/>
    </row>
    <row r="560" spans="3:3">
      <c r="C560" s="70"/>
    </row>
    <row r="561" spans="3:3">
      <c r="C561" s="70"/>
    </row>
    <row r="562" spans="3:3">
      <c r="C562" s="70"/>
    </row>
    <row r="563" spans="3:3">
      <c r="C563" s="70"/>
    </row>
    <row r="564" spans="3:3">
      <c r="C564" s="70"/>
    </row>
    <row r="565" spans="3:3">
      <c r="C565" s="70"/>
    </row>
    <row r="566" spans="3:3">
      <c r="C566" s="70"/>
    </row>
    <row r="567" spans="3:3">
      <c r="C567" s="70"/>
    </row>
    <row r="568" spans="3:3">
      <c r="C568" s="70"/>
    </row>
    <row r="569" spans="3:3">
      <c r="C569" s="70"/>
    </row>
    <row r="570" spans="3:3">
      <c r="C570" s="70"/>
    </row>
    <row r="571" spans="3:3">
      <c r="C571" s="70"/>
    </row>
    <row r="572" spans="3:3">
      <c r="C572" s="70"/>
    </row>
    <row r="573" spans="3:3">
      <c r="C573" s="70"/>
    </row>
    <row r="574" spans="3:3">
      <c r="C574" s="70"/>
    </row>
    <row r="575" spans="3:3">
      <c r="C575" s="70"/>
    </row>
    <row r="576" spans="3:3">
      <c r="C576" s="70"/>
    </row>
    <row r="577" spans="3:3">
      <c r="C577" s="70"/>
    </row>
    <row r="578" spans="3:3">
      <c r="C578" s="70"/>
    </row>
    <row r="579" spans="3:3">
      <c r="C579" s="70"/>
    </row>
    <row r="580" spans="3:3">
      <c r="C580" s="70"/>
    </row>
    <row r="581" spans="3:3">
      <c r="C581" s="70"/>
    </row>
    <row r="582" spans="3:3">
      <c r="C582" s="70"/>
    </row>
    <row r="583" spans="3:3">
      <c r="C583" s="70"/>
    </row>
    <row r="584" spans="3:3">
      <c r="C584" s="70"/>
    </row>
    <row r="585" spans="3:3">
      <c r="C585" s="70"/>
    </row>
    <row r="586" spans="3:3">
      <c r="C586" s="70"/>
    </row>
    <row r="587" spans="3:3">
      <c r="C587" s="70"/>
    </row>
    <row r="588" spans="3:3">
      <c r="C588" s="70"/>
    </row>
    <row r="589" spans="3:3">
      <c r="C589" s="70"/>
    </row>
    <row r="590" spans="3:3">
      <c r="C590" s="70"/>
    </row>
    <row r="591" spans="3:3">
      <c r="C591" s="70"/>
    </row>
    <row r="592" spans="3:3">
      <c r="C592" s="70"/>
    </row>
    <row r="593" spans="3:3">
      <c r="C593" s="70"/>
    </row>
    <row r="594" spans="3:3">
      <c r="C594" s="70"/>
    </row>
    <row r="595" spans="3:3">
      <c r="C595" s="70"/>
    </row>
    <row r="596" spans="3:3">
      <c r="C596" s="70"/>
    </row>
    <row r="597" spans="3:3">
      <c r="C597" s="70"/>
    </row>
    <row r="598" spans="3:3">
      <c r="C598" s="70"/>
    </row>
    <row r="599" spans="3:3">
      <c r="C599" s="70"/>
    </row>
    <row r="600" spans="3:3">
      <c r="C600" s="70"/>
    </row>
    <row r="601" spans="3:3">
      <c r="C601" s="70"/>
    </row>
    <row r="602" spans="3:3">
      <c r="C602" s="70"/>
    </row>
    <row r="603" spans="3:3">
      <c r="C603" s="70"/>
    </row>
    <row r="604" spans="3:3">
      <c r="C604" s="70"/>
    </row>
    <row r="605" spans="3:3">
      <c r="C605" s="70"/>
    </row>
    <row r="606" spans="3:3">
      <c r="C606" s="70"/>
    </row>
    <row r="607" spans="3:3">
      <c r="C607" s="70"/>
    </row>
    <row r="608" spans="3:3">
      <c r="C608" s="70"/>
    </row>
    <row r="609" spans="3:3">
      <c r="C609" s="70"/>
    </row>
    <row r="610" spans="3:3">
      <c r="C610" s="70"/>
    </row>
    <row r="611" spans="3:3">
      <c r="C611" s="70"/>
    </row>
    <row r="612" spans="3:3">
      <c r="C612" s="70"/>
    </row>
    <row r="613" spans="3:3">
      <c r="C613" s="70"/>
    </row>
    <row r="614" spans="3:3">
      <c r="C614" s="70"/>
    </row>
    <row r="615" spans="3:3">
      <c r="C615" s="70"/>
    </row>
    <row r="616" spans="3:3">
      <c r="C616" s="70"/>
    </row>
    <row r="617" spans="3:3">
      <c r="C617" s="70"/>
    </row>
    <row r="618" spans="3:3">
      <c r="C618" s="70"/>
    </row>
    <row r="619" spans="3:3">
      <c r="C619" s="70"/>
    </row>
    <row r="620" spans="3:3">
      <c r="C620" s="70"/>
    </row>
    <row r="621" spans="3:3">
      <c r="C621" s="70"/>
    </row>
    <row r="622" spans="3:3">
      <c r="C622" s="70"/>
    </row>
    <row r="623" spans="3:3">
      <c r="C623" s="70"/>
    </row>
    <row r="624" spans="3:3">
      <c r="C624" s="70"/>
    </row>
    <row r="625" spans="3:3">
      <c r="C625" s="70"/>
    </row>
    <row r="626" spans="3:3">
      <c r="C626" s="70"/>
    </row>
    <row r="627" spans="3:3">
      <c r="C627" s="70"/>
    </row>
    <row r="628" spans="3:3">
      <c r="C628" s="70"/>
    </row>
    <row r="629" spans="3:3">
      <c r="C629" s="70"/>
    </row>
    <row r="630" spans="3:3">
      <c r="C630" s="70"/>
    </row>
    <row r="631" spans="3:3">
      <c r="C631" s="70"/>
    </row>
    <row r="632" spans="3:3">
      <c r="C632" s="70"/>
    </row>
    <row r="633" spans="3:3">
      <c r="C633" s="70"/>
    </row>
    <row r="634" spans="3:3">
      <c r="C634" s="70"/>
    </row>
    <row r="635" spans="3:3">
      <c r="C635" s="70"/>
    </row>
    <row r="636" spans="3:3">
      <c r="C636" s="70"/>
    </row>
    <row r="637" spans="3:3">
      <c r="C637" s="70"/>
    </row>
    <row r="638" spans="3:3">
      <c r="C638" s="70"/>
    </row>
    <row r="639" spans="3:3">
      <c r="C639" s="70"/>
    </row>
    <row r="640" spans="3:3">
      <c r="C640" s="70"/>
    </row>
    <row r="641" spans="3:3">
      <c r="C641" s="70"/>
    </row>
    <row r="642" spans="3:3">
      <c r="C642" s="70"/>
    </row>
    <row r="643" spans="3:3">
      <c r="C643" s="70"/>
    </row>
    <row r="644" spans="3:3">
      <c r="C644" s="70"/>
    </row>
    <row r="645" spans="3:3">
      <c r="C645" s="70"/>
    </row>
    <row r="646" spans="3:3">
      <c r="C646" s="70"/>
    </row>
    <row r="647" spans="3:3">
      <c r="C647" s="70"/>
    </row>
    <row r="648" spans="3:3">
      <c r="C648" s="70"/>
    </row>
    <row r="649" spans="3:3">
      <c r="C649" s="70"/>
    </row>
    <row r="650" spans="3:3">
      <c r="C650" s="70"/>
    </row>
    <row r="651" spans="3:3">
      <c r="C651" s="70"/>
    </row>
    <row r="652" spans="3:3">
      <c r="C652" s="70"/>
    </row>
    <row r="653" spans="3:3">
      <c r="C653" s="70"/>
    </row>
    <row r="654" spans="3:3">
      <c r="C654" s="70"/>
    </row>
    <row r="655" spans="3:3">
      <c r="C655" s="70"/>
    </row>
    <row r="656" spans="3:3">
      <c r="C656" s="70"/>
    </row>
    <row r="657" spans="3:3">
      <c r="C657" s="70"/>
    </row>
    <row r="658" spans="3:3">
      <c r="C658" s="70"/>
    </row>
    <row r="659" spans="3:3">
      <c r="C659" s="70"/>
    </row>
    <row r="660" spans="3:3">
      <c r="C660" s="70"/>
    </row>
    <row r="661" spans="3:3">
      <c r="C661" s="70"/>
    </row>
    <row r="662" spans="3:3">
      <c r="C662" s="70"/>
    </row>
    <row r="663" spans="3:3">
      <c r="C663" s="70"/>
    </row>
    <row r="664" spans="3:3">
      <c r="C664" s="70"/>
    </row>
    <row r="665" spans="3:3">
      <c r="C665" s="70"/>
    </row>
    <row r="666" spans="3:3">
      <c r="C666" s="70"/>
    </row>
    <row r="667" spans="3:3">
      <c r="C667" s="70"/>
    </row>
    <row r="668" spans="3:3">
      <c r="C668" s="70"/>
    </row>
    <row r="669" spans="3:3">
      <c r="C669" s="70"/>
    </row>
    <row r="670" spans="3:3">
      <c r="C670" s="70"/>
    </row>
    <row r="671" spans="3:3">
      <c r="C671" s="70"/>
    </row>
    <row r="672" spans="3:3">
      <c r="C672" s="70"/>
    </row>
    <row r="673" spans="3:3">
      <c r="C673" s="70"/>
    </row>
    <row r="674" spans="3:3">
      <c r="C674" s="70"/>
    </row>
    <row r="675" spans="3:3">
      <c r="C675" s="70"/>
    </row>
    <row r="676" spans="3:3">
      <c r="C676" s="70"/>
    </row>
    <row r="677" spans="3:3">
      <c r="C677" s="70"/>
    </row>
    <row r="678" spans="3:3">
      <c r="C678" s="70"/>
    </row>
    <row r="679" spans="3:3">
      <c r="C679" s="70"/>
    </row>
    <row r="680" spans="3:3">
      <c r="C680" s="70"/>
    </row>
    <row r="681" spans="3:3">
      <c r="C681" s="70"/>
    </row>
    <row r="682" spans="3:3">
      <c r="C682" s="70"/>
    </row>
    <row r="683" spans="3:3">
      <c r="C683" s="70"/>
    </row>
    <row r="684" spans="3:3">
      <c r="C684" s="70"/>
    </row>
    <row r="685" spans="3:3">
      <c r="C685" s="70"/>
    </row>
    <row r="686" spans="3:3">
      <c r="C686" s="70"/>
    </row>
    <row r="687" spans="3:3">
      <c r="C687" s="70"/>
    </row>
    <row r="688" spans="3:3">
      <c r="C688" s="70"/>
    </row>
    <row r="689" spans="3:3">
      <c r="C689" s="70"/>
    </row>
    <row r="690" spans="3:3">
      <c r="C690" s="70"/>
    </row>
    <row r="691" spans="3:3">
      <c r="C691" s="70"/>
    </row>
    <row r="692" spans="3:3">
      <c r="C692" s="70"/>
    </row>
    <row r="693" spans="3:3">
      <c r="C693" s="70"/>
    </row>
    <row r="694" spans="3:3">
      <c r="C694" s="70"/>
    </row>
    <row r="695" spans="3:3">
      <c r="C695" s="70"/>
    </row>
    <row r="696" spans="3:3">
      <c r="C696" s="70"/>
    </row>
    <row r="697" spans="3:3">
      <c r="C697" s="70"/>
    </row>
    <row r="698" spans="3:3">
      <c r="C698" s="70"/>
    </row>
    <row r="699" spans="3:3">
      <c r="C699" s="70"/>
    </row>
    <row r="700" spans="3:3">
      <c r="C700" s="70"/>
    </row>
    <row r="701" spans="3:3">
      <c r="C701" s="70"/>
    </row>
    <row r="702" spans="3:3">
      <c r="C702" s="70"/>
    </row>
    <row r="703" spans="3:3">
      <c r="C703" s="70"/>
    </row>
    <row r="704" spans="3:3">
      <c r="C704" s="70"/>
    </row>
    <row r="705" spans="3:3">
      <c r="C705" s="70"/>
    </row>
    <row r="706" spans="3:3">
      <c r="C706" s="70"/>
    </row>
    <row r="707" spans="3:3">
      <c r="C707" s="70"/>
    </row>
    <row r="708" spans="3:3">
      <c r="C708" s="70"/>
    </row>
    <row r="709" spans="3:3">
      <c r="C709" s="70"/>
    </row>
    <row r="710" spans="3:3">
      <c r="C710" s="70"/>
    </row>
    <row r="711" spans="3:3">
      <c r="C711" s="70"/>
    </row>
    <row r="712" spans="3:3">
      <c r="C712" s="70"/>
    </row>
    <row r="713" spans="3:3">
      <c r="C713" s="70"/>
    </row>
    <row r="714" spans="3:3">
      <c r="C714" s="70"/>
    </row>
    <row r="715" spans="3:3">
      <c r="C715" s="70"/>
    </row>
    <row r="716" spans="3:3">
      <c r="C716" s="70"/>
    </row>
    <row r="717" spans="3:3">
      <c r="C717" s="70"/>
    </row>
    <row r="718" spans="3:3">
      <c r="C718" s="70"/>
    </row>
    <row r="719" spans="3:3">
      <c r="C719" s="70"/>
    </row>
    <row r="720" spans="3:3">
      <c r="C720" s="70"/>
    </row>
    <row r="721" spans="3:3">
      <c r="C721" s="70"/>
    </row>
    <row r="722" spans="3:3">
      <c r="C722" s="70"/>
    </row>
    <row r="723" spans="3:3">
      <c r="C723" s="70"/>
    </row>
    <row r="724" spans="3:3">
      <c r="C724" s="70"/>
    </row>
    <row r="725" spans="3:3">
      <c r="C725" s="70"/>
    </row>
    <row r="726" spans="3:3">
      <c r="C726" s="70"/>
    </row>
    <row r="727" spans="3:3">
      <c r="C727" s="70"/>
    </row>
    <row r="728" spans="3:3">
      <c r="C728" s="70"/>
    </row>
    <row r="729" spans="3:3">
      <c r="C729" s="70"/>
    </row>
    <row r="730" spans="3:3">
      <c r="C730" s="70"/>
    </row>
    <row r="731" spans="3:3">
      <c r="C731" s="70"/>
    </row>
    <row r="732" spans="3:3">
      <c r="C732" s="70"/>
    </row>
    <row r="733" spans="3:3">
      <c r="C733" s="70"/>
    </row>
    <row r="734" spans="3:3">
      <c r="C734" s="70"/>
    </row>
    <row r="735" spans="3:3">
      <c r="C735" s="70"/>
    </row>
    <row r="736" spans="3:3">
      <c r="C736" s="70"/>
    </row>
    <row r="737" spans="3:3">
      <c r="C737" s="70"/>
    </row>
    <row r="738" spans="3:3">
      <c r="C738" s="70"/>
    </row>
    <row r="739" spans="3:3">
      <c r="C739" s="70"/>
    </row>
    <row r="740" spans="3:3">
      <c r="C740" s="70"/>
    </row>
    <row r="741" spans="3:3">
      <c r="C741" s="70"/>
    </row>
    <row r="742" spans="3:3">
      <c r="C742" s="70"/>
    </row>
    <row r="743" spans="3:3">
      <c r="C743" s="70"/>
    </row>
    <row r="744" spans="3:3">
      <c r="C744" s="70"/>
    </row>
    <row r="745" spans="3:3">
      <c r="C745" s="70"/>
    </row>
    <row r="746" spans="3:3">
      <c r="C746" s="70"/>
    </row>
    <row r="747" spans="3:3">
      <c r="C747" s="70"/>
    </row>
    <row r="748" spans="3:3">
      <c r="C748" s="70"/>
    </row>
    <row r="749" spans="3:3">
      <c r="C749" s="70"/>
    </row>
    <row r="750" spans="3:3">
      <c r="C750" s="70"/>
    </row>
    <row r="751" spans="3:3">
      <c r="C751" s="70"/>
    </row>
    <row r="752" spans="3:3">
      <c r="C752" s="70"/>
    </row>
    <row r="753" spans="3:3">
      <c r="C753" s="70"/>
    </row>
    <row r="754" spans="3:3">
      <c r="C754" s="70"/>
    </row>
    <row r="755" spans="3:3">
      <c r="C755" s="70"/>
    </row>
    <row r="756" spans="3:3">
      <c r="C756" s="70"/>
    </row>
    <row r="757" spans="3:3">
      <c r="C757" s="70"/>
    </row>
    <row r="758" spans="3:3">
      <c r="C758" s="70"/>
    </row>
    <row r="759" spans="3:3">
      <c r="C759" s="70"/>
    </row>
    <row r="760" spans="3:3">
      <c r="C760" s="70"/>
    </row>
    <row r="761" spans="3:3">
      <c r="C761" s="70"/>
    </row>
    <row r="762" spans="3:3">
      <c r="C762" s="70"/>
    </row>
    <row r="763" spans="3:3">
      <c r="C763" s="70"/>
    </row>
    <row r="764" spans="3:3">
      <c r="C764" s="70"/>
    </row>
    <row r="765" spans="3:3">
      <c r="C765" s="70"/>
    </row>
    <row r="766" spans="3:3">
      <c r="C766" s="70"/>
    </row>
    <row r="767" spans="3:3">
      <c r="C767" s="70"/>
    </row>
    <row r="768" spans="3:3">
      <c r="C768" s="70"/>
    </row>
    <row r="769" spans="3:3">
      <c r="C769" s="70"/>
    </row>
    <row r="770" spans="3:3">
      <c r="C770" s="70"/>
    </row>
    <row r="771" spans="3:3">
      <c r="C771" s="70"/>
    </row>
    <row r="772" spans="3:3">
      <c r="C772" s="70"/>
    </row>
    <row r="773" spans="3:3">
      <c r="C773" s="70"/>
    </row>
    <row r="774" spans="3:3">
      <c r="C774" s="70"/>
    </row>
    <row r="775" spans="3:3">
      <c r="C775" s="70"/>
    </row>
    <row r="776" spans="3:3">
      <c r="C776" s="70"/>
    </row>
    <row r="777" spans="3:3">
      <c r="C777" s="70"/>
    </row>
    <row r="778" spans="3:3">
      <c r="C778" s="70"/>
    </row>
    <row r="779" spans="3:3">
      <c r="C779" s="70"/>
    </row>
    <row r="780" spans="3:3">
      <c r="C780" s="70"/>
    </row>
    <row r="781" spans="3:3">
      <c r="C781" s="70"/>
    </row>
    <row r="782" spans="3:3">
      <c r="C782" s="70"/>
    </row>
    <row r="783" spans="3:3">
      <c r="C783" s="70"/>
    </row>
    <row r="784" spans="3:3">
      <c r="C784" s="70"/>
    </row>
    <row r="785" spans="3:3">
      <c r="C785" s="70"/>
    </row>
    <row r="786" spans="3:3">
      <c r="C786" s="70"/>
    </row>
    <row r="787" spans="3:3">
      <c r="C787" s="70"/>
    </row>
    <row r="788" spans="3:3">
      <c r="C788" s="70"/>
    </row>
    <row r="789" spans="3:3">
      <c r="C789" s="70"/>
    </row>
    <row r="790" spans="3:3">
      <c r="C790" s="70"/>
    </row>
    <row r="791" spans="3:3">
      <c r="C791" s="70"/>
    </row>
    <row r="792" spans="3:3">
      <c r="C792" s="70"/>
    </row>
    <row r="793" spans="3:3">
      <c r="C793" s="70"/>
    </row>
    <row r="794" spans="3:3">
      <c r="C794" s="70"/>
    </row>
    <row r="795" spans="3:3">
      <c r="C795" s="70"/>
    </row>
    <row r="796" spans="3:3">
      <c r="C796" s="70"/>
    </row>
    <row r="797" spans="3:3">
      <c r="C797" s="70"/>
    </row>
    <row r="798" spans="3:3">
      <c r="C798" s="70"/>
    </row>
    <row r="799" spans="3:3">
      <c r="C799" s="70"/>
    </row>
    <row r="800" spans="3:3">
      <c r="C800" s="70"/>
    </row>
    <row r="801" spans="3:3">
      <c r="C801" s="70"/>
    </row>
    <row r="802" spans="3:3">
      <c r="C802" s="70"/>
    </row>
    <row r="803" spans="3:3">
      <c r="C803" s="70"/>
    </row>
    <row r="804" spans="3:3">
      <c r="C804" s="70"/>
    </row>
    <row r="805" spans="3:3">
      <c r="C805" s="70"/>
    </row>
    <row r="806" spans="3:3">
      <c r="C806" s="70"/>
    </row>
    <row r="807" spans="3:3">
      <c r="C807" s="70"/>
    </row>
    <row r="808" spans="3:3">
      <c r="C808" s="70"/>
    </row>
    <row r="809" spans="3:3">
      <c r="C809" s="70"/>
    </row>
    <row r="810" spans="3:3">
      <c r="C810" s="70"/>
    </row>
    <row r="811" spans="3:3">
      <c r="C811" s="70"/>
    </row>
    <row r="812" spans="3:3">
      <c r="C812" s="70"/>
    </row>
    <row r="813" spans="3:3">
      <c r="C813" s="70"/>
    </row>
    <row r="814" spans="3:3">
      <c r="C814" s="70"/>
    </row>
    <row r="815" spans="3:3">
      <c r="C815" s="70"/>
    </row>
    <row r="816" spans="3:3">
      <c r="C816" s="70"/>
    </row>
    <row r="817" spans="3:3">
      <c r="C817" s="70"/>
    </row>
    <row r="818" spans="3:3">
      <c r="C818" s="70"/>
    </row>
    <row r="819" spans="3:3">
      <c r="C819" s="70"/>
    </row>
    <row r="820" spans="3:3">
      <c r="C820" s="70"/>
    </row>
    <row r="821" spans="3:3">
      <c r="C821" s="70"/>
    </row>
    <row r="822" spans="3:3">
      <c r="C822" s="70"/>
    </row>
    <row r="823" spans="3:3">
      <c r="C823" s="70"/>
    </row>
    <row r="824" spans="3:3">
      <c r="C824" s="70"/>
    </row>
    <row r="825" spans="3:3">
      <c r="C825" s="70"/>
    </row>
    <row r="826" spans="3:3">
      <c r="C826" s="70"/>
    </row>
    <row r="827" spans="3:3">
      <c r="C827" s="70"/>
    </row>
    <row r="828" spans="3:3">
      <c r="C828" s="70"/>
    </row>
    <row r="829" spans="3:3">
      <c r="C829" s="70"/>
    </row>
    <row r="830" spans="3:3">
      <c r="C830" s="70"/>
    </row>
    <row r="831" spans="3:3">
      <c r="C831" s="70"/>
    </row>
    <row r="832" spans="3:3">
      <c r="C832" s="70"/>
    </row>
    <row r="833" spans="3:3">
      <c r="C833" s="70"/>
    </row>
    <row r="834" spans="3:3">
      <c r="C834" s="70"/>
    </row>
    <row r="835" spans="3:3">
      <c r="C835" s="70"/>
    </row>
    <row r="836" spans="3:3">
      <c r="C836" s="70"/>
    </row>
    <row r="837" spans="3:3">
      <c r="C837" s="70"/>
    </row>
    <row r="838" spans="3:3">
      <c r="C838" s="70"/>
    </row>
    <row r="839" spans="3:3">
      <c r="C839" s="70"/>
    </row>
    <row r="840" spans="3:3">
      <c r="C840" s="70"/>
    </row>
    <row r="841" spans="3:3">
      <c r="C841" s="70"/>
    </row>
    <row r="842" spans="3:3">
      <c r="C842" s="70"/>
    </row>
    <row r="843" spans="3:3">
      <c r="C843" s="70"/>
    </row>
    <row r="844" spans="3:3">
      <c r="C844" s="70"/>
    </row>
    <row r="845" spans="3:3">
      <c r="C845" s="70"/>
    </row>
    <row r="846" spans="3:3">
      <c r="C846" s="70"/>
    </row>
    <row r="847" spans="3:3">
      <c r="C847" s="70"/>
    </row>
    <row r="848" spans="3:3">
      <c r="C848" s="70"/>
    </row>
    <row r="849" spans="3:3">
      <c r="C849" s="70"/>
    </row>
    <row r="850" spans="3:3">
      <c r="C850" s="70"/>
    </row>
    <row r="851" spans="3:3">
      <c r="C851" s="70"/>
    </row>
    <row r="852" spans="3:3">
      <c r="C852" s="70"/>
    </row>
    <row r="853" spans="3:3">
      <c r="C853" s="70"/>
    </row>
    <row r="854" spans="3:3">
      <c r="C854" s="70"/>
    </row>
    <row r="855" spans="3:3">
      <c r="C855" s="70"/>
    </row>
    <row r="856" spans="3:3">
      <c r="C856" s="70"/>
    </row>
    <row r="857" spans="3:3">
      <c r="C857" s="70"/>
    </row>
    <row r="858" spans="3:3">
      <c r="C858" s="70"/>
    </row>
    <row r="859" spans="3:3">
      <c r="C859" s="70"/>
    </row>
    <row r="860" spans="3:3">
      <c r="C860" s="70"/>
    </row>
    <row r="861" spans="3:3">
      <c r="C861" s="70"/>
    </row>
    <row r="862" spans="3:3">
      <c r="C862" s="70"/>
    </row>
    <row r="863" spans="3:3">
      <c r="C863" s="70"/>
    </row>
    <row r="864" spans="3:3">
      <c r="C864" s="70"/>
    </row>
    <row r="865" spans="3:3">
      <c r="C865" s="70"/>
    </row>
    <row r="866" spans="3:3">
      <c r="C866" s="70"/>
    </row>
    <row r="867" spans="3:3">
      <c r="C867" s="70"/>
    </row>
    <row r="868" spans="3:3">
      <c r="C868" s="70"/>
    </row>
    <row r="869" spans="3:3">
      <c r="C869" s="70"/>
    </row>
    <row r="870" spans="3:3">
      <c r="C870" s="70"/>
    </row>
    <row r="871" spans="3:3">
      <c r="C871" s="70"/>
    </row>
    <row r="872" spans="3:3">
      <c r="C872" s="70"/>
    </row>
    <row r="873" spans="3:3">
      <c r="C873" s="70"/>
    </row>
    <row r="874" spans="3:3">
      <c r="C874" s="70"/>
    </row>
    <row r="875" spans="3:3">
      <c r="C875" s="70"/>
    </row>
    <row r="876" spans="3:3">
      <c r="C876" s="70"/>
    </row>
    <row r="877" spans="3:3">
      <c r="C877" s="70"/>
    </row>
    <row r="878" spans="3:3">
      <c r="C878" s="70"/>
    </row>
    <row r="879" spans="3:3">
      <c r="C879" s="70"/>
    </row>
    <row r="880" spans="3:3">
      <c r="C880" s="70"/>
    </row>
    <row r="881" spans="3:3">
      <c r="C881" s="70"/>
    </row>
    <row r="882" spans="3:3">
      <c r="C882" s="70"/>
    </row>
    <row r="883" spans="3:3">
      <c r="C883" s="70"/>
    </row>
    <row r="884" spans="3:3">
      <c r="C884" s="70"/>
    </row>
    <row r="885" spans="3:3">
      <c r="C885" s="70"/>
    </row>
    <row r="886" spans="3:3">
      <c r="C886" s="70"/>
    </row>
    <row r="887" spans="3:3">
      <c r="C887" s="70"/>
    </row>
    <row r="888" spans="3:3">
      <c r="C888" s="70"/>
    </row>
    <row r="889" spans="3:3">
      <c r="C889" s="70"/>
    </row>
    <row r="890" spans="3:3">
      <c r="C890" s="70"/>
    </row>
    <row r="891" spans="3:3">
      <c r="C891" s="70"/>
    </row>
    <row r="892" spans="3:3">
      <c r="C892" s="70"/>
    </row>
    <row r="893" spans="3:3">
      <c r="C893" s="70"/>
    </row>
    <row r="894" spans="3:3">
      <c r="C894" s="70"/>
    </row>
    <row r="895" spans="3:3">
      <c r="C895" s="70"/>
    </row>
    <row r="896" spans="3:3">
      <c r="C896" s="70"/>
    </row>
    <row r="897" spans="3:3">
      <c r="C897" s="70"/>
    </row>
    <row r="898" spans="3:3">
      <c r="C898" s="70"/>
    </row>
    <row r="899" spans="3:3">
      <c r="C899" s="70"/>
    </row>
    <row r="900" spans="3:3">
      <c r="C900" s="70"/>
    </row>
    <row r="901" spans="3:3">
      <c r="C901" s="70"/>
    </row>
    <row r="902" spans="3:3">
      <c r="C902" s="70"/>
    </row>
    <row r="903" spans="3:3">
      <c r="C903" s="70"/>
    </row>
    <row r="904" spans="3:3">
      <c r="C904" s="70"/>
    </row>
    <row r="905" spans="3:3">
      <c r="C905" s="70"/>
    </row>
    <row r="906" spans="3:3">
      <c r="C906" s="70"/>
    </row>
    <row r="907" spans="3:3">
      <c r="C907" s="70"/>
    </row>
    <row r="908" spans="3:3">
      <c r="C908" s="70"/>
    </row>
    <row r="909" spans="3:3">
      <c r="C909" s="70"/>
    </row>
    <row r="910" spans="3:3">
      <c r="C910" s="70"/>
    </row>
    <row r="911" spans="3:3">
      <c r="C911" s="70"/>
    </row>
    <row r="912" spans="3:3">
      <c r="C912" s="70"/>
    </row>
    <row r="913" spans="3:3">
      <c r="C913" s="70"/>
    </row>
    <row r="914" spans="3:3">
      <c r="C914" s="70"/>
    </row>
    <row r="915" spans="3:3">
      <c r="C915" s="70"/>
    </row>
    <row r="916" spans="3:3">
      <c r="C916" s="70"/>
    </row>
    <row r="917" spans="3:3">
      <c r="C917" s="70"/>
    </row>
    <row r="918" spans="3:3">
      <c r="C918" s="70"/>
    </row>
    <row r="919" spans="3:3">
      <c r="C919" s="70"/>
    </row>
    <row r="920" spans="3:3">
      <c r="C920" s="70"/>
    </row>
    <row r="921" spans="3:3">
      <c r="C921" s="70"/>
    </row>
    <row r="922" spans="3:3">
      <c r="C922" s="70"/>
    </row>
    <row r="923" spans="3:3">
      <c r="C923" s="70"/>
    </row>
    <row r="924" spans="3:3">
      <c r="C924" s="70"/>
    </row>
    <row r="925" spans="3:3">
      <c r="C925" s="70"/>
    </row>
    <row r="926" spans="3:3">
      <c r="C926" s="70"/>
    </row>
    <row r="927" spans="3:3">
      <c r="C927" s="70"/>
    </row>
    <row r="928" spans="3:3">
      <c r="C928" s="70"/>
    </row>
    <row r="929" spans="3:3">
      <c r="C929" s="70"/>
    </row>
    <row r="930" spans="3:3">
      <c r="C930" s="70"/>
    </row>
    <row r="931" spans="3:3">
      <c r="C931" s="70"/>
    </row>
    <row r="932" spans="3:3">
      <c r="C932" s="70"/>
    </row>
    <row r="933" spans="3:3">
      <c r="C933" s="70"/>
    </row>
    <row r="934" spans="3:3">
      <c r="C934" s="70"/>
    </row>
    <row r="935" spans="3:3">
      <c r="C935" s="70"/>
    </row>
    <row r="936" spans="3:3">
      <c r="C936" s="70"/>
    </row>
    <row r="937" spans="3:3">
      <c r="C937" s="70"/>
    </row>
    <row r="938" spans="3:3">
      <c r="C938" s="70"/>
    </row>
    <row r="939" spans="3:3">
      <c r="C939" s="70"/>
    </row>
    <row r="940" spans="3:3">
      <c r="C940" s="70"/>
    </row>
    <row r="941" spans="3:3">
      <c r="C941" s="70"/>
    </row>
    <row r="942" spans="3:3">
      <c r="C942" s="70"/>
    </row>
    <row r="943" spans="3:3">
      <c r="C943" s="70"/>
    </row>
    <row r="944" spans="3:3">
      <c r="C944" s="70"/>
    </row>
    <row r="945" spans="3:3">
      <c r="C945" s="70"/>
    </row>
    <row r="946" spans="3:3">
      <c r="C946" s="70"/>
    </row>
    <row r="947" spans="3:3">
      <c r="C947" s="70"/>
    </row>
    <row r="948" spans="3:3">
      <c r="C948" s="70"/>
    </row>
    <row r="949" spans="3:3">
      <c r="C949" s="70"/>
    </row>
    <row r="950" spans="3:3">
      <c r="C950" s="70"/>
    </row>
    <row r="951" spans="3:3">
      <c r="C951" s="70"/>
    </row>
    <row r="952" spans="3:3">
      <c r="C952" s="70"/>
    </row>
    <row r="953" spans="3:3">
      <c r="C953" s="70"/>
    </row>
    <row r="954" spans="3:3">
      <c r="C954" s="70"/>
    </row>
    <row r="955" spans="3:3">
      <c r="C955" s="70"/>
    </row>
    <row r="956" spans="3:3">
      <c r="C956" s="70"/>
    </row>
    <row r="957" spans="3:3">
      <c r="C957" s="70"/>
    </row>
    <row r="958" spans="3:3">
      <c r="C958" s="70"/>
    </row>
    <row r="959" spans="3:3">
      <c r="C959" s="70"/>
    </row>
    <row r="960" spans="3:3">
      <c r="C960" s="70"/>
    </row>
    <row r="961" spans="3:3">
      <c r="C961" s="70"/>
    </row>
    <row r="962" spans="3:3">
      <c r="C962" s="70"/>
    </row>
    <row r="963" spans="3:3">
      <c r="C963" s="70"/>
    </row>
    <row r="964" spans="3:3">
      <c r="C964" s="70"/>
    </row>
    <row r="965" spans="3:3">
      <c r="C965" s="70"/>
    </row>
    <row r="966" spans="3:3">
      <c r="C966" s="70"/>
    </row>
    <row r="967" spans="3:3">
      <c r="C967" s="70"/>
    </row>
    <row r="968" spans="3:3">
      <c r="C968" s="70"/>
    </row>
    <row r="969" spans="3:3">
      <c r="C969" s="70"/>
    </row>
    <row r="970" spans="3:3">
      <c r="C970" s="70"/>
    </row>
    <row r="971" spans="3:3">
      <c r="C971" s="70"/>
    </row>
    <row r="972" spans="3:3">
      <c r="C972" s="70"/>
    </row>
    <row r="973" spans="3:3">
      <c r="C973" s="70"/>
    </row>
    <row r="974" spans="3:3">
      <c r="C974" s="70"/>
    </row>
    <row r="975" spans="3:3">
      <c r="C975" s="70"/>
    </row>
    <row r="976" spans="3:3">
      <c r="C976" s="70"/>
    </row>
    <row r="977" spans="3:3">
      <c r="C977" s="70"/>
    </row>
    <row r="978" spans="3:3">
      <c r="C978" s="70"/>
    </row>
    <row r="979" spans="3:3">
      <c r="C979" s="70"/>
    </row>
    <row r="980" spans="3:3">
      <c r="C980" s="70"/>
    </row>
    <row r="981" spans="3:3">
      <c r="C981" s="70"/>
    </row>
    <row r="982" spans="3:3">
      <c r="C982" s="70"/>
    </row>
    <row r="983" spans="3:3">
      <c r="C983" s="70"/>
    </row>
    <row r="984" spans="3:3">
      <c r="C984" s="70"/>
    </row>
    <row r="985" spans="3:3">
      <c r="C985" s="70"/>
    </row>
    <row r="986" spans="3:3">
      <c r="C986" s="70"/>
    </row>
    <row r="987" spans="3:3">
      <c r="C987" s="70"/>
    </row>
    <row r="988" spans="3:3">
      <c r="C988" s="70"/>
    </row>
    <row r="989" spans="3:3">
      <c r="C989" s="70"/>
    </row>
    <row r="990" spans="3:3">
      <c r="C990" s="70"/>
    </row>
    <row r="991" spans="3:3">
      <c r="C991" s="70"/>
    </row>
    <row r="992" spans="3:3">
      <c r="C992" s="70"/>
    </row>
    <row r="993" spans="3:3">
      <c r="C993" s="70"/>
    </row>
    <row r="994" spans="3:3">
      <c r="C994" s="70"/>
    </row>
    <row r="995" spans="3:3">
      <c r="C995" s="70"/>
    </row>
    <row r="996" spans="3:3">
      <c r="C996" s="70"/>
    </row>
    <row r="997" spans="3:3">
      <c r="C997" s="70"/>
    </row>
    <row r="998" spans="3:3">
      <c r="C998" s="70"/>
    </row>
    <row r="999" spans="3:3">
      <c r="C999" s="70"/>
    </row>
    <row r="1000" spans="3:3">
      <c r="C1000" s="70"/>
    </row>
    <row r="1001" spans="3:3">
      <c r="C1001" s="70"/>
    </row>
    <row r="1002" spans="3:3">
      <c r="C1002" s="70"/>
    </row>
    <row r="1003" spans="3:3">
      <c r="C1003" s="70"/>
    </row>
    <row r="1004" spans="3:3">
      <c r="C1004" s="70"/>
    </row>
    <row r="1005" spans="3:3">
      <c r="C1005" s="70"/>
    </row>
    <row r="1006" spans="3:3">
      <c r="C1006" s="70"/>
    </row>
    <row r="1007" spans="3:3">
      <c r="C1007" s="70"/>
    </row>
    <row r="1008" spans="3:3">
      <c r="C1008" s="70"/>
    </row>
    <row r="1009" spans="3:3">
      <c r="C1009" s="70"/>
    </row>
    <row r="1010" spans="3:3">
      <c r="C1010" s="70"/>
    </row>
    <row r="1011" spans="3:3">
      <c r="C1011" s="70"/>
    </row>
    <row r="1012" spans="3:3">
      <c r="C1012" s="70"/>
    </row>
    <row r="1013" spans="3:3">
      <c r="C1013" s="70"/>
    </row>
    <row r="1014" spans="3:3">
      <c r="C1014" s="70"/>
    </row>
    <row r="1015" spans="3:3">
      <c r="C1015" s="70"/>
    </row>
    <row r="1016" spans="3:3">
      <c r="C1016" s="70"/>
    </row>
    <row r="1017" spans="3:3">
      <c r="C1017" s="70"/>
    </row>
    <row r="1018" spans="3:3">
      <c r="C1018" s="70"/>
    </row>
    <row r="1019" spans="3:3">
      <c r="C1019" s="70"/>
    </row>
    <row r="1020" spans="3:3">
      <c r="C1020" s="70"/>
    </row>
    <row r="1021" spans="3:3">
      <c r="C1021" s="70"/>
    </row>
    <row r="1022" spans="3:3">
      <c r="C1022" s="70"/>
    </row>
    <row r="1023" spans="3:3">
      <c r="C1023" s="70"/>
    </row>
    <row r="1024" spans="3:3">
      <c r="C1024" s="70"/>
    </row>
    <row r="1025" spans="3:3">
      <c r="C1025" s="70"/>
    </row>
    <row r="1026" spans="3:3">
      <c r="C1026" s="70"/>
    </row>
    <row r="1027" spans="3:3">
      <c r="C1027" s="70"/>
    </row>
    <row r="1028" spans="3:3">
      <c r="C1028" s="70"/>
    </row>
    <row r="1029" spans="3:3">
      <c r="C1029" s="70"/>
    </row>
    <row r="1030" spans="3:3">
      <c r="C1030" s="70"/>
    </row>
    <row r="1031" spans="3:3">
      <c r="C1031" s="70"/>
    </row>
    <row r="1032" spans="3:3">
      <c r="C1032" s="70"/>
    </row>
    <row r="1033" spans="3:3">
      <c r="C1033" s="70"/>
    </row>
    <row r="1034" spans="3:3">
      <c r="C1034" s="70"/>
    </row>
    <row r="1035" spans="3:3">
      <c r="C1035" s="70"/>
    </row>
    <row r="1036" spans="3:3">
      <c r="C1036" s="70"/>
    </row>
    <row r="1037" spans="3:3">
      <c r="C1037" s="70"/>
    </row>
    <row r="1038" spans="3:3">
      <c r="C1038" s="70"/>
    </row>
    <row r="1039" spans="3:3">
      <c r="C1039" s="70"/>
    </row>
    <row r="1040" spans="3:3">
      <c r="C1040" s="70"/>
    </row>
    <row r="1041" spans="3:3">
      <c r="C1041" s="70"/>
    </row>
    <row r="1042" spans="3:3">
      <c r="C1042" s="70"/>
    </row>
    <row r="1043" spans="3:3">
      <c r="C1043" s="70"/>
    </row>
    <row r="1044" spans="3:3">
      <c r="C1044" s="70"/>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K1045"/>
  <sheetViews>
    <sheetView showZeros="0" zoomScale="80" zoomScaleNormal="80" workbookViewId="0">
      <selection activeCell="D27" sqref="D27:D153"/>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7.5703125" style="77" customWidth="1"/>
    <col min="10" max="10" width="9.140625" style="58" customWidth="1"/>
    <col min="11" max="16384" width="8.85546875" style="3"/>
  </cols>
  <sheetData>
    <row r="1" spans="2:11" ht="15.75">
      <c r="B1" s="1" t="str">
        <f>'Drawings &amp; Data'!A1</f>
        <v>ESTATE NAME</v>
      </c>
      <c r="C1" s="1"/>
      <c r="D1" s="1"/>
      <c r="E1" s="1"/>
      <c r="F1" s="1"/>
      <c r="G1" s="1"/>
      <c r="H1" s="1"/>
      <c r="I1" s="1"/>
      <c r="J1" s="3"/>
    </row>
    <row r="2" spans="2:11" ht="15.75">
      <c r="B2" s="4" t="str">
        <f>'Drawings &amp; Data'!A2</f>
        <v>STAGE X</v>
      </c>
      <c r="C2" s="1"/>
      <c r="D2" s="1"/>
      <c r="E2" s="1"/>
      <c r="F2" s="1"/>
      <c r="G2" s="1"/>
      <c r="H2" s="1"/>
      <c r="I2" s="1"/>
      <c r="J2" s="3"/>
    </row>
    <row r="3" spans="2:11" ht="15.75">
      <c r="B3" s="1"/>
      <c r="C3" s="1"/>
      <c r="D3" s="1"/>
      <c r="E3" s="1"/>
      <c r="F3" s="1"/>
      <c r="G3" s="1"/>
      <c r="H3" s="1"/>
      <c r="I3" s="1"/>
      <c r="J3" s="3"/>
    </row>
    <row r="4" spans="2:11" ht="15.75">
      <c r="B4" s="5" t="s">
        <v>9</v>
      </c>
      <c r="C4" s="1"/>
      <c r="D4" s="1"/>
      <c r="E4" s="1"/>
      <c r="F4" s="1"/>
      <c r="G4" s="1"/>
      <c r="H4" s="1"/>
      <c r="I4" s="1"/>
      <c r="J4" s="3"/>
    </row>
    <row r="5" spans="2:11" ht="15.75">
      <c r="B5" s="6" t="str">
        <f>'Drawings &amp; Data'!A5</f>
        <v>Name and/or entity</v>
      </c>
      <c r="C5" s="1"/>
      <c r="D5" s="1"/>
      <c r="E5" s="1"/>
      <c r="F5" s="1"/>
      <c r="G5" s="1"/>
      <c r="H5" s="1"/>
      <c r="I5" s="1"/>
      <c r="J5" s="3"/>
    </row>
    <row r="6" spans="2:11" ht="15.75">
      <c r="B6" s="6" t="str">
        <f>'Drawings &amp; Data'!A6</f>
        <v>Address 1</v>
      </c>
      <c r="C6" s="1"/>
      <c r="D6" s="1"/>
      <c r="E6" s="1"/>
      <c r="F6" s="1"/>
      <c r="G6" s="1"/>
      <c r="H6" s="1"/>
      <c r="I6" s="1"/>
      <c r="J6" s="3"/>
    </row>
    <row r="7" spans="2:11" ht="15.75">
      <c r="B7" s="6" t="str">
        <f>'Drawings &amp; Data'!A7</f>
        <v>Address 2</v>
      </c>
      <c r="C7" s="1"/>
      <c r="D7" s="1"/>
      <c r="E7" s="1"/>
      <c r="F7" s="1"/>
      <c r="G7" s="1"/>
      <c r="H7" s="1"/>
      <c r="I7" s="1"/>
      <c r="J7" s="3"/>
    </row>
    <row r="8" spans="2:11">
      <c r="B8" s="6"/>
      <c r="C8" s="6"/>
      <c r="D8" s="6"/>
      <c r="E8" s="6"/>
      <c r="F8" s="6"/>
      <c r="G8" s="6"/>
      <c r="H8" s="6"/>
      <c r="I8" s="6"/>
    </row>
    <row r="9" spans="2:11" ht="15">
      <c r="B9" s="5" t="s">
        <v>10</v>
      </c>
      <c r="C9" s="6"/>
      <c r="D9" s="6"/>
      <c r="E9" s="6"/>
      <c r="F9" s="6"/>
      <c r="G9" s="6"/>
      <c r="H9" s="6"/>
      <c r="I9" s="6"/>
    </row>
    <row r="10" spans="2:11">
      <c r="B10" s="6" t="s">
        <v>282</v>
      </c>
      <c r="C10" s="6"/>
      <c r="D10" s="6"/>
      <c r="E10" s="6"/>
      <c r="F10" s="6"/>
      <c r="G10" s="6"/>
      <c r="H10" s="6"/>
      <c r="I10" s="6"/>
      <c r="K10" s="58"/>
    </row>
    <row r="11" spans="2:11">
      <c r="B11" s="6" t="s">
        <v>530</v>
      </c>
      <c r="C11" s="6"/>
      <c r="D11" s="6"/>
      <c r="E11" s="6"/>
      <c r="F11" s="6"/>
      <c r="G11" s="6"/>
      <c r="H11" s="6"/>
      <c r="I11" s="6"/>
    </row>
    <row r="12" spans="2:11">
      <c r="B12" s="6" t="s">
        <v>529</v>
      </c>
      <c r="C12" s="6"/>
      <c r="D12" s="6"/>
      <c r="E12" s="6"/>
      <c r="F12" s="6"/>
      <c r="G12" s="6"/>
      <c r="H12" s="6"/>
      <c r="I12" s="6"/>
    </row>
    <row r="13" spans="2:11">
      <c r="B13" s="6"/>
      <c r="C13" s="6"/>
      <c r="D13" s="6"/>
      <c r="E13" s="6"/>
      <c r="F13" s="6"/>
      <c r="G13" s="6"/>
      <c r="H13" s="6"/>
      <c r="I13" s="6"/>
    </row>
    <row r="14" spans="2:11" ht="15.75">
      <c r="B14" s="4" t="s">
        <v>342</v>
      </c>
      <c r="C14" s="6"/>
      <c r="D14" s="6"/>
      <c r="E14" s="6"/>
      <c r="F14" s="6"/>
      <c r="G14" s="6"/>
      <c r="H14" s="6"/>
      <c r="I14" s="6"/>
    </row>
    <row r="15" spans="2:11" ht="15.75">
      <c r="B15" s="1" t="s">
        <v>30</v>
      </c>
      <c r="C15" s="6"/>
      <c r="D15" s="6"/>
      <c r="E15" s="6"/>
      <c r="F15" s="6"/>
      <c r="G15" s="6"/>
      <c r="H15" s="6"/>
      <c r="I15" s="6"/>
    </row>
    <row r="16" spans="2:11">
      <c r="B16" s="6"/>
      <c r="C16" s="6"/>
      <c r="D16" s="6"/>
      <c r="E16" s="6"/>
      <c r="F16" s="6"/>
      <c r="G16" s="6"/>
      <c r="H16" s="6"/>
      <c r="I16" s="6"/>
    </row>
    <row r="17" spans="1:10" ht="72" customHeight="1">
      <c r="B17" s="110" t="s">
        <v>182</v>
      </c>
      <c r="C17" s="110"/>
      <c r="D17" s="38"/>
      <c r="E17" s="38"/>
      <c r="F17" s="38"/>
      <c r="G17" s="39"/>
      <c r="H17" s="40"/>
      <c r="I17" s="40"/>
    </row>
    <row r="18" spans="1:10" ht="8.4499999999999993" customHeight="1">
      <c r="B18" s="42"/>
      <c r="C18" s="42"/>
      <c r="D18" s="38"/>
      <c r="E18" s="38"/>
      <c r="F18" s="38"/>
      <c r="G18" s="39"/>
      <c r="H18" s="40"/>
      <c r="I18" s="40"/>
    </row>
    <row r="19" spans="1:10" ht="72.599999999999994" customHeight="1">
      <c r="B19" s="110" t="s">
        <v>532</v>
      </c>
      <c r="C19" s="110"/>
      <c r="D19" s="38"/>
      <c r="E19" s="38"/>
      <c r="F19" s="38"/>
      <c r="G19" s="39"/>
      <c r="H19" s="40"/>
      <c r="I19" s="40"/>
    </row>
    <row r="20" spans="1:10" ht="8.4499999999999993" customHeight="1">
      <c r="B20" s="42"/>
      <c r="C20" s="42"/>
      <c r="D20" s="38"/>
      <c r="E20" s="38"/>
      <c r="F20" s="38"/>
      <c r="G20" s="39"/>
      <c r="H20" s="40"/>
      <c r="I20" s="40"/>
    </row>
    <row r="21" spans="1:10" ht="60.6" customHeight="1">
      <c r="B21" s="110" t="s">
        <v>183</v>
      </c>
      <c r="C21" s="110"/>
      <c r="D21" s="38"/>
      <c r="E21" s="38"/>
      <c r="F21" s="38"/>
      <c r="G21" s="39"/>
      <c r="H21" s="40"/>
      <c r="I21" s="40"/>
    </row>
    <row r="22" spans="1:10" s="41" customFormat="1" ht="15">
      <c r="A22" s="43" t="s">
        <v>513</v>
      </c>
      <c r="B22" s="94"/>
      <c r="C22" s="30"/>
      <c r="D22" s="38"/>
      <c r="E22" s="38"/>
      <c r="F22" s="38"/>
      <c r="G22" s="39"/>
      <c r="H22" s="40"/>
      <c r="I22" s="40"/>
      <c r="J22" s="58"/>
    </row>
    <row r="23" spans="1:10" s="41" customFormat="1" ht="15">
      <c r="A23" s="43" t="s">
        <v>514</v>
      </c>
      <c r="B23" s="46" t="s">
        <v>0</v>
      </c>
      <c r="C23" s="47" t="s">
        <v>1</v>
      </c>
      <c r="D23" s="48" t="s">
        <v>71</v>
      </c>
      <c r="E23" s="48" t="s">
        <v>72</v>
      </c>
      <c r="F23" s="48" t="s">
        <v>3</v>
      </c>
      <c r="G23" s="46" t="s">
        <v>2</v>
      </c>
      <c r="H23" s="49" t="s">
        <v>4</v>
      </c>
      <c r="I23" s="49" t="s">
        <v>5</v>
      </c>
    </row>
    <row r="24" spans="1:10" s="41" customFormat="1" ht="15">
      <c r="A24" s="43" t="s">
        <v>515</v>
      </c>
      <c r="B24" s="46"/>
      <c r="C24" s="47"/>
      <c r="D24" s="48"/>
      <c r="E24" s="48"/>
      <c r="F24" s="48"/>
      <c r="G24" s="46"/>
      <c r="H24" s="49"/>
      <c r="I24" s="49"/>
    </row>
    <row r="25" spans="1:10" s="41" customFormat="1" ht="75">
      <c r="A25" s="50">
        <v>1</v>
      </c>
      <c r="B25" s="51">
        <f ca="1">IF($A25="","",NumList())</f>
        <v>1</v>
      </c>
      <c r="C25" s="63" t="s">
        <v>610</v>
      </c>
      <c r="D25" s="48"/>
      <c r="E25" s="48"/>
      <c r="F25" s="48"/>
      <c r="G25" s="46"/>
      <c r="H25" s="53"/>
      <c r="I25" s="53">
        <f t="shared" ref="I25:I88" si="0">F25*H25</f>
        <v>0</v>
      </c>
    </row>
    <row r="26" spans="1:10" s="41" customFormat="1" ht="45">
      <c r="A26" s="50" t="s">
        <v>516</v>
      </c>
      <c r="B26" s="51" t="str">
        <f>IF($A26="","",NumList())</f>
        <v/>
      </c>
      <c r="C26" s="63" t="s">
        <v>287</v>
      </c>
      <c r="D26" s="48"/>
      <c r="E26" s="48"/>
      <c r="F26" s="48"/>
      <c r="G26" s="46"/>
      <c r="H26" s="53"/>
      <c r="I26" s="53">
        <f t="shared" si="0"/>
        <v>0</v>
      </c>
    </row>
    <row r="27" spans="1:10" s="41" customFormat="1" ht="15">
      <c r="A27" s="50">
        <v>2</v>
      </c>
      <c r="B27" s="51" t="str">
        <f ca="1">IF($A27="","",NumList())</f>
        <v>1.1</v>
      </c>
      <c r="C27" s="61" t="s">
        <v>66</v>
      </c>
      <c r="D27" s="55">
        <f ca="1">IF(ISTEXT(G27),RANDBETWEEN(1,1),0)</f>
        <v>1</v>
      </c>
      <c r="E27" s="55"/>
      <c r="F27" s="55">
        <f ca="1">IF(ISTEXT(G27),RANDBETWEEN(1,100),0)</f>
        <v>16</v>
      </c>
      <c r="G27" s="51" t="s">
        <v>6</v>
      </c>
      <c r="H27" s="78">
        <f ca="1">IF(ISTEXT(G27),RANDBETWEEN(1,100),0)</f>
        <v>17</v>
      </c>
      <c r="I27" s="53">
        <f t="shared" ca="1" si="0"/>
        <v>272</v>
      </c>
      <c r="J27" s="58"/>
    </row>
    <row r="28" spans="1:10" s="41" customFormat="1" ht="15">
      <c r="A28" s="50">
        <v>2</v>
      </c>
      <c r="B28" s="51" t="str">
        <f ca="1">IF($A28="","",NumList())</f>
        <v>1.2</v>
      </c>
      <c r="C28" s="61" t="s">
        <v>25</v>
      </c>
      <c r="D28" s="55">
        <f t="shared" ref="D28:D91" ca="1" si="1">IF(ISTEXT(G28),RANDBETWEEN(1,1),0)</f>
        <v>1</v>
      </c>
      <c r="E28" s="55"/>
      <c r="F28" s="55">
        <f t="shared" ref="F28:F91" ca="1" si="2">IF(ISTEXT(G28),RANDBETWEEN(1,100),0)</f>
        <v>74</v>
      </c>
      <c r="G28" s="51" t="s">
        <v>6</v>
      </c>
      <c r="H28" s="78">
        <f t="shared" ref="H28:H91" ca="1" si="3">IF(ISTEXT(G28),RANDBETWEEN(1,100),0)</f>
        <v>93</v>
      </c>
      <c r="I28" s="53">
        <f t="shared" ca="1" si="0"/>
        <v>6882</v>
      </c>
      <c r="J28" s="58"/>
    </row>
    <row r="29" spans="1:10" s="41" customFormat="1" ht="15">
      <c r="A29" s="50">
        <v>2</v>
      </c>
      <c r="B29" s="51" t="str">
        <f ca="1">IF($A29="","",NumList())</f>
        <v>1.3</v>
      </c>
      <c r="C29" s="61" t="s">
        <v>41</v>
      </c>
      <c r="D29" s="55">
        <f t="shared" ca="1" si="1"/>
        <v>1</v>
      </c>
      <c r="E29" s="55"/>
      <c r="F29" s="55">
        <f t="shared" ca="1" si="2"/>
        <v>66</v>
      </c>
      <c r="G29" s="51" t="s">
        <v>6</v>
      </c>
      <c r="H29" s="78">
        <f t="shared" ca="1" si="3"/>
        <v>74</v>
      </c>
      <c r="I29" s="53">
        <f t="shared" ca="1" si="0"/>
        <v>4884</v>
      </c>
      <c r="J29" s="58"/>
    </row>
    <row r="30" spans="1:10" s="41" customFormat="1" ht="15">
      <c r="A30" s="50">
        <v>2</v>
      </c>
      <c r="B30" s="51" t="str">
        <f ca="1">IF($A30="","",NumList())</f>
        <v>1.4</v>
      </c>
      <c r="C30" s="61" t="s">
        <v>327</v>
      </c>
      <c r="D30" s="55">
        <f t="shared" ca="1" si="1"/>
        <v>1</v>
      </c>
      <c r="E30" s="55"/>
      <c r="F30" s="55">
        <f t="shared" ca="1" si="2"/>
        <v>9</v>
      </c>
      <c r="G30" s="51" t="s">
        <v>6</v>
      </c>
      <c r="H30" s="78">
        <f t="shared" ca="1" si="3"/>
        <v>28</v>
      </c>
      <c r="I30" s="53">
        <f t="shared" ca="1" si="0"/>
        <v>252</v>
      </c>
      <c r="J30" s="58"/>
    </row>
    <row r="31" spans="1:10" s="41" customFormat="1" ht="15">
      <c r="A31" s="50">
        <v>2</v>
      </c>
      <c r="B31" s="51" t="str">
        <f ca="1">IF($A31="","",NumList())</f>
        <v>1.5</v>
      </c>
      <c r="C31" s="61" t="s">
        <v>328</v>
      </c>
      <c r="D31" s="55">
        <f t="shared" ca="1" si="1"/>
        <v>1</v>
      </c>
      <c r="E31" s="55"/>
      <c r="F31" s="55">
        <f t="shared" ca="1" si="2"/>
        <v>19</v>
      </c>
      <c r="G31" s="51" t="s">
        <v>6</v>
      </c>
      <c r="H31" s="78">
        <f t="shared" ca="1" si="3"/>
        <v>72</v>
      </c>
      <c r="I31" s="53">
        <f t="shared" ca="1" si="0"/>
        <v>1368</v>
      </c>
      <c r="J31" s="58"/>
    </row>
    <row r="32" spans="1:10" s="41" customFormat="1" ht="15">
      <c r="A32" s="50">
        <v>2</v>
      </c>
      <c r="B32" s="51" t="str">
        <f ca="1">IF($A32="","",NumList())</f>
        <v>1.6</v>
      </c>
      <c r="C32" s="61" t="s">
        <v>329</v>
      </c>
      <c r="D32" s="55">
        <f t="shared" ca="1" si="1"/>
        <v>1</v>
      </c>
      <c r="E32" s="55"/>
      <c r="F32" s="55">
        <f t="shared" ca="1" si="2"/>
        <v>93</v>
      </c>
      <c r="G32" s="51" t="s">
        <v>6</v>
      </c>
      <c r="H32" s="78">
        <f t="shared" ca="1" si="3"/>
        <v>63</v>
      </c>
      <c r="I32" s="53">
        <f t="shared" ca="1" si="0"/>
        <v>5859</v>
      </c>
      <c r="J32" s="58"/>
    </row>
    <row r="33" spans="1:11" s="41" customFormat="1" ht="15">
      <c r="A33" s="50">
        <v>2</v>
      </c>
      <c r="B33" s="51" t="str">
        <f ca="1">IF($A33="","",NumList())</f>
        <v>1.7</v>
      </c>
      <c r="C33" s="61" t="s">
        <v>13</v>
      </c>
      <c r="D33" s="55">
        <f t="shared" ca="1" si="1"/>
        <v>1</v>
      </c>
      <c r="E33" s="55"/>
      <c r="F33" s="55">
        <f t="shared" ca="1" si="2"/>
        <v>46</v>
      </c>
      <c r="G33" s="51" t="s">
        <v>6</v>
      </c>
      <c r="H33" s="78">
        <f t="shared" ca="1" si="3"/>
        <v>42</v>
      </c>
      <c r="I33" s="53">
        <f t="shared" ca="1" si="0"/>
        <v>1932</v>
      </c>
      <c r="J33" s="58"/>
    </row>
    <row r="34" spans="1:11" s="41" customFormat="1" ht="15">
      <c r="A34" s="50">
        <v>2</v>
      </c>
      <c r="B34" s="51" t="str">
        <f ca="1">IF($A34="","",NumList())</f>
        <v>1.8</v>
      </c>
      <c r="C34" s="62" t="s">
        <v>21</v>
      </c>
      <c r="D34" s="55">
        <f t="shared" ca="1" si="1"/>
        <v>1</v>
      </c>
      <c r="E34" s="55"/>
      <c r="F34" s="55">
        <f t="shared" ca="1" si="2"/>
        <v>98</v>
      </c>
      <c r="G34" s="51" t="s">
        <v>6</v>
      </c>
      <c r="H34" s="78">
        <f t="shared" ca="1" si="3"/>
        <v>52</v>
      </c>
      <c r="I34" s="53">
        <f t="shared" ca="1" si="0"/>
        <v>5096</v>
      </c>
      <c r="J34" s="58"/>
    </row>
    <row r="35" spans="1:11" s="41" customFormat="1" ht="15">
      <c r="A35" s="50">
        <v>2</v>
      </c>
      <c r="B35" s="51" t="str">
        <f ca="1">IF($A35="","",NumList())</f>
        <v>1.9</v>
      </c>
      <c r="C35" s="61" t="s">
        <v>42</v>
      </c>
      <c r="D35" s="55">
        <f t="shared" ca="1" si="1"/>
        <v>1</v>
      </c>
      <c r="E35" s="55"/>
      <c r="F35" s="55">
        <f t="shared" ca="1" si="2"/>
        <v>53</v>
      </c>
      <c r="G35" s="51" t="s">
        <v>6</v>
      </c>
      <c r="H35" s="78">
        <f t="shared" ca="1" si="3"/>
        <v>74</v>
      </c>
      <c r="I35" s="53">
        <f t="shared" ca="1" si="0"/>
        <v>3922</v>
      </c>
      <c r="J35" s="58"/>
    </row>
    <row r="36" spans="1:11" s="41" customFormat="1" ht="15">
      <c r="A36" s="50">
        <v>2</v>
      </c>
      <c r="B36" s="51" t="str">
        <f ca="1">IF($A36="","",NumList())</f>
        <v>1.10</v>
      </c>
      <c r="C36" s="61" t="s">
        <v>43</v>
      </c>
      <c r="D36" s="55">
        <f t="shared" ca="1" si="1"/>
        <v>1</v>
      </c>
      <c r="E36" s="55"/>
      <c r="F36" s="55">
        <f t="shared" ca="1" si="2"/>
        <v>73</v>
      </c>
      <c r="G36" s="51" t="s">
        <v>6</v>
      </c>
      <c r="H36" s="78">
        <f t="shared" ca="1" si="3"/>
        <v>54</v>
      </c>
      <c r="I36" s="53">
        <f t="shared" ca="1" si="0"/>
        <v>3942</v>
      </c>
      <c r="J36" s="58"/>
    </row>
    <row r="37" spans="1:11" s="41" customFormat="1" ht="15">
      <c r="A37" s="50">
        <v>2</v>
      </c>
      <c r="B37" s="51" t="str">
        <f ca="1">IF($A37="","",NumList())</f>
        <v>1.11</v>
      </c>
      <c r="C37" s="61" t="s">
        <v>292</v>
      </c>
      <c r="D37" s="55">
        <f t="shared" ca="1" si="1"/>
        <v>1</v>
      </c>
      <c r="E37" s="55"/>
      <c r="F37" s="55">
        <f t="shared" ca="1" si="2"/>
        <v>3</v>
      </c>
      <c r="G37" s="51" t="s">
        <v>6</v>
      </c>
      <c r="H37" s="78">
        <f t="shared" ca="1" si="3"/>
        <v>82</v>
      </c>
      <c r="I37" s="53">
        <f t="shared" ca="1" si="0"/>
        <v>246</v>
      </c>
      <c r="J37" s="58"/>
    </row>
    <row r="38" spans="1:11" s="41" customFormat="1" ht="15">
      <c r="A38" s="50">
        <v>2</v>
      </c>
      <c r="B38" s="51" t="str">
        <f ca="1">IF($A38="","",NumList())</f>
        <v>1.12</v>
      </c>
      <c r="C38" s="62" t="s">
        <v>293</v>
      </c>
      <c r="D38" s="55">
        <f t="shared" ca="1" si="1"/>
        <v>1</v>
      </c>
      <c r="E38" s="55"/>
      <c r="F38" s="55">
        <f t="shared" ca="1" si="2"/>
        <v>80</v>
      </c>
      <c r="G38" s="51" t="s">
        <v>6</v>
      </c>
      <c r="H38" s="78">
        <f t="shared" ca="1" si="3"/>
        <v>90</v>
      </c>
      <c r="I38" s="53">
        <f t="shared" ca="1" si="0"/>
        <v>7200</v>
      </c>
      <c r="J38" s="58"/>
    </row>
    <row r="39" spans="1:11" s="41" customFormat="1" ht="15">
      <c r="A39" s="50">
        <v>2</v>
      </c>
      <c r="B39" s="51" t="str">
        <f ca="1">IF($A39="","",NumList())</f>
        <v>1.13</v>
      </c>
      <c r="C39" s="61" t="s">
        <v>294</v>
      </c>
      <c r="D39" s="55">
        <f t="shared" ca="1" si="1"/>
        <v>1</v>
      </c>
      <c r="E39" s="55"/>
      <c r="F39" s="55">
        <f t="shared" ca="1" si="2"/>
        <v>6</v>
      </c>
      <c r="G39" s="51" t="s">
        <v>6</v>
      </c>
      <c r="H39" s="78">
        <f t="shared" ca="1" si="3"/>
        <v>5</v>
      </c>
      <c r="I39" s="53">
        <f t="shared" ca="1" si="0"/>
        <v>30</v>
      </c>
      <c r="J39" s="58"/>
    </row>
    <row r="40" spans="1:11" s="41" customFormat="1" ht="15">
      <c r="A40" s="50">
        <v>2</v>
      </c>
      <c r="B40" s="51" t="str">
        <f ca="1">IF($A40="","",NumList())</f>
        <v>1.14</v>
      </c>
      <c r="C40" s="61" t="s">
        <v>295</v>
      </c>
      <c r="D40" s="55">
        <f t="shared" ca="1" si="1"/>
        <v>1</v>
      </c>
      <c r="E40" s="55"/>
      <c r="F40" s="55">
        <f t="shared" ca="1" si="2"/>
        <v>36</v>
      </c>
      <c r="G40" s="51" t="s">
        <v>6</v>
      </c>
      <c r="H40" s="78">
        <f t="shared" ca="1" si="3"/>
        <v>46</v>
      </c>
      <c r="I40" s="53">
        <f t="shared" ca="1" si="0"/>
        <v>1656</v>
      </c>
      <c r="J40" s="58"/>
    </row>
    <row r="41" spans="1:11" s="41" customFormat="1" ht="15">
      <c r="A41" s="50" t="s">
        <v>516</v>
      </c>
      <c r="B41" s="51" t="str">
        <f>IF($A41="","",NumList())</f>
        <v/>
      </c>
      <c r="C41" s="62"/>
      <c r="D41" s="55">
        <f t="shared" ca="1" si="1"/>
        <v>0</v>
      </c>
      <c r="E41" s="55"/>
      <c r="F41" s="55">
        <f t="shared" ca="1" si="2"/>
        <v>0</v>
      </c>
      <c r="G41" s="51"/>
      <c r="H41" s="78">
        <f t="shared" ca="1" si="3"/>
        <v>0</v>
      </c>
      <c r="I41" s="53">
        <f t="shared" ca="1" si="0"/>
        <v>0</v>
      </c>
      <c r="J41" s="58"/>
      <c r="K41" s="58"/>
    </row>
    <row r="42" spans="1:11" s="41" customFormat="1" ht="15">
      <c r="A42" s="50">
        <v>2</v>
      </c>
      <c r="B42" s="51" t="str">
        <f ca="1">IF($A42="","",NumList())</f>
        <v>1.15</v>
      </c>
      <c r="C42" s="54" t="s">
        <v>340</v>
      </c>
      <c r="D42" s="55">
        <f t="shared" ca="1" si="1"/>
        <v>0</v>
      </c>
      <c r="E42" s="51"/>
      <c r="F42" s="55">
        <f t="shared" ca="1" si="2"/>
        <v>0</v>
      </c>
      <c r="G42" s="78"/>
      <c r="H42" s="78">
        <f t="shared" ca="1" si="3"/>
        <v>0</v>
      </c>
      <c r="I42" s="53">
        <f t="shared" ca="1" si="0"/>
        <v>0</v>
      </c>
      <c r="J42" s="58"/>
      <c r="K42" s="58"/>
    </row>
    <row r="43" spans="1:11" s="41" customFormat="1" ht="15">
      <c r="A43" s="50">
        <v>3</v>
      </c>
      <c r="B43" s="51" t="str">
        <f ca="1">IF($A43="","",NumList())</f>
        <v>1.15.1</v>
      </c>
      <c r="C43" s="62" t="s">
        <v>341</v>
      </c>
      <c r="D43" s="55">
        <f t="shared" ca="1" si="1"/>
        <v>1</v>
      </c>
      <c r="E43" s="55"/>
      <c r="F43" s="55">
        <f t="shared" ca="1" si="2"/>
        <v>12</v>
      </c>
      <c r="G43" s="78" t="s">
        <v>6</v>
      </c>
      <c r="H43" s="78">
        <f t="shared" ca="1" si="3"/>
        <v>45</v>
      </c>
      <c r="I43" s="53">
        <f t="shared" ca="1" si="0"/>
        <v>540</v>
      </c>
      <c r="J43" s="58"/>
      <c r="K43" s="58"/>
    </row>
    <row r="44" spans="1:11" s="41" customFormat="1" ht="15">
      <c r="A44" s="50" t="s">
        <v>516</v>
      </c>
      <c r="B44" s="51" t="str">
        <f>IF($A44="","",NumList())</f>
        <v/>
      </c>
      <c r="C44" s="62"/>
      <c r="D44" s="55">
        <f t="shared" ca="1" si="1"/>
        <v>0</v>
      </c>
      <c r="E44" s="55"/>
      <c r="F44" s="55">
        <f t="shared" ca="1" si="2"/>
        <v>0</v>
      </c>
      <c r="G44" s="78"/>
      <c r="H44" s="78">
        <f t="shared" ca="1" si="3"/>
        <v>0</v>
      </c>
      <c r="I44" s="53">
        <f t="shared" ca="1" si="0"/>
        <v>0</v>
      </c>
      <c r="J44" s="58"/>
      <c r="K44" s="58"/>
    </row>
    <row r="45" spans="1:11" s="41" customFormat="1" ht="53.25" customHeight="1">
      <c r="A45" s="50">
        <v>1</v>
      </c>
      <c r="B45" s="51">
        <f ca="1">IF($A45="","",NumList())</f>
        <v>2</v>
      </c>
      <c r="C45" s="52" t="s">
        <v>611</v>
      </c>
      <c r="D45" s="55">
        <f t="shared" ca="1" si="1"/>
        <v>0</v>
      </c>
      <c r="E45" s="48"/>
      <c r="F45" s="55">
        <f t="shared" ca="1" si="2"/>
        <v>0</v>
      </c>
      <c r="G45" s="46"/>
      <c r="H45" s="78">
        <f t="shared" ca="1" si="3"/>
        <v>0</v>
      </c>
      <c r="I45" s="53">
        <f t="shared" ca="1" si="0"/>
        <v>0</v>
      </c>
      <c r="J45" s="95" t="s">
        <v>495</v>
      </c>
    </row>
    <row r="46" spans="1:11" s="58" customFormat="1" ht="15" customHeight="1">
      <c r="A46" s="50">
        <v>2</v>
      </c>
      <c r="B46" s="51" t="str">
        <f ca="1">IF($A46="","",NumList())</f>
        <v>2.1</v>
      </c>
      <c r="C46" s="61" t="s">
        <v>448</v>
      </c>
      <c r="D46" s="55">
        <f t="shared" ca="1" si="1"/>
        <v>0</v>
      </c>
      <c r="E46" s="55"/>
      <c r="F46" s="55">
        <f t="shared" ca="1" si="2"/>
        <v>0</v>
      </c>
      <c r="G46" s="51"/>
      <c r="H46" s="78">
        <f t="shared" ca="1" si="3"/>
        <v>0</v>
      </c>
      <c r="I46" s="53">
        <f t="shared" ca="1" si="0"/>
        <v>0</v>
      </c>
    </row>
    <row r="47" spans="1:11" s="58" customFormat="1" ht="15" customHeight="1">
      <c r="A47" s="50">
        <v>3</v>
      </c>
      <c r="B47" s="51" t="str">
        <f ca="1">IF($A47="","",NumList())</f>
        <v>2.1.1</v>
      </c>
      <c r="C47" s="62" t="s">
        <v>26</v>
      </c>
      <c r="D47" s="55">
        <f t="shared" ca="1" si="1"/>
        <v>1</v>
      </c>
      <c r="E47" s="55"/>
      <c r="F47" s="55">
        <f t="shared" ca="1" si="2"/>
        <v>7</v>
      </c>
      <c r="G47" s="51" t="s">
        <v>8</v>
      </c>
      <c r="H47" s="78">
        <f t="shared" ca="1" si="3"/>
        <v>15</v>
      </c>
      <c r="I47" s="53">
        <f t="shared" ca="1" si="0"/>
        <v>105</v>
      </c>
    </row>
    <row r="48" spans="1:11" s="58" customFormat="1" ht="15" customHeight="1">
      <c r="A48" s="50">
        <v>3</v>
      </c>
      <c r="B48" s="51" t="str">
        <f ca="1">IF($A48="","",NumList())</f>
        <v>2.1.2</v>
      </c>
      <c r="C48" s="61" t="s">
        <v>27</v>
      </c>
      <c r="D48" s="55">
        <f t="shared" ca="1" si="1"/>
        <v>1</v>
      </c>
      <c r="E48" s="55"/>
      <c r="F48" s="55">
        <f t="shared" ca="1" si="2"/>
        <v>94</v>
      </c>
      <c r="G48" s="51" t="s">
        <v>8</v>
      </c>
      <c r="H48" s="78">
        <f t="shared" ca="1" si="3"/>
        <v>28</v>
      </c>
      <c r="I48" s="53">
        <f t="shared" ca="1" si="0"/>
        <v>2632</v>
      </c>
    </row>
    <row r="49" spans="1:9" s="58" customFormat="1" ht="15" customHeight="1">
      <c r="A49" s="50">
        <v>3</v>
      </c>
      <c r="B49" s="51" t="str">
        <f ca="1">IF($A49="","",NumList())</f>
        <v>2.1.3</v>
      </c>
      <c r="C49" s="61" t="s">
        <v>44</v>
      </c>
      <c r="D49" s="55">
        <f t="shared" ca="1" si="1"/>
        <v>1</v>
      </c>
      <c r="E49" s="55"/>
      <c r="F49" s="55">
        <f t="shared" ca="1" si="2"/>
        <v>25</v>
      </c>
      <c r="G49" s="51" t="s">
        <v>8</v>
      </c>
      <c r="H49" s="78">
        <f t="shared" ca="1" si="3"/>
        <v>56</v>
      </c>
      <c r="I49" s="53">
        <f t="shared" ca="1" si="0"/>
        <v>1400</v>
      </c>
    </row>
    <row r="50" spans="1:9" s="58" customFormat="1" ht="15" customHeight="1">
      <c r="A50" s="50">
        <v>3</v>
      </c>
      <c r="B50" s="51" t="str">
        <f ca="1">IF($A50="","",NumList())</f>
        <v>2.1.4</v>
      </c>
      <c r="C50" s="61" t="s">
        <v>45</v>
      </c>
      <c r="D50" s="55">
        <f t="shared" ca="1" si="1"/>
        <v>1</v>
      </c>
      <c r="E50" s="55"/>
      <c r="F50" s="55">
        <f t="shared" ca="1" si="2"/>
        <v>2</v>
      </c>
      <c r="G50" s="51" t="s">
        <v>8</v>
      </c>
      <c r="H50" s="78">
        <f t="shared" ca="1" si="3"/>
        <v>11</v>
      </c>
      <c r="I50" s="53">
        <f t="shared" ca="1" si="0"/>
        <v>22</v>
      </c>
    </row>
    <row r="51" spans="1:9" s="58" customFormat="1" ht="46.5" customHeight="1">
      <c r="A51" s="50">
        <v>3</v>
      </c>
      <c r="B51" s="51" t="str">
        <f ca="1">IF($A51="","",NumList())</f>
        <v>2.1.5</v>
      </c>
      <c r="C51" s="62" t="s">
        <v>449</v>
      </c>
      <c r="D51" s="55">
        <f t="shared" ca="1" si="1"/>
        <v>1</v>
      </c>
      <c r="E51" s="55"/>
      <c r="F51" s="55">
        <f t="shared" ca="1" si="2"/>
        <v>26</v>
      </c>
      <c r="G51" s="51" t="s">
        <v>8</v>
      </c>
      <c r="H51" s="78">
        <f t="shared" ca="1" si="3"/>
        <v>15</v>
      </c>
      <c r="I51" s="53">
        <f t="shared" ca="1" si="0"/>
        <v>390</v>
      </c>
    </row>
    <row r="52" spans="1:9" s="58" customFormat="1" ht="15" customHeight="1">
      <c r="A52" s="50">
        <v>2</v>
      </c>
      <c r="B52" s="51" t="str">
        <f ca="1">IF($A52="","",NumList())</f>
        <v>2.2</v>
      </c>
      <c r="C52" s="62" t="s">
        <v>450</v>
      </c>
      <c r="D52" s="55">
        <f t="shared" ca="1" si="1"/>
        <v>0</v>
      </c>
      <c r="E52" s="55"/>
      <c r="F52" s="55">
        <f t="shared" ca="1" si="2"/>
        <v>0</v>
      </c>
      <c r="G52" s="51"/>
      <c r="H52" s="78">
        <f t="shared" ca="1" si="3"/>
        <v>0</v>
      </c>
      <c r="I52" s="53">
        <f t="shared" ca="1" si="0"/>
        <v>0</v>
      </c>
    </row>
    <row r="53" spans="1:9" s="58" customFormat="1" ht="15" customHeight="1">
      <c r="A53" s="50">
        <v>3</v>
      </c>
      <c r="B53" s="51" t="str">
        <f ca="1">IF($A53="","",NumList())</f>
        <v>2.2.1</v>
      </c>
      <c r="C53" s="62" t="s">
        <v>67</v>
      </c>
      <c r="D53" s="55">
        <f t="shared" ca="1" si="1"/>
        <v>1</v>
      </c>
      <c r="E53" s="55"/>
      <c r="F53" s="55">
        <f t="shared" ca="1" si="2"/>
        <v>77</v>
      </c>
      <c r="G53" s="51" t="s">
        <v>8</v>
      </c>
      <c r="H53" s="78">
        <f t="shared" ca="1" si="3"/>
        <v>12</v>
      </c>
      <c r="I53" s="53">
        <f t="shared" ca="1" si="0"/>
        <v>924</v>
      </c>
    </row>
    <row r="54" spans="1:9" s="58" customFormat="1" ht="15" customHeight="1">
      <c r="A54" s="50">
        <v>3</v>
      </c>
      <c r="B54" s="51" t="str">
        <f ca="1">IF($A54="","",NumList())</f>
        <v>2.2.2</v>
      </c>
      <c r="C54" s="62" t="s">
        <v>28</v>
      </c>
      <c r="D54" s="55">
        <f t="shared" ca="1" si="1"/>
        <v>1</v>
      </c>
      <c r="E54" s="55"/>
      <c r="F54" s="55">
        <f t="shared" ca="1" si="2"/>
        <v>42</v>
      </c>
      <c r="G54" s="51" t="s">
        <v>8</v>
      </c>
      <c r="H54" s="78">
        <f t="shared" ca="1" si="3"/>
        <v>11</v>
      </c>
      <c r="I54" s="53">
        <f t="shared" ca="1" si="0"/>
        <v>462</v>
      </c>
    </row>
    <row r="55" spans="1:9" s="58" customFormat="1" ht="15" customHeight="1">
      <c r="A55" s="50">
        <v>3</v>
      </c>
      <c r="B55" s="51" t="str">
        <f ca="1">IF($A55="","",NumList())</f>
        <v>2.2.3</v>
      </c>
      <c r="C55" s="62" t="s">
        <v>46</v>
      </c>
      <c r="D55" s="55">
        <f t="shared" ca="1" si="1"/>
        <v>1</v>
      </c>
      <c r="E55" s="55"/>
      <c r="F55" s="55">
        <f t="shared" ca="1" si="2"/>
        <v>45</v>
      </c>
      <c r="G55" s="51" t="s">
        <v>8</v>
      </c>
      <c r="H55" s="78">
        <f t="shared" ca="1" si="3"/>
        <v>38</v>
      </c>
      <c r="I55" s="53">
        <f t="shared" ca="1" si="0"/>
        <v>1710</v>
      </c>
    </row>
    <row r="56" spans="1:9" s="58" customFormat="1" ht="15" customHeight="1">
      <c r="A56" s="50">
        <v>3</v>
      </c>
      <c r="B56" s="51" t="str">
        <f ca="1">IF($A56="","",NumList())</f>
        <v>2.2.4</v>
      </c>
      <c r="C56" s="62" t="s">
        <v>26</v>
      </c>
      <c r="D56" s="55">
        <f t="shared" ca="1" si="1"/>
        <v>1</v>
      </c>
      <c r="E56" s="55"/>
      <c r="F56" s="55">
        <f t="shared" ca="1" si="2"/>
        <v>51</v>
      </c>
      <c r="G56" s="51" t="s">
        <v>8</v>
      </c>
      <c r="H56" s="78">
        <f t="shared" ca="1" si="3"/>
        <v>98</v>
      </c>
      <c r="I56" s="53">
        <f t="shared" ca="1" si="0"/>
        <v>4998</v>
      </c>
    </row>
    <row r="57" spans="1:9" s="58" customFormat="1" ht="15" customHeight="1">
      <c r="A57" s="50">
        <v>3</v>
      </c>
      <c r="B57" s="51" t="str">
        <f ca="1">IF($A57="","",NumList())</f>
        <v>2.2.5</v>
      </c>
      <c r="C57" s="61" t="s">
        <v>27</v>
      </c>
      <c r="D57" s="55">
        <f t="shared" ca="1" si="1"/>
        <v>1</v>
      </c>
      <c r="E57" s="55"/>
      <c r="F57" s="55">
        <f t="shared" ca="1" si="2"/>
        <v>1</v>
      </c>
      <c r="G57" s="51" t="s">
        <v>8</v>
      </c>
      <c r="H57" s="78">
        <f t="shared" ca="1" si="3"/>
        <v>95</v>
      </c>
      <c r="I57" s="53">
        <f t="shared" ca="1" si="0"/>
        <v>95</v>
      </c>
    </row>
    <row r="58" spans="1:9" s="58" customFormat="1" ht="15" customHeight="1">
      <c r="A58" s="50">
        <v>3</v>
      </c>
      <c r="B58" s="51" t="str">
        <f ca="1">IF($A58="","",NumList())</f>
        <v>2.2.6</v>
      </c>
      <c r="C58" s="61" t="s">
        <v>44</v>
      </c>
      <c r="D58" s="55">
        <f t="shared" ca="1" si="1"/>
        <v>1</v>
      </c>
      <c r="E58" s="55"/>
      <c r="F58" s="55">
        <f t="shared" ca="1" si="2"/>
        <v>40</v>
      </c>
      <c r="G58" s="51" t="s">
        <v>8</v>
      </c>
      <c r="H58" s="78">
        <f t="shared" ca="1" si="3"/>
        <v>31</v>
      </c>
      <c r="I58" s="53">
        <f t="shared" ca="1" si="0"/>
        <v>1240</v>
      </c>
    </row>
    <row r="59" spans="1:9" s="58" customFormat="1" ht="15" customHeight="1">
      <c r="A59" s="50">
        <v>3</v>
      </c>
      <c r="B59" s="51" t="str">
        <f ca="1">IF($A59="","",NumList())</f>
        <v>2.2.7</v>
      </c>
      <c r="C59" s="61" t="s">
        <v>45</v>
      </c>
      <c r="D59" s="55">
        <f t="shared" ca="1" si="1"/>
        <v>1</v>
      </c>
      <c r="E59" s="55"/>
      <c r="F59" s="55">
        <f t="shared" ca="1" si="2"/>
        <v>62</v>
      </c>
      <c r="G59" s="51" t="s">
        <v>8</v>
      </c>
      <c r="H59" s="78">
        <f t="shared" ca="1" si="3"/>
        <v>26</v>
      </c>
      <c r="I59" s="53">
        <f t="shared" ca="1" si="0"/>
        <v>1612</v>
      </c>
    </row>
    <row r="60" spans="1:9" s="58" customFormat="1" ht="36.75" customHeight="1">
      <c r="A60" s="50">
        <v>2</v>
      </c>
      <c r="B60" s="51" t="str">
        <f ca="1">IF($A60="","",NumList())</f>
        <v>2.3</v>
      </c>
      <c r="C60" s="61" t="s">
        <v>451</v>
      </c>
      <c r="D60" s="55">
        <f t="shared" ca="1" si="1"/>
        <v>0</v>
      </c>
      <c r="E60" s="55"/>
      <c r="F60" s="55">
        <f t="shared" ca="1" si="2"/>
        <v>0</v>
      </c>
      <c r="G60" s="51"/>
      <c r="H60" s="78">
        <f t="shared" ca="1" si="3"/>
        <v>0</v>
      </c>
      <c r="I60" s="53">
        <f t="shared" ca="1" si="0"/>
        <v>0</v>
      </c>
    </row>
    <row r="61" spans="1:9" s="58" customFormat="1" ht="15" customHeight="1">
      <c r="A61" s="50">
        <v>3</v>
      </c>
      <c r="B61" s="51" t="str">
        <f ca="1">IF($A61="","",NumList())</f>
        <v>2.3.1</v>
      </c>
      <c r="C61" s="62" t="s">
        <v>330</v>
      </c>
      <c r="D61" s="55">
        <f t="shared" ca="1" si="1"/>
        <v>1</v>
      </c>
      <c r="E61" s="55"/>
      <c r="F61" s="55">
        <f t="shared" ca="1" si="2"/>
        <v>90</v>
      </c>
      <c r="G61" s="51" t="s">
        <v>8</v>
      </c>
      <c r="H61" s="78">
        <f t="shared" ca="1" si="3"/>
        <v>31</v>
      </c>
      <c r="I61" s="53">
        <f t="shared" ca="1" si="0"/>
        <v>2790</v>
      </c>
    </row>
    <row r="62" spans="1:9" s="58" customFormat="1" ht="15" customHeight="1">
      <c r="A62" s="50">
        <v>3</v>
      </c>
      <c r="B62" s="51" t="str">
        <f ca="1">IF($A62="","",NumList())</f>
        <v>2.3.2</v>
      </c>
      <c r="C62" s="62" t="s">
        <v>331</v>
      </c>
      <c r="D62" s="55">
        <f t="shared" ca="1" si="1"/>
        <v>1</v>
      </c>
      <c r="E62" s="55"/>
      <c r="F62" s="55">
        <f t="shared" ca="1" si="2"/>
        <v>87</v>
      </c>
      <c r="G62" s="51" t="s">
        <v>8</v>
      </c>
      <c r="H62" s="78">
        <f t="shared" ca="1" si="3"/>
        <v>48</v>
      </c>
      <c r="I62" s="53">
        <f t="shared" ca="1" si="0"/>
        <v>4176</v>
      </c>
    </row>
    <row r="63" spans="1:9" s="58" customFormat="1" ht="15" customHeight="1">
      <c r="A63" s="50">
        <v>3</v>
      </c>
      <c r="B63" s="51" t="str">
        <f ca="1">IF($A63="","",NumList())</f>
        <v>2.3.3</v>
      </c>
      <c r="C63" s="62" t="s">
        <v>332</v>
      </c>
      <c r="D63" s="55">
        <f t="shared" ca="1" si="1"/>
        <v>1</v>
      </c>
      <c r="E63" s="55"/>
      <c r="F63" s="55">
        <f t="shared" ca="1" si="2"/>
        <v>50</v>
      </c>
      <c r="G63" s="51" t="s">
        <v>8</v>
      </c>
      <c r="H63" s="78">
        <f t="shared" ca="1" si="3"/>
        <v>19</v>
      </c>
      <c r="I63" s="53">
        <f t="shared" ca="1" si="0"/>
        <v>950</v>
      </c>
    </row>
    <row r="64" spans="1:9" s="58" customFormat="1" ht="15" customHeight="1">
      <c r="A64" s="50">
        <v>3</v>
      </c>
      <c r="B64" s="51" t="str">
        <f ca="1">IF($A64="","",NumList())</f>
        <v>2.3.4</v>
      </c>
      <c r="C64" s="62" t="s">
        <v>452</v>
      </c>
      <c r="D64" s="55">
        <f t="shared" ca="1" si="1"/>
        <v>1</v>
      </c>
      <c r="E64" s="55"/>
      <c r="F64" s="55">
        <f t="shared" ca="1" si="2"/>
        <v>28</v>
      </c>
      <c r="G64" s="51" t="s">
        <v>8</v>
      </c>
      <c r="H64" s="78">
        <f t="shared" ca="1" si="3"/>
        <v>61</v>
      </c>
      <c r="I64" s="53">
        <f t="shared" ca="1" si="0"/>
        <v>1708</v>
      </c>
    </row>
    <row r="65" spans="1:9" s="58" customFormat="1" ht="15" customHeight="1">
      <c r="A65" s="50">
        <v>3</v>
      </c>
      <c r="B65" s="51" t="str">
        <f ca="1">IF($A65="","",NumList())</f>
        <v>2.3.5</v>
      </c>
      <c r="C65" s="61" t="s">
        <v>453</v>
      </c>
      <c r="D65" s="55">
        <f t="shared" ca="1" si="1"/>
        <v>1</v>
      </c>
      <c r="E65" s="55"/>
      <c r="F65" s="55">
        <f t="shared" ca="1" si="2"/>
        <v>100</v>
      </c>
      <c r="G65" s="51" t="s">
        <v>8</v>
      </c>
      <c r="H65" s="78">
        <f t="shared" ca="1" si="3"/>
        <v>58</v>
      </c>
      <c r="I65" s="53">
        <f t="shared" ca="1" si="0"/>
        <v>5800</v>
      </c>
    </row>
    <row r="66" spans="1:9" s="58" customFormat="1" ht="15" customHeight="1">
      <c r="A66" s="50">
        <v>2</v>
      </c>
      <c r="B66" s="51" t="str">
        <f ca="1">IF($A66="","",NumList())</f>
        <v>2.4</v>
      </c>
      <c r="C66" s="62" t="s">
        <v>454</v>
      </c>
      <c r="D66" s="55">
        <f t="shared" ca="1" si="1"/>
        <v>0</v>
      </c>
      <c r="E66" s="55"/>
      <c r="F66" s="55">
        <f t="shared" ca="1" si="2"/>
        <v>0</v>
      </c>
      <c r="G66" s="51"/>
      <c r="H66" s="78">
        <f t="shared" ca="1" si="3"/>
        <v>0</v>
      </c>
      <c r="I66" s="53">
        <f t="shared" ca="1" si="0"/>
        <v>0</v>
      </c>
    </row>
    <row r="67" spans="1:9" s="58" customFormat="1" ht="15" customHeight="1">
      <c r="A67" s="50">
        <v>3</v>
      </c>
      <c r="B67" s="51" t="str">
        <f ca="1">IF($A67="","",NumList())</f>
        <v>2.4.1</v>
      </c>
      <c r="C67" s="61" t="s">
        <v>44</v>
      </c>
      <c r="D67" s="55">
        <f t="shared" ca="1" si="1"/>
        <v>1</v>
      </c>
      <c r="E67" s="55"/>
      <c r="F67" s="55">
        <f t="shared" ca="1" si="2"/>
        <v>24</v>
      </c>
      <c r="G67" s="51" t="s">
        <v>8</v>
      </c>
      <c r="H67" s="78">
        <f t="shared" ca="1" si="3"/>
        <v>14</v>
      </c>
      <c r="I67" s="53">
        <f t="shared" ca="1" si="0"/>
        <v>336</v>
      </c>
    </row>
    <row r="68" spans="1:9" s="58" customFormat="1" ht="15" customHeight="1">
      <c r="A68" s="50">
        <v>3</v>
      </c>
      <c r="B68" s="51" t="str">
        <f ca="1">IF($A68="","",NumList())</f>
        <v>2.4.2</v>
      </c>
      <c r="C68" s="61" t="s">
        <v>45</v>
      </c>
      <c r="D68" s="55">
        <f t="shared" ca="1" si="1"/>
        <v>1</v>
      </c>
      <c r="E68" s="55"/>
      <c r="F68" s="55">
        <f t="shared" ca="1" si="2"/>
        <v>18</v>
      </c>
      <c r="G68" s="51" t="s">
        <v>8</v>
      </c>
      <c r="H68" s="78">
        <f t="shared" ca="1" si="3"/>
        <v>42</v>
      </c>
      <c r="I68" s="53">
        <f t="shared" ca="1" si="0"/>
        <v>756</v>
      </c>
    </row>
    <row r="69" spans="1:9" s="58" customFormat="1" ht="15" customHeight="1">
      <c r="A69" s="50">
        <v>2</v>
      </c>
      <c r="B69" s="51" t="str">
        <f ca="1">IF($A69="","",NumList())</f>
        <v>2.5</v>
      </c>
      <c r="C69" s="62" t="s">
        <v>458</v>
      </c>
      <c r="D69" s="55">
        <f t="shared" ca="1" si="1"/>
        <v>0</v>
      </c>
      <c r="E69" s="55"/>
      <c r="F69" s="55">
        <f t="shared" ca="1" si="2"/>
        <v>0</v>
      </c>
      <c r="G69" s="51"/>
      <c r="H69" s="78">
        <f t="shared" ca="1" si="3"/>
        <v>0</v>
      </c>
      <c r="I69" s="53">
        <f t="shared" ca="1" si="0"/>
        <v>0</v>
      </c>
    </row>
    <row r="70" spans="1:9" s="58" customFormat="1" ht="15" customHeight="1">
      <c r="A70" s="50">
        <v>3</v>
      </c>
      <c r="B70" s="51" t="str">
        <f ca="1">IF($A70="","",NumList())</f>
        <v>2.5.1</v>
      </c>
      <c r="C70" s="62" t="s">
        <v>257</v>
      </c>
      <c r="D70" s="55">
        <f t="shared" ca="1" si="1"/>
        <v>1</v>
      </c>
      <c r="E70" s="55"/>
      <c r="F70" s="55">
        <f t="shared" ca="1" si="2"/>
        <v>95</v>
      </c>
      <c r="G70" s="51" t="s">
        <v>8</v>
      </c>
      <c r="H70" s="78">
        <f t="shared" ca="1" si="3"/>
        <v>56</v>
      </c>
      <c r="I70" s="53">
        <f t="shared" ca="1" si="0"/>
        <v>5320</v>
      </c>
    </row>
    <row r="71" spans="1:9" s="58" customFormat="1" ht="15" customHeight="1">
      <c r="A71" s="50">
        <v>3</v>
      </c>
      <c r="B71" s="51" t="str">
        <f ca="1">IF($A71="","",NumList())</f>
        <v>2.5.2</v>
      </c>
      <c r="C71" s="62" t="s">
        <v>492</v>
      </c>
      <c r="D71" s="55">
        <f t="shared" ca="1" si="1"/>
        <v>1</v>
      </c>
      <c r="E71" s="55"/>
      <c r="F71" s="55">
        <f t="shared" ca="1" si="2"/>
        <v>71</v>
      </c>
      <c r="G71" s="51" t="s">
        <v>8</v>
      </c>
      <c r="H71" s="78">
        <f t="shared" ca="1" si="3"/>
        <v>50</v>
      </c>
      <c r="I71" s="53">
        <f t="shared" ca="1" si="0"/>
        <v>3550</v>
      </c>
    </row>
    <row r="72" spans="1:9" s="58" customFormat="1" ht="15" customHeight="1">
      <c r="A72" s="50">
        <v>3</v>
      </c>
      <c r="B72" s="51" t="str">
        <f ca="1">IF($A72="","",NumList())</f>
        <v>2.5.3</v>
      </c>
      <c r="C72" s="61" t="s">
        <v>258</v>
      </c>
      <c r="D72" s="55">
        <f t="shared" ca="1" si="1"/>
        <v>1</v>
      </c>
      <c r="E72" s="55"/>
      <c r="F72" s="55">
        <f t="shared" ca="1" si="2"/>
        <v>8</v>
      </c>
      <c r="G72" s="51" t="s">
        <v>8</v>
      </c>
      <c r="H72" s="78">
        <f t="shared" ca="1" si="3"/>
        <v>46</v>
      </c>
      <c r="I72" s="53">
        <f t="shared" ca="1" si="0"/>
        <v>368</v>
      </c>
    </row>
    <row r="73" spans="1:9" s="58" customFormat="1" ht="15" customHeight="1">
      <c r="A73" s="50">
        <v>3</v>
      </c>
      <c r="B73" s="51" t="str">
        <f ca="1">IF($A73="","",NumList())</f>
        <v>2.5.4</v>
      </c>
      <c r="C73" s="61" t="s">
        <v>493</v>
      </c>
      <c r="D73" s="55">
        <f t="shared" ca="1" si="1"/>
        <v>1</v>
      </c>
      <c r="E73" s="55"/>
      <c r="F73" s="55">
        <f t="shared" ca="1" si="2"/>
        <v>40</v>
      </c>
      <c r="G73" s="51" t="s">
        <v>8</v>
      </c>
      <c r="H73" s="78">
        <f t="shared" ca="1" si="3"/>
        <v>28</v>
      </c>
      <c r="I73" s="53">
        <f t="shared" ca="1" si="0"/>
        <v>1120</v>
      </c>
    </row>
    <row r="74" spans="1:9" s="58" customFormat="1" ht="15" customHeight="1">
      <c r="A74" s="50">
        <v>3</v>
      </c>
      <c r="B74" s="51" t="str">
        <f ca="1">IF($A74="","",NumList())</f>
        <v>2.5.5</v>
      </c>
      <c r="C74" s="61" t="s">
        <v>259</v>
      </c>
      <c r="D74" s="55">
        <f t="shared" ca="1" si="1"/>
        <v>1</v>
      </c>
      <c r="E74" s="55"/>
      <c r="F74" s="55">
        <f t="shared" ca="1" si="2"/>
        <v>17</v>
      </c>
      <c r="G74" s="51" t="s">
        <v>8</v>
      </c>
      <c r="H74" s="78">
        <f t="shared" ca="1" si="3"/>
        <v>76</v>
      </c>
      <c r="I74" s="53">
        <f t="shared" ca="1" si="0"/>
        <v>1292</v>
      </c>
    </row>
    <row r="75" spans="1:9" s="58" customFormat="1" ht="15" customHeight="1">
      <c r="A75" s="50">
        <v>3</v>
      </c>
      <c r="B75" s="51" t="str">
        <f ca="1">IF($A75="","",NumList())</f>
        <v>2.5.6</v>
      </c>
      <c r="C75" s="61" t="s">
        <v>260</v>
      </c>
      <c r="D75" s="55">
        <f t="shared" ca="1" si="1"/>
        <v>1</v>
      </c>
      <c r="E75" s="55"/>
      <c r="F75" s="55">
        <f t="shared" ca="1" si="2"/>
        <v>89</v>
      </c>
      <c r="G75" s="51" t="s">
        <v>8</v>
      </c>
      <c r="H75" s="78">
        <f t="shared" ca="1" si="3"/>
        <v>50</v>
      </c>
      <c r="I75" s="53">
        <f t="shared" ca="1" si="0"/>
        <v>4450</v>
      </c>
    </row>
    <row r="76" spans="1:9" s="58" customFormat="1" ht="15" customHeight="1">
      <c r="A76" s="50">
        <v>2</v>
      </c>
      <c r="B76" s="51" t="str">
        <f ca="1">IF($A76="","",NumList())</f>
        <v>2.6</v>
      </c>
      <c r="C76" s="62" t="s">
        <v>261</v>
      </c>
      <c r="D76" s="55">
        <f t="shared" ca="1" si="1"/>
        <v>0</v>
      </c>
      <c r="E76" s="55"/>
      <c r="F76" s="55">
        <f t="shared" ca="1" si="2"/>
        <v>0</v>
      </c>
      <c r="G76" s="51"/>
      <c r="H76" s="78">
        <f t="shared" ca="1" si="3"/>
        <v>0</v>
      </c>
      <c r="I76" s="53">
        <f t="shared" ca="1" si="0"/>
        <v>0</v>
      </c>
    </row>
    <row r="77" spans="1:9" s="58" customFormat="1" ht="15" customHeight="1">
      <c r="A77" s="50">
        <v>3</v>
      </c>
      <c r="B77" s="51" t="str">
        <f ca="1">IF($A77="","",NumList())</f>
        <v>2.6.1</v>
      </c>
      <c r="C77" s="62" t="s">
        <v>606</v>
      </c>
      <c r="D77" s="55">
        <f t="shared" ca="1" si="1"/>
        <v>0</v>
      </c>
      <c r="E77" s="55"/>
      <c r="F77" s="55">
        <f t="shared" ca="1" si="2"/>
        <v>0</v>
      </c>
      <c r="H77" s="78">
        <f t="shared" ca="1" si="3"/>
        <v>0</v>
      </c>
      <c r="I77" s="53">
        <f t="shared" ca="1" si="0"/>
        <v>0</v>
      </c>
    </row>
    <row r="78" spans="1:9" s="58" customFormat="1" ht="15" customHeight="1">
      <c r="A78" s="50">
        <v>4</v>
      </c>
      <c r="B78" s="51" t="str">
        <f ca="1">IF($A78="","",NumList())</f>
        <v>2.6.1.1</v>
      </c>
      <c r="C78" s="62" t="s">
        <v>26</v>
      </c>
      <c r="D78" s="55">
        <f t="shared" ca="1" si="1"/>
        <v>1</v>
      </c>
      <c r="E78" s="55"/>
      <c r="F78" s="55">
        <f t="shared" ca="1" si="2"/>
        <v>77</v>
      </c>
      <c r="G78" s="51" t="s">
        <v>8</v>
      </c>
      <c r="H78" s="78">
        <f t="shared" ca="1" si="3"/>
        <v>26</v>
      </c>
      <c r="I78" s="53">
        <f t="shared" ca="1" si="0"/>
        <v>2002</v>
      </c>
    </row>
    <row r="79" spans="1:9" s="58" customFormat="1" ht="15" customHeight="1">
      <c r="A79" s="50">
        <v>4</v>
      </c>
      <c r="B79" s="51" t="str">
        <f ca="1">IF($A79="","",NumList())</f>
        <v>2.6.1.2</v>
      </c>
      <c r="C79" s="61" t="s">
        <v>27</v>
      </c>
      <c r="D79" s="55">
        <f t="shared" ca="1" si="1"/>
        <v>1</v>
      </c>
      <c r="E79" s="55"/>
      <c r="F79" s="55">
        <f t="shared" ca="1" si="2"/>
        <v>19</v>
      </c>
      <c r="G79" s="51" t="s">
        <v>8</v>
      </c>
      <c r="H79" s="78">
        <f t="shared" ca="1" si="3"/>
        <v>57</v>
      </c>
      <c r="I79" s="53">
        <f t="shared" ca="1" si="0"/>
        <v>1083</v>
      </c>
    </row>
    <row r="80" spans="1:9" s="58" customFormat="1" ht="15" customHeight="1">
      <c r="A80" s="50">
        <v>4</v>
      </c>
      <c r="B80" s="51" t="str">
        <f ca="1">IF($A80="","",NumList())</f>
        <v>2.6.1.3</v>
      </c>
      <c r="C80" s="61" t="s">
        <v>44</v>
      </c>
      <c r="D80" s="55">
        <f t="shared" ca="1" si="1"/>
        <v>1</v>
      </c>
      <c r="E80" s="55"/>
      <c r="F80" s="55">
        <f t="shared" ca="1" si="2"/>
        <v>42</v>
      </c>
      <c r="G80" s="51" t="s">
        <v>8</v>
      </c>
      <c r="H80" s="78">
        <f t="shared" ca="1" si="3"/>
        <v>51</v>
      </c>
      <c r="I80" s="53">
        <f t="shared" ca="1" si="0"/>
        <v>2142</v>
      </c>
    </row>
    <row r="81" spans="1:9" s="58" customFormat="1" ht="15" customHeight="1">
      <c r="A81" s="50">
        <v>4</v>
      </c>
      <c r="B81" s="51" t="str">
        <f ca="1">IF($A81="","",NumList())</f>
        <v>2.6.1.4</v>
      </c>
      <c r="C81" s="61" t="s">
        <v>45</v>
      </c>
      <c r="D81" s="55">
        <f t="shared" ca="1" si="1"/>
        <v>1</v>
      </c>
      <c r="E81" s="55"/>
      <c r="F81" s="55">
        <f t="shared" ca="1" si="2"/>
        <v>64</v>
      </c>
      <c r="G81" s="51" t="s">
        <v>8</v>
      </c>
      <c r="H81" s="78">
        <f t="shared" ca="1" si="3"/>
        <v>14</v>
      </c>
      <c r="I81" s="53">
        <f t="shared" ca="1" si="0"/>
        <v>896</v>
      </c>
    </row>
    <row r="82" spans="1:9" s="58" customFormat="1" ht="15" customHeight="1">
      <c r="A82" s="50">
        <v>3</v>
      </c>
      <c r="B82" s="51" t="str">
        <f ca="1">IF($A82="","",NumList())</f>
        <v>2.6.2</v>
      </c>
      <c r="C82" s="62" t="s">
        <v>607</v>
      </c>
      <c r="D82" s="55">
        <f t="shared" ca="1" si="1"/>
        <v>1</v>
      </c>
      <c r="E82" s="55"/>
      <c r="F82" s="55">
        <f t="shared" ca="1" si="2"/>
        <v>85</v>
      </c>
      <c r="G82" s="51" t="s">
        <v>8</v>
      </c>
      <c r="H82" s="78">
        <f t="shared" ca="1" si="3"/>
        <v>56</v>
      </c>
      <c r="I82" s="53">
        <f t="shared" ca="1" si="0"/>
        <v>4760</v>
      </c>
    </row>
    <row r="83" spans="1:9" s="58" customFormat="1" ht="15" customHeight="1">
      <c r="A83" s="50">
        <v>4</v>
      </c>
      <c r="B83" s="51" t="str">
        <f ca="1">IF($A83="","",NumList())</f>
        <v>2.6.2.1</v>
      </c>
      <c r="C83" s="62" t="s">
        <v>26</v>
      </c>
      <c r="D83" s="55">
        <f t="shared" ca="1" si="1"/>
        <v>0</v>
      </c>
      <c r="E83" s="55"/>
      <c r="F83" s="55">
        <f t="shared" ca="1" si="2"/>
        <v>0</v>
      </c>
      <c r="G83" s="51"/>
      <c r="H83" s="78">
        <f t="shared" ca="1" si="3"/>
        <v>0</v>
      </c>
      <c r="I83" s="53">
        <f t="shared" ca="1" si="0"/>
        <v>0</v>
      </c>
    </row>
    <row r="84" spans="1:9" s="58" customFormat="1" ht="15" customHeight="1">
      <c r="A84" s="50">
        <v>4</v>
      </c>
      <c r="B84" s="51" t="str">
        <f ca="1">IF($A84="","",NumList())</f>
        <v>2.6.2.2</v>
      </c>
      <c r="C84" s="61" t="s">
        <v>27</v>
      </c>
      <c r="D84" s="55">
        <f t="shared" ca="1" si="1"/>
        <v>1</v>
      </c>
      <c r="E84" s="55"/>
      <c r="F84" s="55">
        <f t="shared" ca="1" si="2"/>
        <v>93</v>
      </c>
      <c r="G84" s="51" t="s">
        <v>8</v>
      </c>
      <c r="H84" s="78">
        <f t="shared" ca="1" si="3"/>
        <v>41</v>
      </c>
      <c r="I84" s="53">
        <f t="shared" ca="1" si="0"/>
        <v>3813</v>
      </c>
    </row>
    <row r="85" spans="1:9" s="58" customFormat="1" ht="15" customHeight="1">
      <c r="A85" s="50">
        <v>4</v>
      </c>
      <c r="B85" s="51" t="str">
        <f ca="1">IF($A85="","",NumList())</f>
        <v>2.6.2.3</v>
      </c>
      <c r="C85" s="61" t="s">
        <v>44</v>
      </c>
      <c r="D85" s="55">
        <f t="shared" ca="1" si="1"/>
        <v>1</v>
      </c>
      <c r="E85" s="55"/>
      <c r="F85" s="55">
        <f t="shared" ca="1" si="2"/>
        <v>9</v>
      </c>
      <c r="G85" s="51" t="s">
        <v>8</v>
      </c>
      <c r="H85" s="78">
        <f t="shared" ca="1" si="3"/>
        <v>27</v>
      </c>
      <c r="I85" s="53">
        <f t="shared" ca="1" si="0"/>
        <v>243</v>
      </c>
    </row>
    <row r="86" spans="1:9" s="58" customFormat="1" ht="15" customHeight="1">
      <c r="A86" s="50">
        <v>4</v>
      </c>
      <c r="B86" s="51" t="str">
        <f ca="1">IF($A86="","",NumList())</f>
        <v>2.6.2.4</v>
      </c>
      <c r="C86" s="61" t="s">
        <v>45</v>
      </c>
      <c r="D86" s="55">
        <f t="shared" ca="1" si="1"/>
        <v>1</v>
      </c>
      <c r="E86" s="55"/>
      <c r="F86" s="55">
        <f t="shared" ca="1" si="2"/>
        <v>16</v>
      </c>
      <c r="G86" s="51" t="s">
        <v>8</v>
      </c>
      <c r="H86" s="78">
        <f t="shared" ca="1" si="3"/>
        <v>48</v>
      </c>
      <c r="I86" s="53">
        <f t="shared" ca="1" si="0"/>
        <v>768</v>
      </c>
    </row>
    <row r="87" spans="1:9" s="58" customFormat="1" ht="15" customHeight="1">
      <c r="A87" s="50">
        <v>3</v>
      </c>
      <c r="B87" s="51" t="str">
        <f ca="1">IF($A87="","",NumList())</f>
        <v>2.6.3</v>
      </c>
      <c r="C87" s="62" t="s">
        <v>608</v>
      </c>
      <c r="D87" s="55">
        <f t="shared" ca="1" si="1"/>
        <v>1</v>
      </c>
      <c r="E87" s="55"/>
      <c r="F87" s="55">
        <f t="shared" ca="1" si="2"/>
        <v>10</v>
      </c>
      <c r="G87" s="51" t="s">
        <v>8</v>
      </c>
      <c r="H87" s="78">
        <f t="shared" ca="1" si="3"/>
        <v>25</v>
      </c>
      <c r="I87" s="53">
        <f t="shared" ca="1" si="0"/>
        <v>250</v>
      </c>
    </row>
    <row r="88" spans="1:9" s="58" customFormat="1" ht="15" customHeight="1">
      <c r="A88" s="50">
        <v>4</v>
      </c>
      <c r="B88" s="51" t="str">
        <f ca="1">IF($A88="","",NumList())</f>
        <v>2.6.3.1</v>
      </c>
      <c r="C88" s="62" t="s">
        <v>26</v>
      </c>
      <c r="D88" s="55">
        <f t="shared" ca="1" si="1"/>
        <v>0</v>
      </c>
      <c r="E88" s="55"/>
      <c r="F88" s="55">
        <f t="shared" ca="1" si="2"/>
        <v>0</v>
      </c>
      <c r="G88" s="51"/>
      <c r="H88" s="78">
        <f t="shared" ca="1" si="3"/>
        <v>0</v>
      </c>
      <c r="I88" s="53">
        <f t="shared" ca="1" si="0"/>
        <v>0</v>
      </c>
    </row>
    <row r="89" spans="1:9" s="58" customFormat="1" ht="15" customHeight="1">
      <c r="A89" s="50">
        <v>4</v>
      </c>
      <c r="B89" s="51" t="str">
        <f ca="1">IF($A89="","",NumList())</f>
        <v>2.6.3.2</v>
      </c>
      <c r="C89" s="61" t="s">
        <v>27</v>
      </c>
      <c r="D89" s="55">
        <f t="shared" ca="1" si="1"/>
        <v>1</v>
      </c>
      <c r="E89" s="55"/>
      <c r="F89" s="55">
        <f t="shared" ca="1" si="2"/>
        <v>52</v>
      </c>
      <c r="G89" s="51" t="s">
        <v>8</v>
      </c>
      <c r="H89" s="78">
        <f t="shared" ca="1" si="3"/>
        <v>4</v>
      </c>
      <c r="I89" s="53">
        <f t="shared" ref="I89:I149" ca="1" si="4">F89*H89</f>
        <v>208</v>
      </c>
    </row>
    <row r="90" spans="1:9" s="58" customFormat="1" ht="15" customHeight="1">
      <c r="A90" s="50">
        <v>4</v>
      </c>
      <c r="B90" s="51" t="str">
        <f ca="1">IF($A90="","",NumList())</f>
        <v>2.6.3.3</v>
      </c>
      <c r="C90" s="61" t="s">
        <v>44</v>
      </c>
      <c r="D90" s="55">
        <f t="shared" ca="1" si="1"/>
        <v>1</v>
      </c>
      <c r="E90" s="55"/>
      <c r="F90" s="55">
        <f t="shared" ca="1" si="2"/>
        <v>86</v>
      </c>
      <c r="G90" s="51" t="s">
        <v>8</v>
      </c>
      <c r="H90" s="78">
        <f t="shared" ca="1" si="3"/>
        <v>29</v>
      </c>
      <c r="I90" s="53">
        <f t="shared" ca="1" si="4"/>
        <v>2494</v>
      </c>
    </row>
    <row r="91" spans="1:9" s="58" customFormat="1" ht="15" customHeight="1">
      <c r="A91" s="50">
        <v>4</v>
      </c>
      <c r="B91" s="51" t="str">
        <f ca="1">IF($A91="","",NumList())</f>
        <v>2.6.3.4</v>
      </c>
      <c r="C91" s="61" t="s">
        <v>45</v>
      </c>
      <c r="D91" s="55">
        <f t="shared" ca="1" si="1"/>
        <v>1</v>
      </c>
      <c r="E91" s="55"/>
      <c r="F91" s="55">
        <f t="shared" ca="1" si="2"/>
        <v>46</v>
      </c>
      <c r="G91" s="51" t="s">
        <v>8</v>
      </c>
      <c r="H91" s="78">
        <f t="shared" ca="1" si="3"/>
        <v>93</v>
      </c>
      <c r="I91" s="53">
        <f t="shared" ca="1" si="4"/>
        <v>4278</v>
      </c>
    </row>
    <row r="92" spans="1:9" s="58" customFormat="1" ht="15" customHeight="1">
      <c r="A92" s="50">
        <v>3</v>
      </c>
      <c r="B92" s="51" t="str">
        <f ca="1">IF($A92="","",NumList())</f>
        <v>2.6.4</v>
      </c>
      <c r="C92" s="62" t="s">
        <v>609</v>
      </c>
      <c r="D92" s="55">
        <f t="shared" ref="D92:D153" ca="1" si="5">IF(ISTEXT(G92),RANDBETWEEN(1,1),0)</f>
        <v>1</v>
      </c>
      <c r="E92" s="55"/>
      <c r="F92" s="55">
        <f t="shared" ref="F92:F150" ca="1" si="6">IF(ISTEXT(G92),RANDBETWEEN(1,100),0)</f>
        <v>90</v>
      </c>
      <c r="G92" s="51" t="s">
        <v>8</v>
      </c>
      <c r="H92" s="78">
        <f t="shared" ref="H92:H150" ca="1" si="7">IF(ISTEXT(G92),RANDBETWEEN(1,100),0)</f>
        <v>2</v>
      </c>
      <c r="I92" s="53">
        <f t="shared" ca="1" si="4"/>
        <v>180</v>
      </c>
    </row>
    <row r="93" spans="1:9" s="58" customFormat="1" ht="15" customHeight="1">
      <c r="A93" s="50">
        <v>4</v>
      </c>
      <c r="B93" s="51" t="str">
        <f ca="1">IF($A93="","",NumList())</f>
        <v>2.6.4.1</v>
      </c>
      <c r="C93" s="62" t="s">
        <v>26</v>
      </c>
      <c r="D93" s="55">
        <f t="shared" ca="1" si="5"/>
        <v>0</v>
      </c>
      <c r="E93" s="55"/>
      <c r="F93" s="55">
        <f t="shared" ca="1" si="6"/>
        <v>0</v>
      </c>
      <c r="G93" s="51"/>
      <c r="H93" s="78">
        <f t="shared" ca="1" si="7"/>
        <v>0</v>
      </c>
      <c r="I93" s="53">
        <f t="shared" ca="1" si="4"/>
        <v>0</v>
      </c>
    </row>
    <row r="94" spans="1:9" s="58" customFormat="1" ht="15" customHeight="1">
      <c r="A94" s="50">
        <v>4</v>
      </c>
      <c r="B94" s="51" t="str">
        <f ca="1">IF($A94="","",NumList())</f>
        <v>2.6.4.2</v>
      </c>
      <c r="C94" s="61" t="s">
        <v>27</v>
      </c>
      <c r="D94" s="55">
        <f t="shared" ca="1" si="5"/>
        <v>1</v>
      </c>
      <c r="E94" s="55"/>
      <c r="F94" s="55">
        <f t="shared" ca="1" si="6"/>
        <v>88</v>
      </c>
      <c r="G94" s="51" t="s">
        <v>8</v>
      </c>
      <c r="H94" s="78">
        <f t="shared" ca="1" si="7"/>
        <v>96</v>
      </c>
      <c r="I94" s="53">
        <f t="shared" ca="1" si="4"/>
        <v>8448</v>
      </c>
    </row>
    <row r="95" spans="1:9" s="58" customFormat="1" ht="15" customHeight="1">
      <c r="A95" s="50">
        <v>4</v>
      </c>
      <c r="B95" s="51" t="str">
        <f ca="1">IF($A95="","",NumList())</f>
        <v>2.6.4.3</v>
      </c>
      <c r="C95" s="61" t="s">
        <v>44</v>
      </c>
      <c r="D95" s="55">
        <f t="shared" ca="1" si="5"/>
        <v>1</v>
      </c>
      <c r="E95" s="55"/>
      <c r="F95" s="55">
        <f t="shared" ca="1" si="6"/>
        <v>90</v>
      </c>
      <c r="G95" s="51" t="s">
        <v>8</v>
      </c>
      <c r="H95" s="78">
        <f t="shared" ca="1" si="7"/>
        <v>59</v>
      </c>
      <c r="I95" s="53">
        <f t="shared" ca="1" si="4"/>
        <v>5310</v>
      </c>
    </row>
    <row r="96" spans="1:9" s="58" customFormat="1" ht="15" customHeight="1">
      <c r="A96" s="50">
        <v>4</v>
      </c>
      <c r="B96" s="51" t="str">
        <f ca="1">IF($A96="","",NumList())</f>
        <v>2.6.4.4</v>
      </c>
      <c r="C96" s="61" t="s">
        <v>45</v>
      </c>
      <c r="D96" s="55">
        <f t="shared" ca="1" si="5"/>
        <v>1</v>
      </c>
      <c r="E96" s="55"/>
      <c r="F96" s="55">
        <f t="shared" ca="1" si="6"/>
        <v>10</v>
      </c>
      <c r="G96" s="51" t="s">
        <v>8</v>
      </c>
      <c r="H96" s="78">
        <f t="shared" ca="1" si="7"/>
        <v>82</v>
      </c>
      <c r="I96" s="53">
        <f t="shared" ca="1" si="4"/>
        <v>820</v>
      </c>
    </row>
    <row r="97" spans="1:10" s="58" customFormat="1" ht="15" customHeight="1">
      <c r="A97" s="50">
        <v>2</v>
      </c>
      <c r="B97" s="51" t="str">
        <f ca="1">IF($A97="","",NumList())</f>
        <v>2.7</v>
      </c>
      <c r="C97" s="62" t="s">
        <v>459</v>
      </c>
      <c r="D97" s="55">
        <f t="shared" ca="1" si="5"/>
        <v>0</v>
      </c>
      <c r="E97" s="55"/>
      <c r="F97" s="55">
        <f t="shared" ca="1" si="6"/>
        <v>0</v>
      </c>
      <c r="G97" s="51"/>
      <c r="H97" s="78">
        <f t="shared" ca="1" si="7"/>
        <v>0</v>
      </c>
      <c r="I97" s="53">
        <f t="shared" ca="1" si="4"/>
        <v>0</v>
      </c>
    </row>
    <row r="98" spans="1:10" s="58" customFormat="1" ht="15" customHeight="1">
      <c r="A98" s="50">
        <v>3</v>
      </c>
      <c r="B98" s="51" t="str">
        <f ca="1">IF($A98="","",NumList())</f>
        <v>2.7.1</v>
      </c>
      <c r="C98" s="62" t="s">
        <v>26</v>
      </c>
      <c r="D98" s="55">
        <f t="shared" ca="1" si="5"/>
        <v>1</v>
      </c>
      <c r="E98" s="55"/>
      <c r="F98" s="55">
        <f t="shared" ca="1" si="6"/>
        <v>1</v>
      </c>
      <c r="G98" s="51" t="s">
        <v>8</v>
      </c>
      <c r="H98" s="78">
        <f t="shared" ca="1" si="7"/>
        <v>64</v>
      </c>
      <c r="I98" s="53">
        <f t="shared" ca="1" si="4"/>
        <v>64</v>
      </c>
    </row>
    <row r="99" spans="1:10" s="58" customFormat="1" ht="15" customHeight="1">
      <c r="A99" s="50">
        <v>3</v>
      </c>
      <c r="B99" s="51" t="str">
        <f ca="1">IF($A99="","",NumList())</f>
        <v>2.7.2</v>
      </c>
      <c r="C99" s="61" t="s">
        <v>27</v>
      </c>
      <c r="D99" s="55">
        <f t="shared" ca="1" si="5"/>
        <v>1</v>
      </c>
      <c r="E99" s="55"/>
      <c r="F99" s="55">
        <f t="shared" ca="1" si="6"/>
        <v>2</v>
      </c>
      <c r="G99" s="51" t="s">
        <v>8</v>
      </c>
      <c r="H99" s="78">
        <f t="shared" ca="1" si="7"/>
        <v>100</v>
      </c>
      <c r="I99" s="53">
        <f t="shared" ca="1" si="4"/>
        <v>200</v>
      </c>
    </row>
    <row r="100" spans="1:10" s="58" customFormat="1" ht="15" customHeight="1">
      <c r="A100" s="50">
        <v>3</v>
      </c>
      <c r="B100" s="51" t="str">
        <f ca="1">IF($A100="","",NumList())</f>
        <v>2.7.3</v>
      </c>
      <c r="C100" s="61" t="s">
        <v>44</v>
      </c>
      <c r="D100" s="55">
        <f t="shared" ca="1" si="5"/>
        <v>1</v>
      </c>
      <c r="E100" s="55"/>
      <c r="F100" s="55">
        <f t="shared" ca="1" si="6"/>
        <v>22</v>
      </c>
      <c r="G100" s="51" t="s">
        <v>8</v>
      </c>
      <c r="H100" s="78">
        <f t="shared" ca="1" si="7"/>
        <v>28</v>
      </c>
      <c r="I100" s="53">
        <f t="shared" ca="1" si="4"/>
        <v>616</v>
      </c>
    </row>
    <row r="101" spans="1:10" s="58" customFormat="1" ht="15" customHeight="1">
      <c r="A101" s="50">
        <v>3</v>
      </c>
      <c r="B101" s="51" t="str">
        <f ca="1">IF($A101="","",NumList())</f>
        <v>2.7.4</v>
      </c>
      <c r="C101" s="61" t="s">
        <v>45</v>
      </c>
      <c r="D101" s="55">
        <f t="shared" ca="1" si="5"/>
        <v>1</v>
      </c>
      <c r="E101" s="55"/>
      <c r="F101" s="55">
        <f t="shared" ca="1" si="6"/>
        <v>66</v>
      </c>
      <c r="G101" s="51" t="s">
        <v>8</v>
      </c>
      <c r="H101" s="78">
        <f t="shared" ca="1" si="7"/>
        <v>94</v>
      </c>
      <c r="I101" s="53">
        <f t="shared" ca="1" si="4"/>
        <v>6204</v>
      </c>
    </row>
    <row r="102" spans="1:10" s="58" customFormat="1" ht="15" customHeight="1">
      <c r="A102" s="50">
        <v>2</v>
      </c>
      <c r="B102" s="51" t="str">
        <f ca="1">IF($A102="","",NumList())</f>
        <v>2.8</v>
      </c>
      <c r="C102" s="61" t="s">
        <v>460</v>
      </c>
      <c r="D102" s="55">
        <f t="shared" ca="1" si="5"/>
        <v>0</v>
      </c>
      <c r="E102" s="55"/>
      <c r="F102" s="55">
        <f t="shared" ca="1" si="6"/>
        <v>0</v>
      </c>
      <c r="G102" s="51"/>
      <c r="H102" s="78">
        <f t="shared" ca="1" si="7"/>
        <v>0</v>
      </c>
      <c r="I102" s="53">
        <f t="shared" ca="1" si="4"/>
        <v>0</v>
      </c>
    </row>
    <row r="103" spans="1:10" s="58" customFormat="1" ht="15" customHeight="1">
      <c r="A103" s="50">
        <v>3</v>
      </c>
      <c r="B103" s="51" t="str">
        <f ca="1">IF($A103="","",NumList())</f>
        <v>2.8.1</v>
      </c>
      <c r="C103" s="62" t="s">
        <v>234</v>
      </c>
      <c r="D103" s="55">
        <f t="shared" ca="1" si="5"/>
        <v>1</v>
      </c>
      <c r="E103" s="55"/>
      <c r="F103" s="55">
        <f t="shared" ca="1" si="6"/>
        <v>2</v>
      </c>
      <c r="G103" s="51" t="s">
        <v>8</v>
      </c>
      <c r="H103" s="78">
        <f t="shared" ca="1" si="7"/>
        <v>49</v>
      </c>
      <c r="I103" s="53">
        <f t="shared" ca="1" si="4"/>
        <v>98</v>
      </c>
    </row>
    <row r="104" spans="1:10" s="58" customFormat="1" ht="15" customHeight="1">
      <c r="A104" s="50">
        <v>3</v>
      </c>
      <c r="B104" s="51" t="str">
        <f ca="1">IF($A104="","",NumList())</f>
        <v>2.8.2</v>
      </c>
      <c r="C104" s="61" t="s">
        <v>233</v>
      </c>
      <c r="D104" s="55">
        <f t="shared" ca="1" si="5"/>
        <v>1</v>
      </c>
      <c r="E104" s="55"/>
      <c r="F104" s="55">
        <f t="shared" ca="1" si="6"/>
        <v>32</v>
      </c>
      <c r="G104" s="51" t="s">
        <v>8</v>
      </c>
      <c r="H104" s="78">
        <f t="shared" ca="1" si="7"/>
        <v>47</v>
      </c>
      <c r="I104" s="53">
        <f t="shared" ca="1" si="4"/>
        <v>1504</v>
      </c>
    </row>
    <row r="105" spans="1:10" s="58" customFormat="1" ht="15" customHeight="1">
      <c r="A105" s="50">
        <v>3</v>
      </c>
      <c r="B105" s="51" t="str">
        <f ca="1">IF($A105="","",NumList())</f>
        <v>2.8.3</v>
      </c>
      <c r="C105" s="61" t="s">
        <v>232</v>
      </c>
      <c r="D105" s="55">
        <f t="shared" ca="1" si="5"/>
        <v>1</v>
      </c>
      <c r="E105" s="55"/>
      <c r="F105" s="55">
        <f t="shared" ca="1" si="6"/>
        <v>10</v>
      </c>
      <c r="G105" s="51" t="s">
        <v>8</v>
      </c>
      <c r="H105" s="78">
        <f t="shared" ca="1" si="7"/>
        <v>51</v>
      </c>
      <c r="I105" s="53">
        <f t="shared" ca="1" si="4"/>
        <v>510</v>
      </c>
    </row>
    <row r="106" spans="1:10" s="58" customFormat="1" ht="15" customHeight="1">
      <c r="A106" s="50" t="s">
        <v>516</v>
      </c>
      <c r="B106" s="51" t="str">
        <f>IF($A106="","",NumList())</f>
        <v/>
      </c>
      <c r="C106" s="61"/>
      <c r="D106" s="55">
        <f t="shared" ca="1" si="5"/>
        <v>0</v>
      </c>
      <c r="E106" s="55"/>
      <c r="F106" s="55">
        <f t="shared" ca="1" si="6"/>
        <v>0</v>
      </c>
      <c r="G106" s="51"/>
      <c r="H106" s="78">
        <f t="shared" ca="1" si="7"/>
        <v>0</v>
      </c>
      <c r="I106" s="53">
        <f t="shared" ca="1" si="4"/>
        <v>0</v>
      </c>
    </row>
    <row r="107" spans="1:10" s="41" customFormat="1" ht="43.5">
      <c r="A107" s="50">
        <v>1</v>
      </c>
      <c r="B107" s="51">
        <f ca="1">IF($A107="","",NumList())</f>
        <v>3</v>
      </c>
      <c r="C107" s="63" t="s">
        <v>617</v>
      </c>
      <c r="D107" s="55">
        <f t="shared" ca="1" si="5"/>
        <v>0</v>
      </c>
      <c r="E107" s="48"/>
      <c r="F107" s="55">
        <f t="shared" ca="1" si="6"/>
        <v>0</v>
      </c>
      <c r="G107" s="46"/>
      <c r="H107" s="78">
        <f t="shared" ca="1" si="7"/>
        <v>0</v>
      </c>
      <c r="I107" s="53">
        <f t="shared" ca="1" si="4"/>
        <v>0</v>
      </c>
    </row>
    <row r="108" spans="1:10" s="58" customFormat="1" ht="28.5">
      <c r="A108" s="50">
        <v>2</v>
      </c>
      <c r="B108" s="51" t="str">
        <f ca="1">IF($A108="","",NumList())</f>
        <v>3.1</v>
      </c>
      <c r="C108" s="62" t="s">
        <v>499</v>
      </c>
      <c r="D108" s="55">
        <f t="shared" ca="1" si="5"/>
        <v>0</v>
      </c>
      <c r="E108" s="55"/>
      <c r="F108" s="55">
        <f t="shared" ca="1" si="6"/>
        <v>0</v>
      </c>
      <c r="G108" s="51"/>
      <c r="H108" s="78">
        <f t="shared" ca="1" si="7"/>
        <v>0</v>
      </c>
      <c r="I108" s="53">
        <f t="shared" ca="1" si="4"/>
        <v>0</v>
      </c>
      <c r="J108" s="95" t="s">
        <v>494</v>
      </c>
    </row>
    <row r="109" spans="1:10" s="58" customFormat="1" ht="15" customHeight="1">
      <c r="A109" s="50">
        <v>3</v>
      </c>
      <c r="B109" s="51" t="str">
        <f ca="1">IF($A109="","",NumList())</f>
        <v>3.1.1</v>
      </c>
      <c r="C109" s="62" t="s">
        <v>613</v>
      </c>
      <c r="D109" s="55">
        <f t="shared" ca="1" si="5"/>
        <v>1</v>
      </c>
      <c r="E109" s="55"/>
      <c r="F109" s="55">
        <f t="shared" ca="1" si="6"/>
        <v>59</v>
      </c>
      <c r="G109" s="51" t="s">
        <v>8</v>
      </c>
      <c r="H109" s="78">
        <f t="shared" ca="1" si="7"/>
        <v>72</v>
      </c>
      <c r="I109" s="53">
        <f t="shared" ca="1" si="4"/>
        <v>4248</v>
      </c>
    </row>
    <row r="110" spans="1:10" s="58" customFormat="1" ht="15" customHeight="1">
      <c r="A110" s="50">
        <v>3</v>
      </c>
      <c r="B110" s="51" t="str">
        <f ca="1">IF($A110="","",NumList())</f>
        <v>3.1.2</v>
      </c>
      <c r="C110" s="62" t="s">
        <v>614</v>
      </c>
      <c r="D110" s="55">
        <f t="shared" ca="1" si="5"/>
        <v>1</v>
      </c>
      <c r="E110" s="55"/>
      <c r="F110" s="55">
        <f t="shared" ca="1" si="6"/>
        <v>45</v>
      </c>
      <c r="G110" s="51" t="s">
        <v>8</v>
      </c>
      <c r="H110" s="78">
        <f t="shared" ca="1" si="7"/>
        <v>70</v>
      </c>
      <c r="I110" s="53">
        <f t="shared" ca="1" si="4"/>
        <v>3150</v>
      </c>
    </row>
    <row r="111" spans="1:10" s="58" customFormat="1" ht="15" customHeight="1">
      <c r="A111" s="50">
        <v>3</v>
      </c>
      <c r="B111" s="51" t="str">
        <f ca="1">IF($A111="","",NumList())</f>
        <v>3.1.3</v>
      </c>
      <c r="C111" s="62" t="s">
        <v>615</v>
      </c>
      <c r="D111" s="55">
        <f t="shared" ca="1" si="5"/>
        <v>1</v>
      </c>
      <c r="E111" s="55"/>
      <c r="F111" s="55">
        <f t="shared" ca="1" si="6"/>
        <v>79</v>
      </c>
      <c r="G111" s="51" t="s">
        <v>8</v>
      </c>
      <c r="H111" s="78">
        <f t="shared" ca="1" si="7"/>
        <v>49</v>
      </c>
      <c r="I111" s="53">
        <f t="shared" ca="1" si="4"/>
        <v>3871</v>
      </c>
    </row>
    <row r="112" spans="1:10" s="58" customFormat="1" ht="15" customHeight="1">
      <c r="A112" s="50" t="s">
        <v>516</v>
      </c>
      <c r="B112" s="51" t="str">
        <f>IF($A112="","",NumList())</f>
        <v/>
      </c>
      <c r="C112" s="62"/>
      <c r="D112" s="55">
        <f t="shared" ca="1" si="5"/>
        <v>0</v>
      </c>
      <c r="E112" s="55"/>
      <c r="F112" s="55">
        <f t="shared" ca="1" si="6"/>
        <v>0</v>
      </c>
      <c r="G112" s="51"/>
      <c r="H112" s="78">
        <f t="shared" ca="1" si="7"/>
        <v>0</v>
      </c>
      <c r="I112" s="53">
        <f t="shared" ca="1" si="4"/>
        <v>0</v>
      </c>
    </row>
    <row r="113" spans="1:10" s="58" customFormat="1" ht="28.5">
      <c r="A113" s="50">
        <v>2</v>
      </c>
      <c r="B113" s="51" t="str">
        <f ca="1">IF($A113="","",NumList())</f>
        <v>3.2</v>
      </c>
      <c r="C113" s="62" t="s">
        <v>498</v>
      </c>
      <c r="D113" s="55">
        <f t="shared" ca="1" si="5"/>
        <v>1</v>
      </c>
      <c r="E113" s="55"/>
      <c r="F113" s="55">
        <f t="shared" ca="1" si="6"/>
        <v>16</v>
      </c>
      <c r="G113" s="51" t="s">
        <v>8</v>
      </c>
      <c r="H113" s="78">
        <f t="shared" ca="1" si="7"/>
        <v>16</v>
      </c>
      <c r="I113" s="53">
        <f t="shared" ca="1" si="4"/>
        <v>256</v>
      </c>
      <c r="J113" s="95" t="s">
        <v>494</v>
      </c>
    </row>
    <row r="114" spans="1:10" s="58" customFormat="1" ht="15" customHeight="1">
      <c r="A114" s="50">
        <v>3</v>
      </c>
      <c r="B114" s="51" t="str">
        <f ca="1">IF($A114="","",NumList())</f>
        <v>3.2.1</v>
      </c>
      <c r="C114" s="62" t="s">
        <v>613</v>
      </c>
      <c r="D114" s="55">
        <f t="shared" ca="1" si="5"/>
        <v>1</v>
      </c>
      <c r="E114" s="55"/>
      <c r="F114" s="55">
        <f t="shared" ca="1" si="6"/>
        <v>4</v>
      </c>
      <c r="G114" s="51" t="s">
        <v>8</v>
      </c>
      <c r="H114" s="78">
        <f t="shared" ca="1" si="7"/>
        <v>5</v>
      </c>
      <c r="I114" s="53">
        <f t="shared" ca="1" si="4"/>
        <v>20</v>
      </c>
    </row>
    <row r="115" spans="1:10" s="58" customFormat="1" ht="15" customHeight="1">
      <c r="A115" s="50">
        <v>3</v>
      </c>
      <c r="B115" s="51" t="str">
        <f ca="1">IF($A115="","",NumList())</f>
        <v>3.2.2</v>
      </c>
      <c r="C115" s="62" t="s">
        <v>614</v>
      </c>
      <c r="D115" s="55">
        <f t="shared" ca="1" si="5"/>
        <v>1</v>
      </c>
      <c r="E115" s="55"/>
      <c r="F115" s="55">
        <f t="shared" ca="1" si="6"/>
        <v>20</v>
      </c>
      <c r="G115" s="51" t="s">
        <v>8</v>
      </c>
      <c r="H115" s="78">
        <f t="shared" ca="1" si="7"/>
        <v>10</v>
      </c>
      <c r="I115" s="53">
        <f t="shared" ca="1" si="4"/>
        <v>200</v>
      </c>
    </row>
    <row r="116" spans="1:10" s="58" customFormat="1" ht="15" customHeight="1">
      <c r="A116" s="50">
        <v>3</v>
      </c>
      <c r="B116" s="51" t="str">
        <f ca="1">IF($A116="","",NumList())</f>
        <v>3.2.3</v>
      </c>
      <c r="C116" s="62" t="s">
        <v>615</v>
      </c>
      <c r="D116" s="55">
        <f t="shared" ca="1" si="5"/>
        <v>1</v>
      </c>
      <c r="E116" s="55"/>
      <c r="F116" s="55">
        <f t="shared" ca="1" si="6"/>
        <v>3</v>
      </c>
      <c r="G116" s="51" t="s">
        <v>8</v>
      </c>
      <c r="H116" s="78">
        <f t="shared" ca="1" si="7"/>
        <v>89</v>
      </c>
      <c r="I116" s="53">
        <f t="shared" ca="1" si="4"/>
        <v>267</v>
      </c>
    </row>
    <row r="117" spans="1:10" s="41" customFormat="1" ht="15">
      <c r="A117" s="50" t="s">
        <v>516</v>
      </c>
      <c r="B117" s="51" t="str">
        <f>IF($A117="","",NumList())</f>
        <v/>
      </c>
      <c r="C117" s="54"/>
      <c r="D117" s="55">
        <f t="shared" ca="1" si="5"/>
        <v>0</v>
      </c>
      <c r="E117" s="55"/>
      <c r="F117" s="55">
        <f t="shared" ca="1" si="6"/>
        <v>0</v>
      </c>
      <c r="G117" s="51"/>
      <c r="H117" s="78">
        <f t="shared" ca="1" si="7"/>
        <v>0</v>
      </c>
      <c r="I117" s="53">
        <f t="shared" ca="1" si="4"/>
        <v>0</v>
      </c>
      <c r="J117" s="58"/>
    </row>
    <row r="118" spans="1:10" s="41" customFormat="1" ht="15">
      <c r="A118" s="50">
        <v>1</v>
      </c>
      <c r="B118" s="51">
        <f ca="1">IF($A118="","",NumList())</f>
        <v>4</v>
      </c>
      <c r="C118" s="63" t="s">
        <v>231</v>
      </c>
      <c r="D118" s="55">
        <f t="shared" ca="1" si="5"/>
        <v>0</v>
      </c>
      <c r="E118" s="48"/>
      <c r="F118" s="55">
        <f t="shared" ca="1" si="6"/>
        <v>0</v>
      </c>
      <c r="G118" s="46"/>
      <c r="H118" s="78">
        <f t="shared" ca="1" si="7"/>
        <v>0</v>
      </c>
      <c r="I118" s="53">
        <f t="shared" ca="1" si="4"/>
        <v>0</v>
      </c>
    </row>
    <row r="119" spans="1:10" s="58" customFormat="1" ht="28.5">
      <c r="A119" s="50">
        <v>2</v>
      </c>
      <c r="B119" s="51" t="str">
        <f ca="1">IF($A119="","",NumList())</f>
        <v>4.1</v>
      </c>
      <c r="C119" s="61" t="s">
        <v>455</v>
      </c>
      <c r="D119" s="55">
        <f t="shared" ca="1" si="5"/>
        <v>0</v>
      </c>
      <c r="E119" s="55"/>
      <c r="F119" s="55">
        <f t="shared" ca="1" si="6"/>
        <v>0</v>
      </c>
      <c r="G119" s="51"/>
      <c r="H119" s="78">
        <f t="shared" ca="1" si="7"/>
        <v>0</v>
      </c>
      <c r="I119" s="53">
        <f t="shared" ca="1" si="4"/>
        <v>0</v>
      </c>
    </row>
    <row r="120" spans="1:10" s="41" customFormat="1" ht="15">
      <c r="A120" s="50">
        <v>3</v>
      </c>
      <c r="B120" s="51" t="str">
        <f ca="1">IF($A120="","",NumList())</f>
        <v>4.1.1</v>
      </c>
      <c r="C120" s="62" t="s">
        <v>14</v>
      </c>
      <c r="D120" s="55">
        <f t="shared" ca="1" si="5"/>
        <v>1</v>
      </c>
      <c r="E120" s="55"/>
      <c r="F120" s="55">
        <f t="shared" ca="1" si="6"/>
        <v>13</v>
      </c>
      <c r="G120" s="51" t="s">
        <v>8</v>
      </c>
      <c r="H120" s="78">
        <f t="shared" ca="1" si="7"/>
        <v>99</v>
      </c>
      <c r="I120" s="53">
        <f t="shared" ca="1" si="4"/>
        <v>1287</v>
      </c>
      <c r="J120" s="58"/>
    </row>
    <row r="121" spans="1:10" s="41" customFormat="1" ht="15">
      <c r="A121" s="50">
        <v>3</v>
      </c>
      <c r="B121" s="51" t="str">
        <f ca="1">IF($A121="","",NumList())</f>
        <v>4.1.2</v>
      </c>
      <c r="C121" s="62" t="s">
        <v>22</v>
      </c>
      <c r="D121" s="55">
        <f t="shared" ca="1" si="5"/>
        <v>1</v>
      </c>
      <c r="E121" s="55"/>
      <c r="F121" s="55">
        <f t="shared" ca="1" si="6"/>
        <v>44</v>
      </c>
      <c r="G121" s="51" t="s">
        <v>8</v>
      </c>
      <c r="H121" s="78">
        <f t="shared" ca="1" si="7"/>
        <v>27</v>
      </c>
      <c r="I121" s="53">
        <f t="shared" ca="1" si="4"/>
        <v>1188</v>
      </c>
      <c r="J121" s="58"/>
    </row>
    <row r="122" spans="1:10" s="41" customFormat="1" ht="15">
      <c r="A122" s="50">
        <v>3</v>
      </c>
      <c r="B122" s="51" t="str">
        <f ca="1">IF($A122="","",NumList())</f>
        <v>4.1.3</v>
      </c>
      <c r="C122" s="61" t="s">
        <v>34</v>
      </c>
      <c r="D122" s="55">
        <f t="shared" ca="1" si="5"/>
        <v>1</v>
      </c>
      <c r="E122" s="55"/>
      <c r="F122" s="55">
        <f t="shared" ca="1" si="6"/>
        <v>4</v>
      </c>
      <c r="G122" s="51" t="s">
        <v>8</v>
      </c>
      <c r="H122" s="78">
        <f t="shared" ca="1" si="7"/>
        <v>53</v>
      </c>
      <c r="I122" s="53">
        <f t="shared" ca="1" si="4"/>
        <v>212</v>
      </c>
      <c r="J122" s="58"/>
    </row>
    <row r="123" spans="1:10" s="41" customFormat="1" ht="15">
      <c r="A123" s="50">
        <v>3</v>
      </c>
      <c r="B123" s="51" t="str">
        <f ca="1">IF($A123="","",NumList())</f>
        <v>4.1.4</v>
      </c>
      <c r="C123" s="61" t="s">
        <v>35</v>
      </c>
      <c r="D123" s="55">
        <f t="shared" ca="1" si="5"/>
        <v>1</v>
      </c>
      <c r="E123" s="55"/>
      <c r="F123" s="55">
        <f t="shared" ca="1" si="6"/>
        <v>60</v>
      </c>
      <c r="G123" s="51" t="s">
        <v>8</v>
      </c>
      <c r="H123" s="78">
        <f t="shared" ca="1" si="7"/>
        <v>19</v>
      </c>
      <c r="I123" s="53">
        <f t="shared" ca="1" si="4"/>
        <v>1140</v>
      </c>
      <c r="J123" s="58"/>
    </row>
    <row r="124" spans="1:10" s="41" customFormat="1" ht="15">
      <c r="A124" s="50">
        <v>2</v>
      </c>
      <c r="B124" s="51" t="str">
        <f ca="1">IF($A124="","",NumList())</f>
        <v>4.2</v>
      </c>
      <c r="C124" s="62" t="s">
        <v>333</v>
      </c>
      <c r="D124" s="55">
        <f t="shared" ca="1" si="5"/>
        <v>0</v>
      </c>
      <c r="E124" s="55"/>
      <c r="F124" s="55">
        <f t="shared" ca="1" si="6"/>
        <v>0</v>
      </c>
      <c r="G124" s="51"/>
      <c r="H124" s="78">
        <f t="shared" ca="1" si="7"/>
        <v>0</v>
      </c>
      <c r="I124" s="53">
        <f t="shared" ca="1" si="4"/>
        <v>0</v>
      </c>
      <c r="J124" s="58"/>
    </row>
    <row r="125" spans="1:10" s="41" customFormat="1" ht="15">
      <c r="A125" s="50">
        <v>3</v>
      </c>
      <c r="B125" s="51" t="str">
        <f ca="1">IF($A125="","",NumList())</f>
        <v>4.2.1</v>
      </c>
      <c r="C125" s="62" t="s">
        <v>335</v>
      </c>
      <c r="D125" s="55">
        <f t="shared" ca="1" si="5"/>
        <v>1</v>
      </c>
      <c r="E125" s="55"/>
      <c r="F125" s="55">
        <f t="shared" ca="1" si="6"/>
        <v>43</v>
      </c>
      <c r="G125" s="51" t="s">
        <v>8</v>
      </c>
      <c r="H125" s="78">
        <f t="shared" ca="1" si="7"/>
        <v>59</v>
      </c>
      <c r="I125" s="53">
        <f t="shared" ca="1" si="4"/>
        <v>2537</v>
      </c>
      <c r="J125" s="58"/>
    </row>
    <row r="126" spans="1:10" s="41" customFormat="1" ht="15">
      <c r="A126" s="50">
        <v>3</v>
      </c>
      <c r="B126" s="51" t="str">
        <f ca="1">IF($A126="","",NumList())</f>
        <v>4.2.2</v>
      </c>
      <c r="C126" s="62" t="s">
        <v>336</v>
      </c>
      <c r="D126" s="55">
        <f t="shared" ca="1" si="5"/>
        <v>1</v>
      </c>
      <c r="E126" s="55"/>
      <c r="F126" s="55">
        <f t="shared" ca="1" si="6"/>
        <v>72</v>
      </c>
      <c r="G126" s="51" t="s">
        <v>8</v>
      </c>
      <c r="H126" s="78">
        <f t="shared" ca="1" si="7"/>
        <v>66</v>
      </c>
      <c r="I126" s="53">
        <f t="shared" ca="1" si="4"/>
        <v>4752</v>
      </c>
      <c r="J126" s="58"/>
    </row>
    <row r="127" spans="1:10" s="41" customFormat="1" ht="15">
      <c r="A127" s="50">
        <v>3</v>
      </c>
      <c r="B127" s="51" t="str">
        <f ca="1">IF($A127="","",NumList())</f>
        <v>4.2.3</v>
      </c>
      <c r="C127" s="62" t="s">
        <v>337</v>
      </c>
      <c r="D127" s="55">
        <f t="shared" ca="1" si="5"/>
        <v>1</v>
      </c>
      <c r="E127" s="55"/>
      <c r="F127" s="55">
        <f t="shared" ca="1" si="6"/>
        <v>31</v>
      </c>
      <c r="G127" s="51" t="s">
        <v>8</v>
      </c>
      <c r="H127" s="78">
        <f t="shared" ca="1" si="7"/>
        <v>30</v>
      </c>
      <c r="I127" s="53">
        <f t="shared" ca="1" si="4"/>
        <v>930</v>
      </c>
      <c r="J127" s="58"/>
    </row>
    <row r="128" spans="1:10" s="41" customFormat="1" ht="15">
      <c r="A128" s="50">
        <v>3</v>
      </c>
      <c r="B128" s="51" t="str">
        <f ca="1">IF($A128="","",NumList())</f>
        <v>4.2.4</v>
      </c>
      <c r="C128" s="62" t="s">
        <v>338</v>
      </c>
      <c r="D128" s="55">
        <f t="shared" ca="1" si="5"/>
        <v>1</v>
      </c>
      <c r="E128" s="55"/>
      <c r="F128" s="55">
        <f t="shared" ca="1" si="6"/>
        <v>38</v>
      </c>
      <c r="G128" s="51" t="s">
        <v>8</v>
      </c>
      <c r="H128" s="78">
        <f t="shared" ca="1" si="7"/>
        <v>69</v>
      </c>
      <c r="I128" s="53">
        <f t="shared" ca="1" si="4"/>
        <v>2622</v>
      </c>
      <c r="J128" s="58"/>
    </row>
    <row r="129" spans="1:10" s="41" customFormat="1" ht="15">
      <c r="A129" s="50">
        <v>2</v>
      </c>
      <c r="B129" s="51" t="str">
        <f ca="1">IF($A129="","",NumList())</f>
        <v>4.3</v>
      </c>
      <c r="C129" s="62" t="s">
        <v>334</v>
      </c>
      <c r="D129" s="55">
        <f t="shared" ca="1" si="5"/>
        <v>0</v>
      </c>
      <c r="E129" s="55"/>
      <c r="F129" s="55">
        <f t="shared" ca="1" si="6"/>
        <v>0</v>
      </c>
      <c r="G129" s="51"/>
      <c r="H129" s="78">
        <f t="shared" ca="1" si="7"/>
        <v>0</v>
      </c>
      <c r="I129" s="53">
        <f t="shared" ca="1" si="4"/>
        <v>0</v>
      </c>
      <c r="J129" s="58"/>
    </row>
    <row r="130" spans="1:10" s="41" customFormat="1" ht="15">
      <c r="A130" s="50">
        <v>3</v>
      </c>
      <c r="B130" s="51" t="str">
        <f ca="1">IF($A130="","",NumList())</f>
        <v>4.3.1</v>
      </c>
      <c r="C130" s="62" t="s">
        <v>335</v>
      </c>
      <c r="D130" s="55">
        <f t="shared" ca="1" si="5"/>
        <v>1</v>
      </c>
      <c r="E130" s="55"/>
      <c r="F130" s="55">
        <f t="shared" ca="1" si="6"/>
        <v>44</v>
      </c>
      <c r="G130" s="51" t="s">
        <v>8</v>
      </c>
      <c r="H130" s="78">
        <f t="shared" ca="1" si="7"/>
        <v>6</v>
      </c>
      <c r="I130" s="53">
        <f t="shared" ca="1" si="4"/>
        <v>264</v>
      </c>
      <c r="J130" s="58"/>
    </row>
    <row r="131" spans="1:10" s="41" customFormat="1" ht="15">
      <c r="A131" s="50">
        <v>3</v>
      </c>
      <c r="B131" s="51" t="str">
        <f ca="1">IF($A131="","",NumList())</f>
        <v>4.3.2</v>
      </c>
      <c r="C131" s="62" t="s">
        <v>336</v>
      </c>
      <c r="D131" s="55">
        <f t="shared" ca="1" si="5"/>
        <v>1</v>
      </c>
      <c r="E131" s="55"/>
      <c r="F131" s="55">
        <f t="shared" ca="1" si="6"/>
        <v>34</v>
      </c>
      <c r="G131" s="51" t="s">
        <v>8</v>
      </c>
      <c r="H131" s="78">
        <f t="shared" ca="1" si="7"/>
        <v>95</v>
      </c>
      <c r="I131" s="53">
        <f t="shared" ca="1" si="4"/>
        <v>3230</v>
      </c>
      <c r="J131" s="58"/>
    </row>
    <row r="132" spans="1:10" s="41" customFormat="1" ht="15">
      <c r="A132" s="50">
        <v>3</v>
      </c>
      <c r="B132" s="51" t="str">
        <f ca="1">IF($A132="","",NumList())</f>
        <v>4.3.3</v>
      </c>
      <c r="C132" s="62" t="s">
        <v>337</v>
      </c>
      <c r="D132" s="55">
        <f t="shared" ca="1" si="5"/>
        <v>1</v>
      </c>
      <c r="E132" s="55"/>
      <c r="F132" s="55">
        <f t="shared" ca="1" si="6"/>
        <v>40</v>
      </c>
      <c r="G132" s="51" t="s">
        <v>8</v>
      </c>
      <c r="H132" s="78">
        <f t="shared" ca="1" si="7"/>
        <v>1</v>
      </c>
      <c r="I132" s="53">
        <f t="shared" ca="1" si="4"/>
        <v>40</v>
      </c>
      <c r="J132" s="58"/>
    </row>
    <row r="133" spans="1:10" s="41" customFormat="1" ht="15">
      <c r="A133" s="50">
        <v>3</v>
      </c>
      <c r="B133" s="51" t="str">
        <f ca="1">IF($A133="","",NumList())</f>
        <v>4.3.4</v>
      </c>
      <c r="C133" s="62" t="s">
        <v>338</v>
      </c>
      <c r="D133" s="55">
        <f t="shared" ca="1" si="5"/>
        <v>1</v>
      </c>
      <c r="E133" s="55"/>
      <c r="F133" s="55">
        <f t="shared" ca="1" si="6"/>
        <v>26</v>
      </c>
      <c r="G133" s="51" t="s">
        <v>8</v>
      </c>
      <c r="H133" s="78">
        <f t="shared" ca="1" si="7"/>
        <v>87</v>
      </c>
      <c r="I133" s="53">
        <f t="shared" ca="1" si="4"/>
        <v>2262</v>
      </c>
      <c r="J133" s="58"/>
    </row>
    <row r="134" spans="1:10" s="41" customFormat="1" ht="15">
      <c r="A134" s="50" t="s">
        <v>516</v>
      </c>
      <c r="B134" s="51" t="str">
        <f>IF($A134="","",NumList())</f>
        <v/>
      </c>
      <c r="C134" s="62"/>
      <c r="D134" s="55">
        <f t="shared" ca="1" si="5"/>
        <v>0</v>
      </c>
      <c r="E134" s="55"/>
      <c r="F134" s="55">
        <f t="shared" ca="1" si="6"/>
        <v>0</v>
      </c>
      <c r="G134" s="51"/>
      <c r="H134" s="78">
        <f t="shared" ca="1" si="7"/>
        <v>0</v>
      </c>
      <c r="I134" s="53">
        <f t="shared" ca="1" si="4"/>
        <v>0</v>
      </c>
      <c r="J134" s="58"/>
    </row>
    <row r="135" spans="1:10" s="41" customFormat="1" ht="15">
      <c r="A135" s="50">
        <v>2</v>
      </c>
      <c r="B135" s="51" t="str">
        <f ca="1">IF($A135="","",NumList())</f>
        <v>4.4</v>
      </c>
      <c r="C135" s="62" t="s">
        <v>47</v>
      </c>
      <c r="D135" s="55">
        <f t="shared" ca="1" si="5"/>
        <v>1</v>
      </c>
      <c r="E135" s="55"/>
      <c r="F135" s="55">
        <f t="shared" ca="1" si="6"/>
        <v>79</v>
      </c>
      <c r="G135" s="51" t="s">
        <v>0</v>
      </c>
      <c r="H135" s="78">
        <f t="shared" ca="1" si="7"/>
        <v>2</v>
      </c>
      <c r="I135" s="53">
        <f t="shared" ca="1" si="4"/>
        <v>158</v>
      </c>
      <c r="J135" s="58"/>
    </row>
    <row r="136" spans="1:10" s="41" customFormat="1" ht="15">
      <c r="A136" s="50" t="s">
        <v>516</v>
      </c>
      <c r="B136" s="51" t="str">
        <f>IF($A136="","",NumList())</f>
        <v/>
      </c>
      <c r="C136" s="61"/>
      <c r="D136" s="55">
        <f t="shared" ca="1" si="5"/>
        <v>0</v>
      </c>
      <c r="E136" s="55"/>
      <c r="F136" s="55">
        <f t="shared" ca="1" si="6"/>
        <v>0</v>
      </c>
      <c r="G136" s="51"/>
      <c r="H136" s="78">
        <f t="shared" ca="1" si="7"/>
        <v>0</v>
      </c>
      <c r="I136" s="53">
        <f t="shared" ca="1" si="4"/>
        <v>0</v>
      </c>
      <c r="J136" s="58"/>
    </row>
    <row r="137" spans="1:10" s="41" customFormat="1" ht="15">
      <c r="A137" s="50">
        <v>1</v>
      </c>
      <c r="B137" s="51">
        <f ca="1">IF($A137="","",NumList())</f>
        <v>5</v>
      </c>
      <c r="C137" s="69" t="s">
        <v>456</v>
      </c>
      <c r="D137" s="55">
        <f t="shared" ca="1" si="5"/>
        <v>0</v>
      </c>
      <c r="E137" s="48"/>
      <c r="F137" s="55">
        <f t="shared" ca="1" si="6"/>
        <v>0</v>
      </c>
      <c r="G137" s="46"/>
      <c r="H137" s="78">
        <f t="shared" ca="1" si="7"/>
        <v>0</v>
      </c>
      <c r="I137" s="53">
        <f t="shared" ca="1" si="4"/>
        <v>0</v>
      </c>
    </row>
    <row r="138" spans="1:10" s="41" customFormat="1" ht="15">
      <c r="A138" s="50">
        <v>2</v>
      </c>
      <c r="B138" s="51" t="str">
        <f ca="1">IF($A138="","",NumList())</f>
        <v>5.1</v>
      </c>
      <c r="C138" s="62" t="s">
        <v>15</v>
      </c>
      <c r="D138" s="55">
        <f t="shared" ca="1" si="5"/>
        <v>1</v>
      </c>
      <c r="E138" s="55"/>
      <c r="F138" s="55">
        <f t="shared" ca="1" si="6"/>
        <v>81</v>
      </c>
      <c r="G138" s="51" t="s">
        <v>8</v>
      </c>
      <c r="H138" s="78">
        <f t="shared" ca="1" si="7"/>
        <v>52</v>
      </c>
      <c r="I138" s="53">
        <f t="shared" ca="1" si="4"/>
        <v>4212</v>
      </c>
      <c r="J138" s="58"/>
    </row>
    <row r="139" spans="1:10" s="41" customFormat="1" ht="15">
      <c r="A139" s="50">
        <v>2</v>
      </c>
      <c r="B139" s="51" t="str">
        <f ca="1">IF($A139="","",NumList())</f>
        <v>5.2</v>
      </c>
      <c r="C139" s="62" t="s">
        <v>16</v>
      </c>
      <c r="D139" s="55">
        <f t="shared" ca="1" si="5"/>
        <v>1</v>
      </c>
      <c r="E139" s="55"/>
      <c r="F139" s="55">
        <f t="shared" ca="1" si="6"/>
        <v>97</v>
      </c>
      <c r="G139" s="51" t="s">
        <v>8</v>
      </c>
      <c r="H139" s="78">
        <f t="shared" ca="1" si="7"/>
        <v>5</v>
      </c>
      <c r="I139" s="53">
        <f t="shared" ca="1" si="4"/>
        <v>485</v>
      </c>
      <c r="J139" s="58"/>
    </row>
    <row r="140" spans="1:10" s="41" customFormat="1" ht="28.5">
      <c r="A140" s="50">
        <v>2</v>
      </c>
      <c r="B140" s="51" t="str">
        <f ca="1">IF($A140="","",NumList())</f>
        <v>5.3</v>
      </c>
      <c r="C140" s="62" t="s">
        <v>70</v>
      </c>
      <c r="D140" s="55">
        <f t="shared" ca="1" si="5"/>
        <v>1</v>
      </c>
      <c r="E140" s="55"/>
      <c r="F140" s="55">
        <f t="shared" ca="1" si="6"/>
        <v>30</v>
      </c>
      <c r="G140" s="51" t="s">
        <v>8</v>
      </c>
      <c r="H140" s="78">
        <f t="shared" ca="1" si="7"/>
        <v>53</v>
      </c>
      <c r="I140" s="53">
        <f t="shared" ca="1" si="4"/>
        <v>1590</v>
      </c>
      <c r="J140" s="58"/>
    </row>
    <row r="141" spans="1:10" s="41" customFormat="1" ht="28.5">
      <c r="A141" s="50">
        <v>2</v>
      </c>
      <c r="B141" s="51" t="str">
        <f ca="1">IF($A141="","",NumList())</f>
        <v>5.4</v>
      </c>
      <c r="C141" s="62" t="s">
        <v>235</v>
      </c>
      <c r="D141" s="55">
        <f t="shared" ca="1" si="5"/>
        <v>1</v>
      </c>
      <c r="E141" s="55"/>
      <c r="F141" s="55">
        <f t="shared" ca="1" si="6"/>
        <v>6</v>
      </c>
      <c r="G141" s="51" t="s">
        <v>8</v>
      </c>
      <c r="H141" s="78">
        <f t="shared" ca="1" si="7"/>
        <v>24</v>
      </c>
      <c r="I141" s="53">
        <f t="shared" ca="1" si="4"/>
        <v>144</v>
      </c>
      <c r="J141" s="58"/>
    </row>
    <row r="142" spans="1:10" s="41" customFormat="1" ht="15">
      <c r="A142" s="50" t="s">
        <v>516</v>
      </c>
      <c r="B142" s="51" t="str">
        <f>IF($A142="","",NumList())</f>
        <v/>
      </c>
      <c r="C142" s="62"/>
      <c r="D142" s="55">
        <f t="shared" ca="1" si="5"/>
        <v>0</v>
      </c>
      <c r="E142" s="55"/>
      <c r="F142" s="55">
        <f t="shared" ca="1" si="6"/>
        <v>0</v>
      </c>
      <c r="G142" s="51"/>
      <c r="H142" s="78">
        <f t="shared" ca="1" si="7"/>
        <v>0</v>
      </c>
      <c r="I142" s="53">
        <f t="shared" ca="1" si="4"/>
        <v>0</v>
      </c>
      <c r="J142" s="58"/>
    </row>
    <row r="143" spans="1:10" s="41" customFormat="1" ht="45">
      <c r="A143" s="50">
        <v>1</v>
      </c>
      <c r="B143" s="51">
        <f ca="1">IF($A143="","",NumList())</f>
        <v>6</v>
      </c>
      <c r="C143" s="69" t="s">
        <v>457</v>
      </c>
      <c r="D143" s="55">
        <f t="shared" ca="1" si="5"/>
        <v>0</v>
      </c>
      <c r="E143" s="55"/>
      <c r="F143" s="55">
        <f t="shared" ca="1" si="6"/>
        <v>0</v>
      </c>
      <c r="G143" s="51"/>
      <c r="H143" s="78">
        <f t="shared" ca="1" si="7"/>
        <v>0</v>
      </c>
      <c r="I143" s="53">
        <f t="shared" ca="1" si="4"/>
        <v>0</v>
      </c>
      <c r="J143" s="58"/>
    </row>
    <row r="144" spans="1:10" s="41" customFormat="1" ht="15">
      <c r="A144" s="50">
        <v>2</v>
      </c>
      <c r="B144" s="51" t="str">
        <f ca="1">IF($A144="","",NumList())</f>
        <v>6.1</v>
      </c>
      <c r="C144" s="62" t="s">
        <v>369</v>
      </c>
      <c r="D144" s="55">
        <f t="shared" ca="1" si="5"/>
        <v>1</v>
      </c>
      <c r="E144" s="55"/>
      <c r="F144" s="55">
        <f t="shared" ca="1" si="6"/>
        <v>17</v>
      </c>
      <c r="G144" s="51" t="s">
        <v>0</v>
      </c>
      <c r="H144" s="78">
        <f t="shared" ca="1" si="7"/>
        <v>39</v>
      </c>
      <c r="I144" s="53">
        <f t="shared" ca="1" si="4"/>
        <v>663</v>
      </c>
      <c r="J144" s="58"/>
    </row>
    <row r="145" spans="1:11" s="41" customFormat="1" ht="15">
      <c r="A145" s="50">
        <v>2</v>
      </c>
      <c r="B145" s="51" t="str">
        <f ca="1">IF($A145="","",NumList())</f>
        <v>6.2</v>
      </c>
      <c r="C145" s="62" t="s">
        <v>370</v>
      </c>
      <c r="D145" s="55">
        <f t="shared" ca="1" si="5"/>
        <v>1</v>
      </c>
      <c r="E145" s="55"/>
      <c r="F145" s="55">
        <f t="shared" ca="1" si="6"/>
        <v>36</v>
      </c>
      <c r="G145" s="51" t="s">
        <v>0</v>
      </c>
      <c r="H145" s="78">
        <f t="shared" ca="1" si="7"/>
        <v>82</v>
      </c>
      <c r="I145" s="53">
        <f t="shared" ca="1" si="4"/>
        <v>2952</v>
      </c>
      <c r="J145" s="58"/>
    </row>
    <row r="146" spans="1:11" s="41" customFormat="1" ht="15">
      <c r="A146" s="50">
        <v>2</v>
      </c>
      <c r="B146" s="51" t="str">
        <f ca="1">IF($A146="","",NumList())</f>
        <v>6.3</v>
      </c>
      <c r="C146" s="62" t="s">
        <v>511</v>
      </c>
      <c r="D146" s="55">
        <f t="shared" ca="1" si="5"/>
        <v>1</v>
      </c>
      <c r="E146" s="55"/>
      <c r="F146" s="55">
        <f t="shared" ca="1" si="6"/>
        <v>36</v>
      </c>
      <c r="G146" s="51" t="str">
        <f>G145</f>
        <v>Item</v>
      </c>
      <c r="H146" s="78">
        <f t="shared" ca="1" si="7"/>
        <v>6</v>
      </c>
      <c r="I146" s="53"/>
      <c r="J146" s="58"/>
    </row>
    <row r="147" spans="1:11" s="58" customFormat="1" ht="15">
      <c r="A147" s="50" t="s">
        <v>516</v>
      </c>
      <c r="B147" s="51" t="str">
        <f>IF($A147="","",NumList())</f>
        <v/>
      </c>
      <c r="C147" s="54"/>
      <c r="D147" s="55">
        <f t="shared" ca="1" si="5"/>
        <v>0</v>
      </c>
      <c r="E147" s="55"/>
      <c r="F147" s="55">
        <f t="shared" ca="1" si="6"/>
        <v>0</v>
      </c>
      <c r="G147" s="51"/>
      <c r="H147" s="78">
        <f t="shared" ca="1" si="7"/>
        <v>0</v>
      </c>
      <c r="I147" s="53">
        <f t="shared" ca="1" si="4"/>
        <v>0</v>
      </c>
    </row>
    <row r="148" spans="1:11" s="41" customFormat="1" ht="15">
      <c r="A148" s="50">
        <v>1</v>
      </c>
      <c r="B148" s="51">
        <f ca="1">IF($A148="","",NumList())</f>
        <v>7</v>
      </c>
      <c r="C148" s="52" t="s">
        <v>11</v>
      </c>
      <c r="D148" s="55">
        <f t="shared" ca="1" si="5"/>
        <v>0</v>
      </c>
      <c r="E148" s="48"/>
      <c r="F148" s="55">
        <f t="shared" ca="1" si="6"/>
        <v>0</v>
      </c>
      <c r="G148" s="46"/>
      <c r="H148" s="78">
        <f t="shared" ca="1" si="7"/>
        <v>0</v>
      </c>
      <c r="I148" s="53">
        <f t="shared" ca="1" si="4"/>
        <v>0</v>
      </c>
    </row>
    <row r="149" spans="1:11" s="58" customFormat="1" ht="57">
      <c r="A149" s="50">
        <v>2</v>
      </c>
      <c r="B149" s="51" t="str">
        <f ca="1">IF($A149="","",NumList())</f>
        <v>7.1</v>
      </c>
      <c r="C149" s="62" t="s">
        <v>276</v>
      </c>
      <c r="D149" s="55">
        <f t="shared" ca="1" si="5"/>
        <v>1</v>
      </c>
      <c r="E149" s="55"/>
      <c r="F149" s="55">
        <f t="shared" ca="1" si="6"/>
        <v>98</v>
      </c>
      <c r="G149" s="51" t="s">
        <v>0</v>
      </c>
      <c r="H149" s="78">
        <f t="shared" ca="1" si="7"/>
        <v>47</v>
      </c>
      <c r="I149" s="53">
        <f t="shared" ca="1" si="4"/>
        <v>4606</v>
      </c>
    </row>
    <row r="150" spans="1:11" s="58" customFormat="1" ht="28.5">
      <c r="A150" s="50">
        <v>2</v>
      </c>
      <c r="B150" s="51" t="str">
        <f ca="1">IF($A150="","",NumList())</f>
        <v>7.2</v>
      </c>
      <c r="C150" s="62" t="s">
        <v>48</v>
      </c>
      <c r="D150" s="55">
        <f t="shared" ca="1" si="5"/>
        <v>1</v>
      </c>
      <c r="E150" s="55"/>
      <c r="F150" s="55">
        <f t="shared" ca="1" si="6"/>
        <v>97</v>
      </c>
      <c r="G150" s="51" t="s">
        <v>0</v>
      </c>
      <c r="H150" s="78">
        <f t="shared" ca="1" si="7"/>
        <v>96</v>
      </c>
      <c r="I150" s="53">
        <f ca="1">F150*H150</f>
        <v>9312</v>
      </c>
    </row>
    <row r="151" spans="1:11" s="58" customFormat="1" ht="15">
      <c r="A151" s="50" t="s">
        <v>516</v>
      </c>
      <c r="B151" s="51" t="str">
        <f>IF($A151="","",NumList())</f>
        <v/>
      </c>
      <c r="C151" s="62"/>
      <c r="D151" s="55">
        <f t="shared" ca="1" si="5"/>
        <v>0</v>
      </c>
      <c r="E151" s="55"/>
      <c r="F151" s="55"/>
      <c r="G151" s="51"/>
      <c r="H151" s="78"/>
      <c r="I151" s="53">
        <f>F151*H151</f>
        <v>0</v>
      </c>
    </row>
    <row r="152" spans="1:11" s="41" customFormat="1" ht="15">
      <c r="A152" s="50">
        <v>1</v>
      </c>
      <c r="B152" s="51">
        <f ca="1">IF($A152="","",NumList())</f>
        <v>8</v>
      </c>
      <c r="C152" s="52" t="s">
        <v>65</v>
      </c>
      <c r="D152" s="55">
        <f t="shared" ca="1" si="5"/>
        <v>0</v>
      </c>
      <c r="E152" s="55"/>
      <c r="F152" s="55"/>
      <c r="G152" s="51"/>
      <c r="H152" s="78"/>
      <c r="I152" s="53">
        <f>F152*H152</f>
        <v>0</v>
      </c>
      <c r="J152" s="58"/>
      <c r="K152" s="58"/>
    </row>
    <row r="153" spans="1:11" s="41" customFormat="1" ht="28.5">
      <c r="A153" s="50" t="s">
        <v>516</v>
      </c>
      <c r="B153" s="51" t="str">
        <f>IF($A153="","",NumList())</f>
        <v/>
      </c>
      <c r="C153" s="62" t="s">
        <v>283</v>
      </c>
      <c r="D153" s="55">
        <f t="shared" ca="1" si="5"/>
        <v>1</v>
      </c>
      <c r="E153" s="55"/>
      <c r="F153" s="55">
        <v>1</v>
      </c>
      <c r="G153" s="51" t="s">
        <v>0</v>
      </c>
      <c r="H153" s="62" t="s">
        <v>73</v>
      </c>
      <c r="I153" s="53"/>
      <c r="J153" s="58"/>
      <c r="K153" s="58"/>
    </row>
    <row r="154" spans="1:11" s="58" customFormat="1" ht="15" customHeight="1">
      <c r="A154" s="50"/>
      <c r="B154" s="32"/>
      <c r="C154" s="70"/>
      <c r="D154" s="71"/>
      <c r="E154" s="71"/>
      <c r="F154" s="71"/>
      <c r="G154" s="30"/>
      <c r="H154" s="82" t="s">
        <v>343</v>
      </c>
      <c r="I154" s="78">
        <f ca="1">SUM(I25:I153)</f>
        <v>195776</v>
      </c>
    </row>
    <row r="155" spans="1:11" s="58" customFormat="1" ht="14.25" customHeight="1">
      <c r="A155" s="50"/>
      <c r="B155" s="32"/>
      <c r="C155" s="70"/>
      <c r="D155" s="71"/>
      <c r="E155" s="71"/>
      <c r="F155" s="71"/>
      <c r="G155" s="30"/>
      <c r="H155" s="83"/>
      <c r="I155" s="77"/>
    </row>
    <row r="156" spans="1:11" s="58" customFormat="1" ht="14.25" customHeight="1">
      <c r="A156" s="50"/>
      <c r="B156" s="30"/>
      <c r="C156" s="70"/>
      <c r="D156" s="71"/>
      <c r="E156" s="71"/>
      <c r="F156" s="71"/>
      <c r="G156" s="30"/>
      <c r="H156" s="77"/>
      <c r="I156" s="77"/>
    </row>
    <row r="157" spans="1:11" s="58" customFormat="1" ht="14.25" customHeight="1">
      <c r="A157" s="50"/>
      <c r="B157" s="30"/>
      <c r="C157" s="30" t="s">
        <v>18</v>
      </c>
      <c r="D157" s="31"/>
      <c r="E157" s="31"/>
      <c r="F157" s="31"/>
      <c r="G157" s="31"/>
      <c r="H157" s="31"/>
      <c r="I157" s="31"/>
    </row>
    <row r="158" spans="1:11" s="58" customFormat="1" ht="14.25" customHeight="1">
      <c r="A158" s="50"/>
      <c r="B158" s="30"/>
      <c r="C158" s="30"/>
      <c r="D158" s="34"/>
      <c r="E158" s="34"/>
      <c r="F158" s="34"/>
      <c r="G158" s="32"/>
      <c r="H158" s="33"/>
      <c r="I158" s="30"/>
    </row>
    <row r="159" spans="1:11" s="58" customFormat="1" ht="14.25" customHeight="1">
      <c r="A159" s="50"/>
      <c r="B159" s="30"/>
      <c r="C159" s="30" t="s">
        <v>19</v>
      </c>
      <c r="D159" s="31"/>
      <c r="E159" s="31"/>
      <c r="F159" s="31"/>
      <c r="G159" s="31"/>
      <c r="H159" s="31"/>
      <c r="I159" s="31"/>
    </row>
    <row r="160" spans="1:11" s="58" customFormat="1" ht="14.25" customHeight="1">
      <c r="A160" s="50"/>
      <c r="B160" s="30"/>
      <c r="C160" s="30"/>
      <c r="D160" s="34"/>
      <c r="E160" s="34"/>
      <c r="F160" s="34"/>
      <c r="G160" s="32"/>
      <c r="H160" s="33"/>
      <c r="I160" s="30"/>
    </row>
    <row r="161" spans="1:11" ht="67.5">
      <c r="A161" s="50"/>
      <c r="C161" s="74" t="s">
        <v>188</v>
      </c>
    </row>
    <row r="162" spans="1:11">
      <c r="A162" s="50"/>
      <c r="C162" s="70"/>
    </row>
    <row r="163" spans="1:11" s="58" customFormat="1">
      <c r="A163" s="50"/>
      <c r="B163" s="30"/>
      <c r="C163" s="70"/>
      <c r="D163" s="71"/>
      <c r="E163" s="71"/>
      <c r="F163" s="71"/>
      <c r="G163" s="30"/>
      <c r="H163" s="77"/>
      <c r="I163" s="77"/>
      <c r="K163" s="3"/>
    </row>
    <row r="164" spans="1:11" s="58" customFormat="1">
      <c r="A164" s="50"/>
      <c r="B164" s="30"/>
      <c r="C164" s="70"/>
      <c r="D164" s="71"/>
      <c r="E164" s="71"/>
      <c r="F164" s="71"/>
      <c r="G164" s="30"/>
      <c r="H164" s="77"/>
      <c r="I164" s="77"/>
      <c r="K164" s="3"/>
    </row>
    <row r="165" spans="1:11" s="58" customFormat="1">
      <c r="A165" s="50"/>
      <c r="B165" s="30"/>
      <c r="C165" s="70"/>
      <c r="D165" s="71"/>
      <c r="E165" s="71"/>
      <c r="F165" s="71"/>
      <c r="G165" s="30"/>
      <c r="H165" s="77"/>
      <c r="I165" s="77"/>
      <c r="K165" s="3"/>
    </row>
    <row r="166" spans="1:11" s="58" customFormat="1">
      <c r="A166" s="50"/>
      <c r="B166" s="30"/>
      <c r="C166" s="70"/>
      <c r="D166" s="71"/>
      <c r="E166" s="71"/>
      <c r="F166" s="71"/>
      <c r="G166" s="30"/>
      <c r="H166" s="77"/>
      <c r="I166" s="77"/>
      <c r="K166" s="3"/>
    </row>
    <row r="167" spans="1:11" s="58" customFormat="1">
      <c r="A167" s="50"/>
      <c r="B167" s="30"/>
      <c r="C167" s="70"/>
      <c r="D167" s="71"/>
      <c r="E167" s="71"/>
      <c r="F167" s="71"/>
      <c r="G167" s="30"/>
      <c r="H167" s="77"/>
      <c r="I167" s="77"/>
      <c r="K167" s="3"/>
    </row>
    <row r="168" spans="1:11" s="58" customFormat="1">
      <c r="A168" s="50"/>
      <c r="B168" s="30"/>
      <c r="C168" s="70"/>
      <c r="D168" s="71"/>
      <c r="E168" s="71"/>
      <c r="F168" s="71"/>
      <c r="G168" s="30"/>
      <c r="H168" s="77"/>
      <c r="I168" s="77"/>
      <c r="K168" s="3"/>
    </row>
    <row r="169" spans="1:11" s="58" customFormat="1">
      <c r="A169" s="50"/>
      <c r="B169" s="30"/>
      <c r="C169" s="70"/>
      <c r="D169" s="71"/>
      <c r="E169" s="71"/>
      <c r="F169" s="71"/>
      <c r="G169" s="30"/>
      <c r="H169" s="77"/>
      <c r="I169" s="77"/>
      <c r="K169" s="3"/>
    </row>
    <row r="170" spans="1:11" s="58" customFormat="1">
      <c r="A170" s="50"/>
      <c r="B170" s="30"/>
      <c r="C170" s="70"/>
      <c r="D170" s="71"/>
      <c r="E170" s="71"/>
      <c r="F170" s="71"/>
      <c r="G170" s="30"/>
      <c r="H170" s="77"/>
      <c r="I170" s="77"/>
      <c r="K170" s="3"/>
    </row>
    <row r="171" spans="1:11" s="58" customFormat="1">
      <c r="A171" s="50"/>
      <c r="B171" s="30"/>
      <c r="C171" s="70"/>
      <c r="D171" s="71"/>
      <c r="E171" s="71"/>
      <c r="F171" s="71"/>
      <c r="G171" s="30"/>
      <c r="H171" s="77"/>
      <c r="I171" s="77"/>
      <c r="K171" s="3"/>
    </row>
    <row r="172" spans="1:11" s="58" customFormat="1">
      <c r="A172" s="50"/>
      <c r="B172" s="30"/>
      <c r="C172" s="70"/>
      <c r="D172" s="71"/>
      <c r="E172" s="71"/>
      <c r="F172" s="71"/>
      <c r="G172" s="30"/>
      <c r="H172" s="77"/>
      <c r="I172" s="77"/>
      <c r="K172" s="3"/>
    </row>
    <row r="173" spans="1:11" s="58" customFormat="1">
      <c r="A173" s="50"/>
      <c r="B173" s="30"/>
      <c r="C173" s="70"/>
      <c r="D173" s="71"/>
      <c r="E173" s="71"/>
      <c r="F173" s="71"/>
      <c r="G173" s="30"/>
      <c r="H173" s="77"/>
      <c r="I173" s="77"/>
      <c r="K173" s="3"/>
    </row>
    <row r="174" spans="1:11" s="58" customFormat="1">
      <c r="A174" s="50"/>
      <c r="B174" s="30"/>
      <c r="C174" s="70"/>
      <c r="D174" s="71"/>
      <c r="E174" s="71"/>
      <c r="F174" s="71"/>
      <c r="G174" s="30"/>
      <c r="H174" s="77"/>
      <c r="I174" s="77"/>
      <c r="K174" s="3"/>
    </row>
    <row r="175" spans="1:11" s="58" customFormat="1">
      <c r="A175" s="50"/>
      <c r="B175" s="30"/>
      <c r="C175" s="70"/>
      <c r="D175" s="71"/>
      <c r="E175" s="71"/>
      <c r="F175" s="71"/>
      <c r="G175" s="30"/>
      <c r="H175" s="77"/>
      <c r="I175" s="77"/>
      <c r="K175" s="3"/>
    </row>
    <row r="176" spans="1:11" s="58" customFormat="1">
      <c r="A176" s="50"/>
      <c r="B176" s="30"/>
      <c r="C176" s="70"/>
      <c r="D176" s="71"/>
      <c r="E176" s="71"/>
      <c r="F176" s="71"/>
      <c r="G176" s="30"/>
      <c r="H176" s="77"/>
      <c r="I176" s="77"/>
      <c r="K176" s="3"/>
    </row>
    <row r="177" spans="1:11" s="58" customFormat="1">
      <c r="A177" s="50"/>
      <c r="B177" s="30"/>
      <c r="C177" s="70"/>
      <c r="D177" s="71"/>
      <c r="E177" s="71"/>
      <c r="F177" s="71"/>
      <c r="G177" s="30"/>
      <c r="H177" s="77"/>
      <c r="I177" s="77"/>
      <c r="K177" s="3"/>
    </row>
    <row r="178" spans="1:11" s="58" customFormat="1">
      <c r="A178" s="50"/>
      <c r="B178" s="30"/>
      <c r="C178" s="70"/>
      <c r="D178" s="71"/>
      <c r="E178" s="71"/>
      <c r="F178" s="71"/>
      <c r="G178" s="30"/>
      <c r="H178" s="77"/>
      <c r="I178" s="77"/>
      <c r="K178" s="3"/>
    </row>
    <row r="179" spans="1:11" s="58" customFormat="1">
      <c r="A179" s="50"/>
      <c r="B179" s="30"/>
      <c r="C179" s="70"/>
      <c r="D179" s="71"/>
      <c r="E179" s="71"/>
      <c r="F179" s="71"/>
      <c r="G179" s="30"/>
      <c r="H179" s="77"/>
      <c r="I179" s="77"/>
      <c r="K179" s="3"/>
    </row>
    <row r="180" spans="1:11" s="58" customFormat="1">
      <c r="A180" s="50"/>
      <c r="B180" s="30"/>
      <c r="C180" s="70"/>
      <c r="D180" s="71"/>
      <c r="E180" s="71"/>
      <c r="F180" s="71"/>
      <c r="G180" s="30"/>
      <c r="H180" s="77"/>
      <c r="I180" s="77"/>
      <c r="K180" s="3"/>
    </row>
    <row r="181" spans="1:11" s="58" customFormat="1">
      <c r="A181" s="50"/>
      <c r="B181" s="30"/>
      <c r="C181" s="70"/>
      <c r="D181" s="71"/>
      <c r="E181" s="71"/>
      <c r="F181" s="71"/>
      <c r="G181" s="30"/>
      <c r="H181" s="77"/>
      <c r="I181" s="77"/>
      <c r="K181" s="3"/>
    </row>
    <row r="182" spans="1:11" s="58" customFormat="1">
      <c r="A182" s="50"/>
      <c r="B182" s="30"/>
      <c r="C182" s="70"/>
      <c r="D182" s="71"/>
      <c r="E182" s="71"/>
      <c r="F182" s="71"/>
      <c r="G182" s="30"/>
      <c r="H182" s="77"/>
      <c r="I182" s="77"/>
      <c r="K182" s="3"/>
    </row>
    <row r="183" spans="1:11" s="58" customFormat="1">
      <c r="A183" s="50"/>
      <c r="B183" s="30"/>
      <c r="C183" s="70"/>
      <c r="D183" s="71"/>
      <c r="E183" s="71"/>
      <c r="F183" s="71"/>
      <c r="G183" s="30"/>
      <c r="H183" s="77"/>
      <c r="I183" s="77"/>
      <c r="K183" s="3"/>
    </row>
    <row r="184" spans="1:11" s="58" customFormat="1">
      <c r="A184" s="50"/>
      <c r="B184" s="30"/>
      <c r="C184" s="70"/>
      <c r="D184" s="71"/>
      <c r="E184" s="71"/>
      <c r="F184" s="71"/>
      <c r="G184" s="30"/>
      <c r="H184" s="77"/>
      <c r="I184" s="77"/>
      <c r="K184" s="3"/>
    </row>
    <row r="185" spans="1:11" s="58" customFormat="1">
      <c r="A185" s="50"/>
      <c r="B185" s="30"/>
      <c r="C185" s="70"/>
      <c r="D185" s="71"/>
      <c r="E185" s="71"/>
      <c r="F185" s="71"/>
      <c r="G185" s="30"/>
      <c r="H185" s="77"/>
      <c r="I185" s="77"/>
      <c r="K185" s="3"/>
    </row>
    <row r="186" spans="1:11" s="58" customFormat="1">
      <c r="A186" s="50"/>
      <c r="B186" s="30"/>
      <c r="C186" s="70"/>
      <c r="D186" s="71"/>
      <c r="E186" s="71"/>
      <c r="F186" s="71"/>
      <c r="G186" s="30"/>
      <c r="H186" s="77"/>
      <c r="I186" s="77"/>
      <c r="K186" s="3"/>
    </row>
    <row r="187" spans="1:11" s="58" customFormat="1">
      <c r="A187" s="50"/>
      <c r="B187" s="30"/>
      <c r="C187" s="70"/>
      <c r="D187" s="71"/>
      <c r="E187" s="71"/>
      <c r="F187" s="71"/>
      <c r="G187" s="30"/>
      <c r="H187" s="77"/>
      <c r="I187" s="77"/>
      <c r="K187" s="3"/>
    </row>
    <row r="188" spans="1:11" s="58" customFormat="1">
      <c r="A188" s="50"/>
      <c r="B188" s="30"/>
      <c r="C188" s="70"/>
      <c r="D188" s="71"/>
      <c r="E188" s="71"/>
      <c r="F188" s="71"/>
      <c r="G188" s="30"/>
      <c r="H188" s="77"/>
      <c r="I188" s="77"/>
      <c r="K188" s="3"/>
    </row>
    <row r="189" spans="1:11" s="58" customFormat="1">
      <c r="A189" s="50"/>
      <c r="B189" s="30"/>
      <c r="C189" s="70"/>
      <c r="D189" s="71"/>
      <c r="E189" s="71"/>
      <c r="F189" s="71"/>
      <c r="G189" s="30"/>
      <c r="H189" s="77"/>
      <c r="I189" s="77"/>
      <c r="K189" s="3"/>
    </row>
    <row r="190" spans="1:11" s="58" customFormat="1">
      <c r="A190" s="50"/>
      <c r="B190" s="30"/>
      <c r="C190" s="70"/>
      <c r="D190" s="71"/>
      <c r="E190" s="71"/>
      <c r="F190" s="71"/>
      <c r="G190" s="30"/>
      <c r="H190" s="77"/>
      <c r="I190" s="77"/>
      <c r="K190" s="3"/>
    </row>
    <row r="191" spans="1:11" s="58" customFormat="1">
      <c r="A191" s="50"/>
      <c r="B191" s="30"/>
      <c r="C191" s="70"/>
      <c r="D191" s="71"/>
      <c r="E191" s="71"/>
      <c r="F191" s="71"/>
      <c r="G191" s="30"/>
      <c r="H191" s="77"/>
      <c r="I191" s="77"/>
      <c r="K191" s="3"/>
    </row>
    <row r="192" spans="1:11" s="58" customFormat="1">
      <c r="A192" s="50"/>
      <c r="B192" s="30"/>
      <c r="C192" s="70"/>
      <c r="D192" s="71"/>
      <c r="E192" s="71"/>
      <c r="F192" s="71"/>
      <c r="G192" s="30"/>
      <c r="H192" s="77"/>
      <c r="I192" s="77"/>
      <c r="K192" s="3"/>
    </row>
    <row r="193" spans="1:11" s="58" customFormat="1">
      <c r="A193" s="50"/>
      <c r="B193" s="30"/>
      <c r="C193" s="70"/>
      <c r="D193" s="71"/>
      <c r="E193" s="71"/>
      <c r="F193" s="71"/>
      <c r="G193" s="30"/>
      <c r="H193" s="77"/>
      <c r="I193" s="77"/>
      <c r="K193" s="3"/>
    </row>
    <row r="194" spans="1:11" s="58" customFormat="1">
      <c r="A194" s="50"/>
      <c r="B194" s="30"/>
      <c r="C194" s="70"/>
      <c r="D194" s="71"/>
      <c r="E194" s="71"/>
      <c r="F194" s="71"/>
      <c r="G194" s="30"/>
      <c r="H194" s="77"/>
      <c r="I194" s="77"/>
      <c r="K194" s="3"/>
    </row>
    <row r="195" spans="1:11" s="58" customFormat="1">
      <c r="A195" s="50"/>
      <c r="B195" s="30"/>
      <c r="C195" s="70"/>
      <c r="D195" s="71"/>
      <c r="E195" s="71"/>
      <c r="F195" s="71"/>
      <c r="G195" s="30"/>
      <c r="H195" s="77"/>
      <c r="I195" s="77"/>
      <c r="K195" s="3"/>
    </row>
    <row r="196" spans="1:11" s="58" customFormat="1">
      <c r="A196" s="50"/>
      <c r="B196" s="30"/>
      <c r="C196" s="70"/>
      <c r="D196" s="71"/>
      <c r="E196" s="71"/>
      <c r="F196" s="71"/>
      <c r="G196" s="30"/>
      <c r="H196" s="77"/>
      <c r="I196" s="77"/>
      <c r="K196" s="3"/>
    </row>
    <row r="197" spans="1:11" s="58" customFormat="1">
      <c r="A197" s="50"/>
      <c r="B197" s="30"/>
      <c r="C197" s="70"/>
      <c r="D197" s="71"/>
      <c r="E197" s="71"/>
      <c r="F197" s="71"/>
      <c r="G197" s="30"/>
      <c r="H197" s="77"/>
      <c r="I197" s="77"/>
      <c r="K197" s="3"/>
    </row>
    <row r="198" spans="1:11" s="58" customFormat="1">
      <c r="A198" s="50"/>
      <c r="B198" s="30"/>
      <c r="C198" s="70"/>
      <c r="D198" s="71"/>
      <c r="E198" s="71"/>
      <c r="F198" s="71"/>
      <c r="G198" s="30"/>
      <c r="H198" s="77"/>
      <c r="I198" s="77"/>
      <c r="K198" s="3"/>
    </row>
    <row r="199" spans="1:11" s="58" customFormat="1">
      <c r="A199" s="50"/>
      <c r="B199" s="30"/>
      <c r="C199" s="70"/>
      <c r="D199" s="71"/>
      <c r="E199" s="71"/>
      <c r="F199" s="71"/>
      <c r="G199" s="30"/>
      <c r="H199" s="77"/>
      <c r="I199" s="77"/>
      <c r="K199" s="3"/>
    </row>
    <row r="200" spans="1:11" s="58" customFormat="1">
      <c r="A200" s="50"/>
      <c r="B200" s="30"/>
      <c r="C200" s="70"/>
      <c r="D200" s="71"/>
      <c r="E200" s="71"/>
      <c r="F200" s="71"/>
      <c r="G200" s="30"/>
      <c r="H200" s="77"/>
      <c r="I200" s="77"/>
      <c r="K200" s="3"/>
    </row>
    <row r="201" spans="1:11" s="58" customFormat="1">
      <c r="A201" s="50"/>
      <c r="B201" s="30"/>
      <c r="C201" s="70"/>
      <c r="D201" s="71"/>
      <c r="E201" s="71"/>
      <c r="F201" s="71"/>
      <c r="G201" s="30"/>
      <c r="H201" s="77"/>
      <c r="I201" s="77"/>
      <c r="K201" s="3"/>
    </row>
    <row r="202" spans="1:11" s="58" customFormat="1">
      <c r="A202" s="50"/>
      <c r="B202" s="30"/>
      <c r="C202" s="70"/>
      <c r="D202" s="71"/>
      <c r="E202" s="71"/>
      <c r="F202" s="71"/>
      <c r="G202" s="30"/>
      <c r="H202" s="77"/>
      <c r="I202" s="77"/>
      <c r="K202" s="3"/>
    </row>
    <row r="203" spans="1:11" s="58" customFormat="1">
      <c r="A203" s="50"/>
      <c r="B203" s="30"/>
      <c r="C203" s="70"/>
      <c r="D203" s="71"/>
      <c r="E203" s="71"/>
      <c r="F203" s="71"/>
      <c r="G203" s="30"/>
      <c r="H203" s="77"/>
      <c r="I203" s="77"/>
      <c r="K203" s="3"/>
    </row>
    <row r="204" spans="1:11" s="58" customFormat="1">
      <c r="A204" s="50"/>
      <c r="B204" s="30"/>
      <c r="C204" s="70"/>
      <c r="D204" s="71"/>
      <c r="E204" s="71"/>
      <c r="F204" s="71"/>
      <c r="G204" s="30"/>
      <c r="H204" s="77"/>
      <c r="I204" s="77"/>
      <c r="K204" s="3"/>
    </row>
    <row r="205" spans="1:11" s="58" customFormat="1">
      <c r="A205" s="50"/>
      <c r="B205" s="30"/>
      <c r="C205" s="70"/>
      <c r="D205" s="71"/>
      <c r="E205" s="71"/>
      <c r="F205" s="71"/>
      <c r="G205" s="30"/>
      <c r="H205" s="77"/>
      <c r="I205" s="77"/>
      <c r="K205" s="3"/>
    </row>
    <row r="206" spans="1:11" s="58" customFormat="1">
      <c r="A206" s="50"/>
      <c r="B206" s="30"/>
      <c r="C206" s="70"/>
      <c r="D206" s="71"/>
      <c r="E206" s="71"/>
      <c r="F206" s="71"/>
      <c r="G206" s="30"/>
      <c r="H206" s="77"/>
      <c r="I206" s="77"/>
      <c r="K206" s="3"/>
    </row>
    <row r="207" spans="1:11" s="58" customFormat="1">
      <c r="A207" s="50"/>
      <c r="B207" s="30"/>
      <c r="C207" s="70"/>
      <c r="D207" s="71"/>
      <c r="E207" s="71"/>
      <c r="F207" s="71"/>
      <c r="G207" s="30"/>
      <c r="H207" s="77"/>
      <c r="I207" s="77"/>
      <c r="K207" s="3"/>
    </row>
    <row r="208" spans="1:11" s="58" customFormat="1">
      <c r="A208" s="50"/>
      <c r="B208" s="30"/>
      <c r="C208" s="70"/>
      <c r="D208" s="71"/>
      <c r="E208" s="71"/>
      <c r="F208" s="71"/>
      <c r="G208" s="30"/>
      <c r="H208" s="77"/>
      <c r="I208" s="77"/>
      <c r="K208" s="3"/>
    </row>
    <row r="209" spans="1:11" s="58" customFormat="1">
      <c r="A209" s="50"/>
      <c r="B209" s="30"/>
      <c r="C209" s="70"/>
      <c r="D209" s="71"/>
      <c r="E209" s="71"/>
      <c r="F209" s="71"/>
      <c r="G209" s="30"/>
      <c r="H209" s="77"/>
      <c r="I209" s="77"/>
      <c r="K209" s="3"/>
    </row>
    <row r="210" spans="1:11" s="58" customFormat="1">
      <c r="A210" s="50"/>
      <c r="B210" s="30"/>
      <c r="C210" s="70"/>
      <c r="D210" s="71"/>
      <c r="E210" s="71"/>
      <c r="F210" s="71"/>
      <c r="G210" s="30"/>
      <c r="H210" s="77"/>
      <c r="I210" s="77"/>
      <c r="K210" s="3"/>
    </row>
    <row r="211" spans="1:11" s="58" customFormat="1">
      <c r="A211" s="50"/>
      <c r="B211" s="30"/>
      <c r="C211" s="70"/>
      <c r="D211" s="71"/>
      <c r="E211" s="71"/>
      <c r="F211" s="71"/>
      <c r="G211" s="30"/>
      <c r="H211" s="77"/>
      <c r="I211" s="77"/>
      <c r="K211" s="3"/>
    </row>
    <row r="212" spans="1:11" s="58" customFormat="1">
      <c r="A212" s="50"/>
      <c r="B212" s="30"/>
      <c r="C212" s="70"/>
      <c r="D212" s="71"/>
      <c r="E212" s="71"/>
      <c r="F212" s="71"/>
      <c r="G212" s="30"/>
      <c r="H212" s="77"/>
      <c r="I212" s="77"/>
      <c r="K212" s="3"/>
    </row>
    <row r="213" spans="1:11" s="58" customFormat="1">
      <c r="A213" s="50"/>
      <c r="B213" s="30"/>
      <c r="C213" s="70"/>
      <c r="D213" s="71"/>
      <c r="E213" s="71"/>
      <c r="F213" s="71"/>
      <c r="G213" s="30"/>
      <c r="H213" s="77"/>
      <c r="I213" s="77"/>
      <c r="K213" s="3"/>
    </row>
    <row r="214" spans="1:11" s="58" customFormat="1">
      <c r="A214" s="50"/>
      <c r="B214" s="30"/>
      <c r="C214" s="70"/>
      <c r="D214" s="71"/>
      <c r="E214" s="71"/>
      <c r="F214" s="71"/>
      <c r="G214" s="30"/>
      <c r="H214" s="77"/>
      <c r="I214" s="77"/>
      <c r="K214" s="3"/>
    </row>
    <row r="215" spans="1:11" s="58" customFormat="1">
      <c r="A215" s="50"/>
      <c r="B215" s="30"/>
      <c r="C215" s="70"/>
      <c r="D215" s="71"/>
      <c r="E215" s="71"/>
      <c r="F215" s="71"/>
      <c r="G215" s="30"/>
      <c r="H215" s="77"/>
      <c r="I215" s="77"/>
      <c r="K215" s="3"/>
    </row>
    <row r="216" spans="1:11" s="58" customFormat="1">
      <c r="A216" s="50"/>
      <c r="B216" s="30"/>
      <c r="C216" s="70"/>
      <c r="D216" s="71"/>
      <c r="E216" s="71"/>
      <c r="F216" s="71"/>
      <c r="G216" s="30"/>
      <c r="H216" s="77"/>
      <c r="I216" s="77"/>
      <c r="K216" s="3"/>
    </row>
    <row r="217" spans="1:11" s="58" customFormat="1">
      <c r="A217" s="50"/>
      <c r="B217" s="30"/>
      <c r="C217" s="70"/>
      <c r="D217" s="71"/>
      <c r="E217" s="71"/>
      <c r="F217" s="71"/>
      <c r="G217" s="30"/>
      <c r="H217" s="77"/>
      <c r="I217" s="77"/>
      <c r="K217" s="3"/>
    </row>
    <row r="218" spans="1:11" s="58" customFormat="1">
      <c r="A218" s="50"/>
      <c r="B218" s="30"/>
      <c r="C218" s="70"/>
      <c r="D218" s="71"/>
      <c r="E218" s="71"/>
      <c r="F218" s="71"/>
      <c r="G218" s="30"/>
      <c r="H218" s="77"/>
      <c r="I218" s="77"/>
      <c r="K218" s="3"/>
    </row>
    <row r="219" spans="1:11" s="58" customFormat="1">
      <c r="A219" s="50"/>
      <c r="B219" s="30"/>
      <c r="C219" s="70"/>
      <c r="D219" s="71"/>
      <c r="E219" s="71"/>
      <c r="F219" s="71"/>
      <c r="G219" s="30"/>
      <c r="H219" s="77"/>
      <c r="I219" s="77"/>
      <c r="K219" s="3"/>
    </row>
    <row r="220" spans="1:11" s="58" customFormat="1">
      <c r="A220" s="50"/>
      <c r="B220" s="30"/>
      <c r="C220" s="70"/>
      <c r="D220" s="71"/>
      <c r="E220" s="71"/>
      <c r="F220" s="71"/>
      <c r="G220" s="30"/>
      <c r="H220" s="77"/>
      <c r="I220" s="77"/>
      <c r="K220" s="3"/>
    </row>
    <row r="221" spans="1:11" s="58" customFormat="1">
      <c r="A221" s="50"/>
      <c r="B221" s="30"/>
      <c r="C221" s="70"/>
      <c r="D221" s="71"/>
      <c r="E221" s="71"/>
      <c r="F221" s="71"/>
      <c r="G221" s="30"/>
      <c r="H221" s="77"/>
      <c r="I221" s="77"/>
      <c r="K221" s="3"/>
    </row>
    <row r="222" spans="1:11" s="58" customFormat="1">
      <c r="A222" s="50"/>
      <c r="B222" s="30"/>
      <c r="C222" s="70"/>
      <c r="D222" s="71"/>
      <c r="E222" s="71"/>
      <c r="F222" s="71"/>
      <c r="G222" s="30"/>
      <c r="H222" s="77"/>
      <c r="I222" s="77"/>
      <c r="K222" s="3"/>
    </row>
    <row r="223" spans="1:11" s="58" customFormat="1">
      <c r="A223" s="50"/>
      <c r="B223" s="30"/>
      <c r="C223" s="70"/>
      <c r="D223" s="71"/>
      <c r="E223" s="71"/>
      <c r="F223" s="71"/>
      <c r="G223" s="30"/>
      <c r="H223" s="77"/>
      <c r="I223" s="77"/>
      <c r="K223" s="3"/>
    </row>
    <row r="224" spans="1:11" s="58" customFormat="1">
      <c r="A224" s="50"/>
      <c r="B224" s="30"/>
      <c r="C224" s="70"/>
      <c r="D224" s="71"/>
      <c r="E224" s="71"/>
      <c r="F224" s="71"/>
      <c r="G224" s="30"/>
      <c r="H224" s="77"/>
      <c r="I224" s="77"/>
      <c r="K224" s="3"/>
    </row>
    <row r="225" spans="1:11" s="58" customFormat="1">
      <c r="A225" s="50"/>
      <c r="B225" s="30"/>
      <c r="C225" s="70"/>
      <c r="D225" s="71"/>
      <c r="E225" s="71"/>
      <c r="F225" s="71"/>
      <c r="G225" s="30"/>
      <c r="H225" s="77"/>
      <c r="I225" s="77"/>
      <c r="K225" s="3"/>
    </row>
    <row r="226" spans="1:11" s="58" customFormat="1">
      <c r="A226" s="50"/>
      <c r="B226" s="30"/>
      <c r="C226" s="70"/>
      <c r="D226" s="71"/>
      <c r="E226" s="71"/>
      <c r="F226" s="71"/>
      <c r="G226" s="30"/>
      <c r="H226" s="77"/>
      <c r="I226" s="77"/>
      <c r="K226" s="3"/>
    </row>
    <row r="227" spans="1:11" s="58" customFormat="1">
      <c r="A227" s="50"/>
      <c r="B227" s="30"/>
      <c r="C227" s="70"/>
      <c r="D227" s="71"/>
      <c r="E227" s="71"/>
      <c r="F227" s="71"/>
      <c r="G227" s="30"/>
      <c r="H227" s="77"/>
      <c r="I227" s="77"/>
      <c r="K227" s="3"/>
    </row>
    <row r="228" spans="1:11" s="58" customFormat="1">
      <c r="A228" s="50"/>
      <c r="B228" s="30"/>
      <c r="C228" s="70"/>
      <c r="D228" s="71"/>
      <c r="E228" s="71"/>
      <c r="F228" s="71"/>
      <c r="G228" s="30"/>
      <c r="H228" s="77"/>
      <c r="I228" s="77"/>
      <c r="K228" s="3"/>
    </row>
    <row r="229" spans="1:11" s="58" customFormat="1">
      <c r="A229" s="50"/>
      <c r="B229" s="30"/>
      <c r="C229" s="70"/>
      <c r="D229" s="71"/>
      <c r="E229" s="71"/>
      <c r="F229" s="71"/>
      <c r="G229" s="30"/>
      <c r="H229" s="77"/>
      <c r="I229" s="77"/>
      <c r="K229" s="3"/>
    </row>
    <row r="230" spans="1:11" s="58" customFormat="1">
      <c r="A230" s="50"/>
      <c r="B230" s="30"/>
      <c r="C230" s="70"/>
      <c r="D230" s="71"/>
      <c r="E230" s="71"/>
      <c r="F230" s="71"/>
      <c r="G230" s="30"/>
      <c r="H230" s="77"/>
      <c r="I230" s="77"/>
      <c r="K230" s="3"/>
    </row>
    <row r="231" spans="1:11" s="58" customFormat="1">
      <c r="A231" s="50"/>
      <c r="B231" s="30"/>
      <c r="C231" s="70"/>
      <c r="D231" s="71"/>
      <c r="E231" s="71"/>
      <c r="F231" s="71"/>
      <c r="G231" s="30"/>
      <c r="H231" s="77"/>
      <c r="I231" s="77"/>
      <c r="K231" s="3"/>
    </row>
    <row r="232" spans="1:11" s="58" customFormat="1">
      <c r="A232" s="50"/>
      <c r="B232" s="30"/>
      <c r="C232" s="70"/>
      <c r="D232" s="71"/>
      <c r="E232" s="71"/>
      <c r="F232" s="71"/>
      <c r="G232" s="30"/>
      <c r="H232" s="77"/>
      <c r="I232" s="77"/>
      <c r="K232" s="3"/>
    </row>
    <row r="233" spans="1:11" s="58" customFormat="1">
      <c r="A233" s="50"/>
      <c r="B233" s="30"/>
      <c r="C233" s="70"/>
      <c r="D233" s="71"/>
      <c r="E233" s="71"/>
      <c r="F233" s="71"/>
      <c r="G233" s="30"/>
      <c r="H233" s="77"/>
      <c r="I233" s="77"/>
      <c r="K233" s="3"/>
    </row>
    <row r="234" spans="1:11" s="58" customFormat="1">
      <c r="A234" s="50"/>
      <c r="B234" s="30"/>
      <c r="C234" s="70"/>
      <c r="D234" s="71"/>
      <c r="E234" s="71"/>
      <c r="F234" s="71"/>
      <c r="G234" s="30"/>
      <c r="H234" s="77"/>
      <c r="I234" s="77"/>
      <c r="K234" s="3"/>
    </row>
    <row r="235" spans="1:11" s="58" customFormat="1">
      <c r="A235" s="50"/>
      <c r="B235" s="30"/>
      <c r="C235" s="70"/>
      <c r="D235" s="71"/>
      <c r="E235" s="71"/>
      <c r="F235" s="71"/>
      <c r="G235" s="30"/>
      <c r="H235" s="77"/>
      <c r="I235" s="77"/>
      <c r="K235" s="3"/>
    </row>
    <row r="236" spans="1:11" s="58" customFormat="1">
      <c r="A236" s="50"/>
      <c r="B236" s="30"/>
      <c r="C236" s="70"/>
      <c r="D236" s="71"/>
      <c r="E236" s="71"/>
      <c r="F236" s="71"/>
      <c r="G236" s="30"/>
      <c r="H236" s="77"/>
      <c r="I236" s="77"/>
      <c r="K236" s="3"/>
    </row>
    <row r="237" spans="1:11" s="58" customFormat="1">
      <c r="A237" s="50"/>
      <c r="B237" s="30"/>
      <c r="C237" s="70"/>
      <c r="D237" s="71"/>
      <c r="E237" s="71"/>
      <c r="F237" s="71"/>
      <c r="G237" s="30"/>
      <c r="H237" s="77"/>
      <c r="I237" s="77"/>
      <c r="K237" s="3"/>
    </row>
    <row r="238" spans="1:11" s="58" customFormat="1">
      <c r="A238" s="50"/>
      <c r="B238" s="30"/>
      <c r="C238" s="70"/>
      <c r="D238" s="71"/>
      <c r="E238" s="71"/>
      <c r="F238" s="71"/>
      <c r="G238" s="30"/>
      <c r="H238" s="77"/>
      <c r="I238" s="77"/>
      <c r="K238" s="3"/>
    </row>
    <row r="239" spans="1:11" s="58" customFormat="1">
      <c r="A239" s="50"/>
      <c r="B239" s="30"/>
      <c r="C239" s="70"/>
      <c r="D239" s="71"/>
      <c r="E239" s="71"/>
      <c r="F239" s="71"/>
      <c r="G239" s="30"/>
      <c r="H239" s="77"/>
      <c r="I239" s="77"/>
      <c r="K239" s="3"/>
    </row>
    <row r="240" spans="1:11" s="58" customFormat="1">
      <c r="A240" s="50"/>
      <c r="B240" s="30"/>
      <c r="C240" s="70"/>
      <c r="D240" s="71"/>
      <c r="E240" s="71"/>
      <c r="F240" s="71"/>
      <c r="G240" s="30"/>
      <c r="H240" s="77"/>
      <c r="I240" s="77"/>
      <c r="K240" s="3"/>
    </row>
    <row r="241" spans="1:11" s="58" customFormat="1">
      <c r="A241" s="50"/>
      <c r="B241" s="30"/>
      <c r="C241" s="70"/>
      <c r="D241" s="71"/>
      <c r="E241" s="71"/>
      <c r="F241" s="71"/>
      <c r="G241" s="30"/>
      <c r="H241" s="77"/>
      <c r="I241" s="77"/>
      <c r="K241" s="3"/>
    </row>
    <row r="242" spans="1:11" s="58" customFormat="1">
      <c r="A242" s="50"/>
      <c r="B242" s="30"/>
      <c r="C242" s="70"/>
      <c r="D242" s="71"/>
      <c r="E242" s="71"/>
      <c r="F242" s="71"/>
      <c r="G242" s="30"/>
      <c r="H242" s="77"/>
      <c r="I242" s="77"/>
      <c r="K242" s="3"/>
    </row>
    <row r="243" spans="1:11" s="58" customFormat="1">
      <c r="A243" s="50"/>
      <c r="B243" s="30"/>
      <c r="C243" s="70"/>
      <c r="D243" s="71"/>
      <c r="E243" s="71"/>
      <c r="F243" s="71"/>
      <c r="G243" s="30"/>
      <c r="H243" s="77"/>
      <c r="I243" s="77"/>
      <c r="K243" s="3"/>
    </row>
    <row r="244" spans="1:11" s="58" customFormat="1">
      <c r="A244" s="50"/>
      <c r="B244" s="30"/>
      <c r="C244" s="70"/>
      <c r="D244" s="71"/>
      <c r="E244" s="71"/>
      <c r="F244" s="71"/>
      <c r="G244" s="30"/>
      <c r="H244" s="77"/>
      <c r="I244" s="77"/>
      <c r="K244" s="3"/>
    </row>
    <row r="245" spans="1:11" s="58" customFormat="1">
      <c r="A245" s="50"/>
      <c r="B245" s="30"/>
      <c r="C245" s="70"/>
      <c r="D245" s="71"/>
      <c r="E245" s="71"/>
      <c r="F245" s="71"/>
      <c r="G245" s="30"/>
      <c r="H245" s="77"/>
      <c r="I245" s="77"/>
      <c r="K245" s="3"/>
    </row>
    <row r="246" spans="1:11" s="58" customFormat="1">
      <c r="A246" s="50"/>
      <c r="B246" s="30"/>
      <c r="C246" s="70"/>
      <c r="D246" s="71"/>
      <c r="E246" s="71"/>
      <c r="F246" s="71"/>
      <c r="G246" s="30"/>
      <c r="H246" s="77"/>
      <c r="I246" s="77"/>
      <c r="K246" s="3"/>
    </row>
    <row r="247" spans="1:11" s="58" customFormat="1">
      <c r="A247" s="50"/>
      <c r="B247" s="30"/>
      <c r="C247" s="70"/>
      <c r="D247" s="71"/>
      <c r="E247" s="71"/>
      <c r="F247" s="71"/>
      <c r="G247" s="30"/>
      <c r="H247" s="77"/>
      <c r="I247" s="77"/>
      <c r="K247" s="3"/>
    </row>
    <row r="248" spans="1:11" s="58" customFormat="1">
      <c r="A248" s="50"/>
      <c r="B248" s="30"/>
      <c r="C248" s="70"/>
      <c r="D248" s="71"/>
      <c r="E248" s="71"/>
      <c r="F248" s="71"/>
      <c r="G248" s="30"/>
      <c r="H248" s="77"/>
      <c r="I248" s="77"/>
      <c r="K248" s="3"/>
    </row>
    <row r="249" spans="1:11" s="58" customFormat="1">
      <c r="A249" s="50"/>
      <c r="B249" s="30"/>
      <c r="C249" s="70"/>
      <c r="D249" s="71"/>
      <c r="E249" s="71"/>
      <c r="F249" s="71"/>
      <c r="G249" s="30"/>
      <c r="H249" s="77"/>
      <c r="I249" s="77"/>
      <c r="K249" s="3"/>
    </row>
    <row r="250" spans="1:11" s="58" customFormat="1">
      <c r="A250" s="50"/>
      <c r="B250" s="30"/>
      <c r="C250" s="70"/>
      <c r="D250" s="71"/>
      <c r="E250" s="71"/>
      <c r="F250" s="71"/>
      <c r="G250" s="30"/>
      <c r="H250" s="77"/>
      <c r="I250" s="77"/>
      <c r="K250" s="3"/>
    </row>
    <row r="251" spans="1:11" s="58" customFormat="1">
      <c r="A251" s="50"/>
      <c r="B251" s="30"/>
      <c r="C251" s="70"/>
      <c r="D251" s="71"/>
      <c r="E251" s="71"/>
      <c r="F251" s="71"/>
      <c r="G251" s="30"/>
      <c r="H251" s="77"/>
      <c r="I251" s="77"/>
      <c r="K251" s="3"/>
    </row>
    <row r="252" spans="1:11" s="58" customFormat="1">
      <c r="A252" s="50"/>
      <c r="B252" s="30"/>
      <c r="C252" s="70"/>
      <c r="D252" s="71"/>
      <c r="E252" s="71"/>
      <c r="F252" s="71"/>
      <c r="G252" s="30"/>
      <c r="H252" s="77"/>
      <c r="I252" s="77"/>
      <c r="K252" s="3"/>
    </row>
    <row r="253" spans="1:11" s="58" customFormat="1">
      <c r="A253" s="50"/>
      <c r="B253" s="30"/>
      <c r="C253" s="70"/>
      <c r="D253" s="71"/>
      <c r="E253" s="71"/>
      <c r="F253" s="71"/>
      <c r="G253" s="30"/>
      <c r="H253" s="77"/>
      <c r="I253" s="77"/>
      <c r="K253" s="3"/>
    </row>
    <row r="254" spans="1:11" s="58" customFormat="1">
      <c r="A254" s="50"/>
      <c r="B254" s="30"/>
      <c r="C254" s="70"/>
      <c r="D254" s="71"/>
      <c r="E254" s="71"/>
      <c r="F254" s="71"/>
      <c r="G254" s="30"/>
      <c r="H254" s="77"/>
      <c r="I254" s="77"/>
      <c r="K254" s="3"/>
    </row>
    <row r="255" spans="1:11" s="58" customFormat="1">
      <c r="A255" s="50"/>
      <c r="B255" s="30"/>
      <c r="C255" s="70"/>
      <c r="D255" s="71"/>
      <c r="E255" s="71"/>
      <c r="F255" s="71"/>
      <c r="G255" s="30"/>
      <c r="H255" s="77"/>
      <c r="I255" s="77"/>
      <c r="K255" s="3"/>
    </row>
    <row r="256" spans="1:11" s="58" customFormat="1">
      <c r="A256" s="50"/>
      <c r="B256" s="30"/>
      <c r="C256" s="70"/>
      <c r="D256" s="71"/>
      <c r="E256" s="71"/>
      <c r="F256" s="71"/>
      <c r="G256" s="30"/>
      <c r="H256" s="77"/>
      <c r="I256" s="77"/>
      <c r="K256" s="3"/>
    </row>
    <row r="257" spans="1:11" s="58" customFormat="1">
      <c r="A257" s="50"/>
      <c r="B257" s="30"/>
      <c r="C257" s="70"/>
      <c r="D257" s="71"/>
      <c r="E257" s="71"/>
      <c r="F257" s="71"/>
      <c r="G257" s="30"/>
      <c r="H257" s="77"/>
      <c r="I257" s="77"/>
      <c r="K257" s="3"/>
    </row>
    <row r="258" spans="1:11" s="58" customFormat="1">
      <c r="A258" s="50"/>
      <c r="B258" s="30"/>
      <c r="C258" s="70"/>
      <c r="D258" s="71"/>
      <c r="E258" s="71"/>
      <c r="F258" s="71"/>
      <c r="G258" s="30"/>
      <c r="H258" s="77"/>
      <c r="I258" s="77"/>
      <c r="K258" s="3"/>
    </row>
    <row r="259" spans="1:11" s="71" customFormat="1">
      <c r="A259" s="50"/>
      <c r="B259" s="30"/>
      <c r="C259" s="70"/>
      <c r="G259" s="30"/>
      <c r="H259" s="77"/>
      <c r="I259" s="77"/>
      <c r="J259" s="58"/>
      <c r="K259" s="3"/>
    </row>
    <row r="260" spans="1:11" s="71" customFormat="1">
      <c r="A260" s="50"/>
      <c r="B260" s="30"/>
      <c r="C260" s="70"/>
      <c r="G260" s="30"/>
      <c r="H260" s="77"/>
      <c r="I260" s="77"/>
      <c r="J260" s="58"/>
      <c r="K260" s="3"/>
    </row>
    <row r="261" spans="1:11" s="71" customFormat="1">
      <c r="A261" s="50"/>
      <c r="B261" s="30"/>
      <c r="C261" s="70"/>
      <c r="G261" s="30"/>
      <c r="H261" s="77"/>
      <c r="I261" s="77"/>
      <c r="J261" s="58"/>
      <c r="K261" s="3"/>
    </row>
    <row r="262" spans="1:11" s="71" customFormat="1">
      <c r="A262" s="50"/>
      <c r="B262" s="30"/>
      <c r="C262" s="70"/>
      <c r="G262" s="30"/>
      <c r="H262" s="77"/>
      <c r="I262" s="77"/>
      <c r="J262" s="58"/>
      <c r="K262" s="3"/>
    </row>
    <row r="263" spans="1:11" s="71" customFormat="1">
      <c r="A263" s="50"/>
      <c r="B263" s="30"/>
      <c r="C263" s="70"/>
      <c r="G263" s="30"/>
      <c r="H263" s="77"/>
      <c r="I263" s="77"/>
      <c r="J263" s="58"/>
      <c r="K263" s="3"/>
    </row>
    <row r="264" spans="1:11" s="71" customFormat="1">
      <c r="A264" s="50"/>
      <c r="B264" s="30"/>
      <c r="C264" s="70"/>
      <c r="G264" s="30"/>
      <c r="H264" s="77"/>
      <c r="I264" s="77"/>
      <c r="J264" s="58"/>
      <c r="K264" s="3"/>
    </row>
    <row r="265" spans="1:11" s="71" customFormat="1">
      <c r="A265" s="50"/>
      <c r="B265" s="30"/>
      <c r="C265" s="70"/>
      <c r="G265" s="30"/>
      <c r="H265" s="77"/>
      <c r="I265" s="77"/>
      <c r="J265" s="58"/>
      <c r="K265" s="3"/>
    </row>
    <row r="266" spans="1:11" s="71" customFormat="1">
      <c r="A266" s="50"/>
      <c r="B266" s="30"/>
      <c r="C266" s="70"/>
      <c r="G266" s="30"/>
      <c r="H266" s="77"/>
      <c r="I266" s="77"/>
      <c r="J266" s="58"/>
      <c r="K266" s="3"/>
    </row>
    <row r="267" spans="1:11" s="71" customFormat="1">
      <c r="A267" s="50"/>
      <c r="B267" s="30"/>
      <c r="C267" s="70"/>
      <c r="G267" s="30"/>
      <c r="H267" s="77"/>
      <c r="I267" s="77"/>
      <c r="J267" s="58"/>
      <c r="K267" s="3"/>
    </row>
    <row r="268" spans="1:11" s="71" customFormat="1">
      <c r="A268" s="50"/>
      <c r="B268" s="30"/>
      <c r="C268" s="70"/>
      <c r="G268" s="30"/>
      <c r="H268" s="77"/>
      <c r="I268" s="77"/>
      <c r="J268" s="58"/>
      <c r="K268" s="3"/>
    </row>
    <row r="269" spans="1:11" s="71" customFormat="1">
      <c r="A269" s="50"/>
      <c r="B269" s="30"/>
      <c r="C269" s="70"/>
      <c r="G269" s="30"/>
      <c r="H269" s="77"/>
      <c r="I269" s="77"/>
      <c r="J269" s="58"/>
      <c r="K269" s="3"/>
    </row>
    <row r="270" spans="1:11" s="71" customFormat="1">
      <c r="A270" s="50"/>
      <c r="B270" s="30"/>
      <c r="C270" s="70"/>
      <c r="G270" s="30"/>
      <c r="H270" s="77"/>
      <c r="I270" s="77"/>
      <c r="J270" s="58"/>
      <c r="K270" s="3"/>
    </row>
    <row r="271" spans="1:11" s="71" customFormat="1">
      <c r="A271" s="50"/>
      <c r="B271" s="30"/>
      <c r="C271" s="70"/>
      <c r="G271" s="30"/>
      <c r="H271" s="77"/>
      <c r="I271" s="77"/>
      <c r="J271" s="58"/>
      <c r="K271" s="3"/>
    </row>
    <row r="272" spans="1:11" s="71" customFormat="1">
      <c r="A272" s="50"/>
      <c r="B272" s="30"/>
      <c r="C272" s="70"/>
      <c r="G272" s="30"/>
      <c r="H272" s="77"/>
      <c r="I272" s="77"/>
      <c r="J272" s="58"/>
      <c r="K272" s="3"/>
    </row>
    <row r="273" spans="1:11" s="71" customFormat="1">
      <c r="A273" s="50"/>
      <c r="B273" s="30"/>
      <c r="C273" s="70"/>
      <c r="G273" s="30"/>
      <c r="H273" s="77"/>
      <c r="I273" s="77"/>
      <c r="J273" s="58"/>
      <c r="K273" s="3"/>
    </row>
    <row r="274" spans="1:11" s="71" customFormat="1">
      <c r="A274" s="50"/>
      <c r="B274" s="30"/>
      <c r="C274" s="70"/>
      <c r="G274" s="30"/>
      <c r="H274" s="77"/>
      <c r="I274" s="77"/>
      <c r="J274" s="58"/>
      <c r="K274" s="3"/>
    </row>
    <row r="275" spans="1:11" s="71" customFormat="1">
      <c r="A275" s="50"/>
      <c r="B275" s="30"/>
      <c r="C275" s="70"/>
      <c r="G275" s="30"/>
      <c r="H275" s="77"/>
      <c r="I275" s="77"/>
      <c r="J275" s="58"/>
      <c r="K275" s="3"/>
    </row>
    <row r="276" spans="1:11" s="71" customFormat="1">
      <c r="A276" s="50"/>
      <c r="B276" s="30"/>
      <c r="C276" s="70"/>
      <c r="G276" s="30"/>
      <c r="H276" s="77"/>
      <c r="I276" s="77"/>
      <c r="J276" s="58"/>
      <c r="K276" s="3"/>
    </row>
    <row r="277" spans="1:11" s="71" customFormat="1">
      <c r="A277" s="50"/>
      <c r="B277" s="30"/>
      <c r="C277" s="70"/>
      <c r="G277" s="30"/>
      <c r="H277" s="77"/>
      <c r="I277" s="77"/>
      <c r="J277" s="58"/>
      <c r="K277" s="3"/>
    </row>
    <row r="278" spans="1:11" s="71" customFormat="1">
      <c r="A278" s="50"/>
      <c r="B278" s="30"/>
      <c r="C278" s="70"/>
      <c r="G278" s="30"/>
      <c r="H278" s="77"/>
      <c r="I278" s="77"/>
      <c r="J278" s="58"/>
      <c r="K278" s="3"/>
    </row>
    <row r="279" spans="1:11" s="71" customFormat="1">
      <c r="A279" s="50"/>
      <c r="B279" s="30"/>
      <c r="C279" s="70"/>
      <c r="G279" s="30"/>
      <c r="H279" s="77"/>
      <c r="I279" s="77"/>
      <c r="J279" s="58"/>
      <c r="K279" s="3"/>
    </row>
    <row r="280" spans="1:11" s="71" customFormat="1">
      <c r="A280" s="50"/>
      <c r="B280" s="30"/>
      <c r="C280" s="70"/>
      <c r="G280" s="30"/>
      <c r="H280" s="77"/>
      <c r="I280" s="77"/>
      <c r="J280" s="58"/>
      <c r="K280" s="3"/>
    </row>
    <row r="281" spans="1:11" s="71" customFormat="1">
      <c r="A281" s="50"/>
      <c r="B281" s="30"/>
      <c r="C281" s="70"/>
      <c r="G281" s="30"/>
      <c r="H281" s="77"/>
      <c r="I281" s="77"/>
      <c r="J281" s="58"/>
      <c r="K281" s="3"/>
    </row>
    <row r="282" spans="1:11" s="71" customFormat="1">
      <c r="A282" s="50"/>
      <c r="B282" s="30"/>
      <c r="C282" s="70"/>
      <c r="G282" s="30"/>
      <c r="H282" s="77"/>
      <c r="I282" s="77"/>
      <c r="J282" s="58"/>
      <c r="K282" s="3"/>
    </row>
    <row r="283" spans="1:11" s="71" customFormat="1">
      <c r="A283" s="50"/>
      <c r="B283" s="30"/>
      <c r="C283" s="70"/>
      <c r="G283" s="30"/>
      <c r="H283" s="77"/>
      <c r="I283" s="77"/>
      <c r="J283" s="58"/>
      <c r="K283" s="3"/>
    </row>
    <row r="284" spans="1:11" s="71" customFormat="1">
      <c r="A284" s="50"/>
      <c r="B284" s="30"/>
      <c r="C284" s="70"/>
      <c r="G284" s="30"/>
      <c r="H284" s="77"/>
      <c r="I284" s="77"/>
      <c r="J284" s="58"/>
      <c r="K284" s="3"/>
    </row>
    <row r="285" spans="1:11" s="71" customFormat="1">
      <c r="A285" s="50"/>
      <c r="B285" s="30"/>
      <c r="C285" s="70"/>
      <c r="G285" s="30"/>
      <c r="H285" s="77"/>
      <c r="I285" s="77"/>
      <c r="J285" s="58"/>
      <c r="K285" s="3"/>
    </row>
    <row r="286" spans="1:11" s="71" customFormat="1">
      <c r="A286" s="50"/>
      <c r="B286" s="30"/>
      <c r="C286" s="70"/>
      <c r="G286" s="30"/>
      <c r="H286" s="77"/>
      <c r="I286" s="77"/>
      <c r="J286" s="58"/>
      <c r="K286" s="3"/>
    </row>
    <row r="287" spans="1:11" s="71" customFormat="1">
      <c r="A287" s="50"/>
      <c r="B287" s="30"/>
      <c r="C287" s="70"/>
      <c r="G287" s="30"/>
      <c r="H287" s="77"/>
      <c r="I287" s="77"/>
      <c r="J287" s="58"/>
      <c r="K287" s="3"/>
    </row>
    <row r="288" spans="1:11" s="71" customFormat="1">
      <c r="A288" s="50"/>
      <c r="B288" s="30"/>
      <c r="C288" s="70"/>
      <c r="G288" s="30"/>
      <c r="H288" s="77"/>
      <c r="I288" s="77"/>
      <c r="J288" s="58"/>
      <c r="K288" s="3"/>
    </row>
    <row r="289" spans="1:11" s="71" customFormat="1">
      <c r="A289" s="50"/>
      <c r="B289" s="30"/>
      <c r="C289" s="70"/>
      <c r="G289" s="30"/>
      <c r="H289" s="77"/>
      <c r="I289" s="77"/>
      <c r="J289" s="58"/>
      <c r="K289" s="3"/>
    </row>
    <row r="290" spans="1:11" s="71" customFormat="1">
      <c r="A290" s="50"/>
      <c r="B290" s="30"/>
      <c r="C290" s="70"/>
      <c r="G290" s="30"/>
      <c r="H290" s="77"/>
      <c r="I290" s="77"/>
      <c r="J290" s="58"/>
      <c r="K290" s="3"/>
    </row>
    <row r="291" spans="1:11" s="71" customFormat="1">
      <c r="A291" s="50"/>
      <c r="B291" s="30"/>
      <c r="C291" s="70"/>
      <c r="G291" s="30"/>
      <c r="H291" s="77"/>
      <c r="I291" s="77"/>
      <c r="J291" s="58"/>
      <c r="K291" s="3"/>
    </row>
    <row r="292" spans="1:11" s="71" customFormat="1">
      <c r="A292" s="50"/>
      <c r="B292" s="30"/>
      <c r="C292" s="70"/>
      <c r="G292" s="30"/>
      <c r="H292" s="77"/>
      <c r="I292" s="77"/>
      <c r="J292" s="58"/>
      <c r="K292" s="3"/>
    </row>
    <row r="293" spans="1:11" s="71" customFormat="1">
      <c r="A293" s="50"/>
      <c r="B293" s="30"/>
      <c r="C293" s="70"/>
      <c r="G293" s="30"/>
      <c r="H293" s="77"/>
      <c r="I293" s="77"/>
      <c r="J293" s="58"/>
      <c r="K293" s="3"/>
    </row>
    <row r="294" spans="1:11" s="71" customFormat="1">
      <c r="A294" s="50"/>
      <c r="B294" s="30"/>
      <c r="C294" s="70"/>
      <c r="G294" s="30"/>
      <c r="H294" s="77"/>
      <c r="I294" s="77"/>
      <c r="J294" s="58"/>
      <c r="K294" s="3"/>
    </row>
    <row r="295" spans="1:11" s="71" customFormat="1">
      <c r="A295" s="50"/>
      <c r="B295" s="30"/>
      <c r="C295" s="70"/>
      <c r="G295" s="30"/>
      <c r="H295" s="77"/>
      <c r="I295" s="77"/>
      <c r="J295" s="58"/>
      <c r="K295" s="3"/>
    </row>
    <row r="296" spans="1:11" s="71" customFormat="1">
      <c r="A296" s="50"/>
      <c r="B296" s="30"/>
      <c r="C296" s="70"/>
      <c r="G296" s="30"/>
      <c r="H296" s="77"/>
      <c r="I296" s="77"/>
      <c r="J296" s="58"/>
      <c r="K296" s="3"/>
    </row>
    <row r="297" spans="1:11" s="71" customFormat="1">
      <c r="A297" s="50"/>
      <c r="B297" s="30"/>
      <c r="C297" s="70"/>
      <c r="G297" s="30"/>
      <c r="H297" s="77"/>
      <c r="I297" s="77"/>
      <c r="J297" s="58"/>
      <c r="K297" s="3"/>
    </row>
    <row r="298" spans="1:11" s="71" customFormat="1">
      <c r="A298" s="50"/>
      <c r="B298" s="30"/>
      <c r="C298" s="70"/>
      <c r="G298" s="30"/>
      <c r="H298" s="77"/>
      <c r="I298" s="77"/>
      <c r="J298" s="58"/>
      <c r="K298" s="3"/>
    </row>
    <row r="299" spans="1:11" s="71" customFormat="1">
      <c r="A299" s="50"/>
      <c r="B299" s="30"/>
      <c r="C299" s="70"/>
      <c r="G299" s="30"/>
      <c r="H299" s="77"/>
      <c r="I299" s="77"/>
      <c r="J299" s="58"/>
      <c r="K299" s="3"/>
    </row>
    <row r="300" spans="1:11" s="71" customFormat="1">
      <c r="A300" s="50"/>
      <c r="B300" s="30"/>
      <c r="C300" s="70"/>
      <c r="G300" s="30"/>
      <c r="H300" s="77"/>
      <c r="I300" s="77"/>
      <c r="J300" s="58"/>
      <c r="K300" s="3"/>
    </row>
    <row r="301" spans="1:11" s="71" customFormat="1">
      <c r="A301" s="50"/>
      <c r="B301" s="30"/>
      <c r="C301" s="70"/>
      <c r="G301" s="30"/>
      <c r="H301" s="77"/>
      <c r="I301" s="77"/>
      <c r="J301" s="58"/>
      <c r="K301" s="3"/>
    </row>
    <row r="302" spans="1:11" s="71" customFormat="1">
      <c r="A302" s="50"/>
      <c r="B302" s="30"/>
      <c r="C302" s="70"/>
      <c r="G302" s="30"/>
      <c r="H302" s="77"/>
      <c r="I302" s="77"/>
      <c r="J302" s="58"/>
      <c r="K302" s="3"/>
    </row>
    <row r="303" spans="1:11" s="71" customFormat="1">
      <c r="A303" s="50"/>
      <c r="B303" s="30"/>
      <c r="C303" s="70"/>
      <c r="G303" s="30"/>
      <c r="H303" s="77"/>
      <c r="I303" s="77"/>
      <c r="J303" s="58"/>
      <c r="K303" s="3"/>
    </row>
    <row r="304" spans="1:11" s="71" customFormat="1">
      <c r="A304" s="50"/>
      <c r="B304" s="30"/>
      <c r="C304" s="70"/>
      <c r="G304" s="30"/>
      <c r="H304" s="77"/>
      <c r="I304" s="77"/>
      <c r="J304" s="58"/>
      <c r="K304" s="3"/>
    </row>
    <row r="305" spans="1:11" s="71" customFormat="1">
      <c r="A305" s="50"/>
      <c r="B305" s="30"/>
      <c r="C305" s="70"/>
      <c r="G305" s="30"/>
      <c r="H305" s="77"/>
      <c r="I305" s="77"/>
      <c r="J305" s="58"/>
      <c r="K305" s="3"/>
    </row>
    <row r="306" spans="1:11" s="71" customFormat="1">
      <c r="A306" s="50"/>
      <c r="B306" s="30"/>
      <c r="C306" s="70"/>
      <c r="G306" s="30"/>
      <c r="H306" s="77"/>
      <c r="I306" s="77"/>
      <c r="J306" s="58"/>
      <c r="K306" s="3"/>
    </row>
    <row r="307" spans="1:11" s="71" customFormat="1">
      <c r="A307" s="50"/>
      <c r="B307" s="30"/>
      <c r="C307" s="70"/>
      <c r="G307" s="30"/>
      <c r="H307" s="77"/>
      <c r="I307" s="77"/>
      <c r="J307" s="58"/>
      <c r="K307" s="3"/>
    </row>
    <row r="308" spans="1:11" s="71" customFormat="1">
      <c r="A308" s="50"/>
      <c r="B308" s="30"/>
      <c r="C308" s="70"/>
      <c r="G308" s="30"/>
      <c r="H308" s="77"/>
      <c r="I308" s="77"/>
      <c r="J308" s="58"/>
      <c r="K308" s="3"/>
    </row>
    <row r="309" spans="1:11" s="71" customFormat="1">
      <c r="A309" s="50"/>
      <c r="B309" s="30"/>
      <c r="C309" s="70"/>
      <c r="G309" s="30"/>
      <c r="H309" s="77"/>
      <c r="I309" s="77"/>
      <c r="J309" s="58"/>
      <c r="K309" s="3"/>
    </row>
    <row r="310" spans="1:11" s="71" customFormat="1">
      <c r="A310" s="50"/>
      <c r="B310" s="30"/>
      <c r="C310" s="70"/>
      <c r="G310" s="30"/>
      <c r="H310" s="77"/>
      <c r="I310" s="77"/>
      <c r="J310" s="58"/>
      <c r="K310" s="3"/>
    </row>
    <row r="311" spans="1:11" s="71" customFormat="1">
      <c r="A311" s="50"/>
      <c r="B311" s="30"/>
      <c r="C311" s="70"/>
      <c r="G311" s="30"/>
      <c r="H311" s="77"/>
      <c r="I311" s="77"/>
      <c r="J311" s="58"/>
      <c r="K311" s="3"/>
    </row>
    <row r="312" spans="1:11" s="71" customFormat="1">
      <c r="A312" s="50"/>
      <c r="B312" s="30"/>
      <c r="C312" s="70"/>
      <c r="G312" s="30"/>
      <c r="H312" s="77"/>
      <c r="I312" s="77"/>
      <c r="J312" s="58"/>
      <c r="K312" s="3"/>
    </row>
    <row r="313" spans="1:11" s="71" customFormat="1">
      <c r="A313" s="50"/>
      <c r="B313" s="30"/>
      <c r="C313" s="70"/>
      <c r="G313" s="30"/>
      <c r="H313" s="77"/>
      <c r="I313" s="77"/>
      <c r="J313" s="58"/>
      <c r="K313" s="3"/>
    </row>
    <row r="314" spans="1:11" s="71" customFormat="1">
      <c r="A314" s="50"/>
      <c r="B314" s="30"/>
      <c r="C314" s="70"/>
      <c r="G314" s="30"/>
      <c r="H314" s="77"/>
      <c r="I314" s="77"/>
      <c r="J314" s="58"/>
      <c r="K314" s="3"/>
    </row>
    <row r="315" spans="1:11" s="71" customFormat="1">
      <c r="A315" s="50"/>
      <c r="B315" s="30"/>
      <c r="C315" s="70"/>
      <c r="G315" s="30"/>
      <c r="H315" s="77"/>
      <c r="I315" s="77"/>
      <c r="J315" s="58"/>
      <c r="K315" s="3"/>
    </row>
    <row r="316" spans="1:11" s="71" customFormat="1">
      <c r="A316" s="50"/>
      <c r="B316" s="30"/>
      <c r="C316" s="70"/>
      <c r="G316" s="30"/>
      <c r="H316" s="77"/>
      <c r="I316" s="77"/>
      <c r="J316" s="58"/>
      <c r="K316" s="3"/>
    </row>
    <row r="317" spans="1:11" s="71" customFormat="1">
      <c r="A317" s="50"/>
      <c r="B317" s="30"/>
      <c r="C317" s="70"/>
      <c r="G317" s="30"/>
      <c r="H317" s="77"/>
      <c r="I317" s="77"/>
      <c r="J317" s="58"/>
      <c r="K317" s="3"/>
    </row>
    <row r="318" spans="1:11" s="71" customFormat="1">
      <c r="A318" s="50"/>
      <c r="B318" s="30"/>
      <c r="C318" s="70"/>
      <c r="G318" s="30"/>
      <c r="H318" s="77"/>
      <c r="I318" s="77"/>
      <c r="J318" s="58"/>
      <c r="K318" s="3"/>
    </row>
    <row r="319" spans="1:11" s="71" customFormat="1">
      <c r="A319" s="50"/>
      <c r="B319" s="30"/>
      <c r="C319" s="70"/>
      <c r="G319" s="30"/>
      <c r="H319" s="77"/>
      <c r="I319" s="77"/>
      <c r="J319" s="58"/>
      <c r="K319" s="3"/>
    </row>
    <row r="320" spans="1:11" s="71" customFormat="1">
      <c r="A320" s="50"/>
      <c r="B320" s="30"/>
      <c r="C320" s="70"/>
      <c r="G320" s="30"/>
      <c r="H320" s="77"/>
      <c r="I320" s="77"/>
      <c r="J320" s="58"/>
      <c r="K320" s="3"/>
    </row>
    <row r="321" spans="1:11" s="71" customFormat="1">
      <c r="A321" s="50"/>
      <c r="B321" s="30"/>
      <c r="C321" s="70"/>
      <c r="G321" s="30"/>
      <c r="H321" s="77"/>
      <c r="I321" s="77"/>
      <c r="J321" s="58"/>
      <c r="K321" s="3"/>
    </row>
    <row r="322" spans="1:11" s="71" customFormat="1">
      <c r="A322" s="50"/>
      <c r="B322" s="30"/>
      <c r="C322" s="70"/>
      <c r="G322" s="30"/>
      <c r="H322" s="77"/>
      <c r="I322" s="77"/>
      <c r="J322" s="58"/>
      <c r="K322" s="3"/>
    </row>
    <row r="323" spans="1:11" s="71" customFormat="1">
      <c r="A323" s="50"/>
      <c r="B323" s="30"/>
      <c r="C323" s="70"/>
      <c r="G323" s="30"/>
      <c r="H323" s="77"/>
      <c r="I323" s="77"/>
      <c r="J323" s="58"/>
      <c r="K323" s="3"/>
    </row>
    <row r="324" spans="1:11" s="71" customFormat="1">
      <c r="A324" s="50"/>
      <c r="B324" s="30"/>
      <c r="C324" s="70"/>
      <c r="G324" s="30"/>
      <c r="H324" s="77"/>
      <c r="I324" s="77"/>
      <c r="J324" s="58"/>
      <c r="K324" s="3"/>
    </row>
    <row r="325" spans="1:11" s="71" customFormat="1">
      <c r="A325" s="50"/>
      <c r="B325" s="30"/>
      <c r="C325" s="70"/>
      <c r="G325" s="30"/>
      <c r="H325" s="77"/>
      <c r="I325" s="77"/>
      <c r="J325" s="58"/>
      <c r="K325" s="3"/>
    </row>
    <row r="326" spans="1:11" s="71" customFormat="1">
      <c r="A326" s="50"/>
      <c r="B326" s="30"/>
      <c r="C326" s="70"/>
      <c r="G326" s="30"/>
      <c r="H326" s="77"/>
      <c r="I326" s="77"/>
      <c r="J326" s="58"/>
      <c r="K326" s="3"/>
    </row>
    <row r="327" spans="1:11" s="71" customFormat="1">
      <c r="A327" s="50"/>
      <c r="B327" s="30"/>
      <c r="C327" s="70"/>
      <c r="G327" s="30"/>
      <c r="H327" s="77"/>
      <c r="I327" s="77"/>
      <c r="J327" s="58"/>
      <c r="K327" s="3"/>
    </row>
    <row r="328" spans="1:11" s="71" customFormat="1">
      <c r="A328" s="50"/>
      <c r="B328" s="30"/>
      <c r="C328" s="70"/>
      <c r="G328" s="30"/>
      <c r="H328" s="77"/>
      <c r="I328" s="77"/>
      <c r="J328" s="58"/>
      <c r="K328" s="3"/>
    </row>
    <row r="329" spans="1:11" s="71" customFormat="1">
      <c r="A329" s="50"/>
      <c r="B329" s="30"/>
      <c r="C329" s="70"/>
      <c r="G329" s="30"/>
      <c r="H329" s="77"/>
      <c r="I329" s="77"/>
      <c r="J329" s="58"/>
      <c r="K329" s="3"/>
    </row>
    <row r="330" spans="1:11" s="71" customFormat="1">
      <c r="A330" s="50"/>
      <c r="B330" s="30"/>
      <c r="C330" s="70"/>
      <c r="G330" s="30"/>
      <c r="H330" s="77"/>
      <c r="I330" s="77"/>
      <c r="J330" s="58"/>
      <c r="K330" s="3"/>
    </row>
    <row r="331" spans="1:11" s="71" customFormat="1">
      <c r="A331" s="50"/>
      <c r="B331" s="30"/>
      <c r="C331" s="70"/>
      <c r="G331" s="30"/>
      <c r="H331" s="77"/>
      <c r="I331" s="77"/>
      <c r="J331" s="58"/>
      <c r="K331" s="3"/>
    </row>
    <row r="332" spans="1:11" s="71" customFormat="1">
      <c r="A332" s="50"/>
      <c r="B332" s="30"/>
      <c r="C332" s="70"/>
      <c r="G332" s="30"/>
      <c r="H332" s="77"/>
      <c r="I332" s="77"/>
      <c r="J332" s="58"/>
      <c r="K332" s="3"/>
    </row>
    <row r="333" spans="1:11" s="71" customFormat="1">
      <c r="A333" s="50"/>
      <c r="B333" s="30"/>
      <c r="C333" s="70"/>
      <c r="G333" s="30"/>
      <c r="H333" s="77"/>
      <c r="I333" s="77"/>
      <c r="J333" s="58"/>
      <c r="K333" s="3"/>
    </row>
    <row r="334" spans="1:11" s="71" customFormat="1">
      <c r="A334" s="50"/>
      <c r="B334" s="30"/>
      <c r="C334" s="70"/>
      <c r="G334" s="30"/>
      <c r="H334" s="77"/>
      <c r="I334" s="77"/>
      <c r="J334" s="58"/>
      <c r="K334" s="3"/>
    </row>
    <row r="335" spans="1:11" s="71" customFormat="1">
      <c r="A335" s="50"/>
      <c r="B335" s="30"/>
      <c r="C335" s="70"/>
      <c r="G335" s="30"/>
      <c r="H335" s="77"/>
      <c r="I335" s="77"/>
      <c r="J335" s="58"/>
      <c r="K335" s="3"/>
    </row>
    <row r="336" spans="1:11" s="71" customFormat="1">
      <c r="A336" s="50"/>
      <c r="B336" s="30"/>
      <c r="C336" s="70"/>
      <c r="G336" s="30"/>
      <c r="H336" s="77"/>
      <c r="I336" s="77"/>
      <c r="J336" s="58"/>
      <c r="K336" s="3"/>
    </row>
    <row r="337" spans="1:11" s="71" customFormat="1">
      <c r="A337" s="50"/>
      <c r="B337" s="30"/>
      <c r="C337" s="70"/>
      <c r="G337" s="30"/>
      <c r="H337" s="77"/>
      <c r="I337" s="77"/>
      <c r="J337" s="58"/>
      <c r="K337" s="3"/>
    </row>
    <row r="338" spans="1:11" s="71" customFormat="1">
      <c r="A338" s="50"/>
      <c r="B338" s="30"/>
      <c r="C338" s="70"/>
      <c r="G338" s="30"/>
      <c r="H338" s="77"/>
      <c r="I338" s="77"/>
      <c r="J338" s="58"/>
      <c r="K338" s="3"/>
    </row>
    <row r="339" spans="1:11" s="71" customFormat="1">
      <c r="A339" s="50"/>
      <c r="B339" s="30"/>
      <c r="C339" s="70"/>
      <c r="G339" s="30"/>
      <c r="H339" s="77"/>
      <c r="I339" s="77"/>
      <c r="J339" s="58"/>
      <c r="K339" s="3"/>
    </row>
    <row r="340" spans="1:11" s="71" customFormat="1">
      <c r="A340" s="50"/>
      <c r="B340" s="30"/>
      <c r="C340" s="70"/>
      <c r="G340" s="30"/>
      <c r="H340" s="77"/>
      <c r="I340" s="77"/>
      <c r="J340" s="58"/>
      <c r="K340" s="3"/>
    </row>
    <row r="341" spans="1:11" s="71" customFormat="1">
      <c r="A341" s="50"/>
      <c r="B341" s="30"/>
      <c r="C341" s="70"/>
      <c r="G341" s="30"/>
      <c r="H341" s="77"/>
      <c r="I341" s="77"/>
      <c r="J341" s="58"/>
      <c r="K341" s="3"/>
    </row>
    <row r="342" spans="1:11" s="71" customFormat="1">
      <c r="A342" s="50"/>
      <c r="B342" s="30"/>
      <c r="C342" s="70"/>
      <c r="G342" s="30"/>
      <c r="H342" s="77"/>
      <c r="I342" s="77"/>
      <c r="J342" s="58"/>
      <c r="K342" s="3"/>
    </row>
    <row r="343" spans="1:11" s="71" customFormat="1">
      <c r="A343" s="50"/>
      <c r="B343" s="30"/>
      <c r="C343" s="70"/>
      <c r="G343" s="30"/>
      <c r="H343" s="77"/>
      <c r="I343" s="77"/>
      <c r="J343" s="58"/>
      <c r="K343" s="3"/>
    </row>
    <row r="344" spans="1:11" s="71" customFormat="1">
      <c r="A344" s="50"/>
      <c r="B344" s="30"/>
      <c r="C344" s="70"/>
      <c r="G344" s="30"/>
      <c r="H344" s="77"/>
      <c r="I344" s="77"/>
      <c r="J344" s="58"/>
      <c r="K344" s="3"/>
    </row>
    <row r="345" spans="1:11" s="71" customFormat="1">
      <c r="A345" s="50"/>
      <c r="B345" s="30"/>
      <c r="C345" s="70"/>
      <c r="G345" s="30"/>
      <c r="H345" s="77"/>
      <c r="I345" s="77"/>
      <c r="J345" s="58"/>
      <c r="K345" s="3"/>
    </row>
    <row r="346" spans="1:11" s="71" customFormat="1">
      <c r="A346" s="50"/>
      <c r="B346" s="30"/>
      <c r="C346" s="70"/>
      <c r="G346" s="30"/>
      <c r="H346" s="77"/>
      <c r="I346" s="77"/>
      <c r="J346" s="58"/>
      <c r="K346" s="3"/>
    </row>
    <row r="347" spans="1:11" s="71" customFormat="1">
      <c r="A347" s="50"/>
      <c r="B347" s="30"/>
      <c r="C347" s="70"/>
      <c r="G347" s="30"/>
      <c r="H347" s="77"/>
      <c r="I347" s="77"/>
      <c r="J347" s="58"/>
      <c r="K347" s="3"/>
    </row>
    <row r="348" spans="1:11" s="71" customFormat="1">
      <c r="A348" s="50"/>
      <c r="B348" s="30"/>
      <c r="C348" s="70"/>
      <c r="G348" s="30"/>
      <c r="H348" s="77"/>
      <c r="I348" s="77"/>
      <c r="J348" s="58"/>
      <c r="K348" s="3"/>
    </row>
    <row r="349" spans="1:11" s="71" customFormat="1">
      <c r="A349" s="50"/>
      <c r="B349" s="30"/>
      <c r="C349" s="70"/>
      <c r="G349" s="30"/>
      <c r="H349" s="77"/>
      <c r="I349" s="77"/>
      <c r="J349" s="58"/>
      <c r="K349" s="3"/>
    </row>
    <row r="350" spans="1:11" s="71" customFormat="1">
      <c r="A350" s="50"/>
      <c r="B350" s="30"/>
      <c r="C350" s="70"/>
      <c r="G350" s="30"/>
      <c r="H350" s="77"/>
      <c r="I350" s="77"/>
      <c r="J350" s="58"/>
      <c r="K350" s="3"/>
    </row>
    <row r="351" spans="1:11" s="71" customFormat="1">
      <c r="A351" s="50"/>
      <c r="B351" s="30"/>
      <c r="C351" s="70"/>
      <c r="G351" s="30"/>
      <c r="H351" s="77"/>
      <c r="I351" s="77"/>
      <c r="J351" s="58"/>
      <c r="K351" s="3"/>
    </row>
    <row r="352" spans="1:11" s="71" customFormat="1">
      <c r="A352" s="50"/>
      <c r="B352" s="30"/>
      <c r="C352" s="70"/>
      <c r="G352" s="30"/>
      <c r="H352" s="77"/>
      <c r="I352" s="77"/>
      <c r="J352" s="58"/>
      <c r="K352" s="3"/>
    </row>
    <row r="353" spans="1:11" s="71" customFormat="1">
      <c r="A353" s="50"/>
      <c r="B353" s="30"/>
      <c r="C353" s="70"/>
      <c r="G353" s="30"/>
      <c r="H353" s="77"/>
      <c r="I353" s="77"/>
      <c r="J353" s="58"/>
      <c r="K353" s="3"/>
    </row>
    <row r="354" spans="1:11" s="71" customFormat="1">
      <c r="A354" s="50"/>
      <c r="B354" s="30"/>
      <c r="C354" s="70"/>
      <c r="G354" s="30"/>
      <c r="H354" s="77"/>
      <c r="I354" s="77"/>
      <c r="J354" s="58"/>
      <c r="K354" s="3"/>
    </row>
    <row r="355" spans="1:11" s="71" customFormat="1">
      <c r="A355" s="50"/>
      <c r="B355" s="30"/>
      <c r="C355" s="70"/>
      <c r="G355" s="30"/>
      <c r="H355" s="77"/>
      <c r="I355" s="77"/>
      <c r="J355" s="58"/>
      <c r="K355" s="3"/>
    </row>
    <row r="356" spans="1:11" s="71" customFormat="1">
      <c r="A356" s="50"/>
      <c r="B356" s="30"/>
      <c r="C356" s="70"/>
      <c r="G356" s="30"/>
      <c r="H356" s="77"/>
      <c r="I356" s="77"/>
      <c r="J356" s="58"/>
      <c r="K356" s="3"/>
    </row>
    <row r="357" spans="1:11" s="71" customFormat="1">
      <c r="A357" s="50"/>
      <c r="B357" s="30"/>
      <c r="C357" s="70"/>
      <c r="G357" s="30"/>
      <c r="H357" s="77"/>
      <c r="I357" s="77"/>
      <c r="J357" s="58"/>
      <c r="K357" s="3"/>
    </row>
    <row r="358" spans="1:11" s="71" customFormat="1">
      <c r="A358" s="50"/>
      <c r="B358" s="30"/>
      <c r="C358" s="70"/>
      <c r="G358" s="30"/>
      <c r="H358" s="77"/>
      <c r="I358" s="77"/>
      <c r="J358" s="58"/>
      <c r="K358" s="3"/>
    </row>
    <row r="359" spans="1:11" s="71" customFormat="1">
      <c r="A359" s="50"/>
      <c r="B359" s="30"/>
      <c r="C359" s="70"/>
      <c r="G359" s="30"/>
      <c r="H359" s="77"/>
      <c r="I359" s="77"/>
      <c r="J359" s="58"/>
      <c r="K359" s="3"/>
    </row>
    <row r="360" spans="1:11" s="71" customFormat="1">
      <c r="A360" s="50"/>
      <c r="B360" s="30"/>
      <c r="C360" s="70"/>
      <c r="G360" s="30"/>
      <c r="H360" s="77"/>
      <c r="I360" s="77"/>
      <c r="J360" s="58"/>
      <c r="K360" s="3"/>
    </row>
    <row r="361" spans="1:11" s="71" customFormat="1">
      <c r="A361" s="50"/>
      <c r="B361" s="30"/>
      <c r="C361" s="70"/>
      <c r="G361" s="30"/>
      <c r="H361" s="77"/>
      <c r="I361" s="77"/>
      <c r="J361" s="58"/>
      <c r="K361" s="3"/>
    </row>
    <row r="362" spans="1:11" s="71" customFormat="1">
      <c r="A362" s="50"/>
      <c r="B362" s="30"/>
      <c r="C362" s="70"/>
      <c r="G362" s="30"/>
      <c r="H362" s="77"/>
      <c r="I362" s="77"/>
      <c r="J362" s="58"/>
      <c r="K362" s="3"/>
    </row>
    <row r="363" spans="1:11" s="71" customFormat="1">
      <c r="A363" s="50"/>
      <c r="B363" s="30"/>
      <c r="C363" s="70"/>
      <c r="G363" s="30"/>
      <c r="H363" s="77"/>
      <c r="I363" s="77"/>
      <c r="J363" s="58"/>
      <c r="K363" s="3"/>
    </row>
    <row r="364" spans="1:11" s="71" customFormat="1">
      <c r="A364" s="50"/>
      <c r="B364" s="30"/>
      <c r="C364" s="70"/>
      <c r="G364" s="30"/>
      <c r="H364" s="77"/>
      <c r="I364" s="77"/>
      <c r="J364" s="58"/>
      <c r="K364" s="3"/>
    </row>
    <row r="365" spans="1:11" s="71" customFormat="1">
      <c r="A365" s="50"/>
      <c r="B365" s="30"/>
      <c r="C365" s="70"/>
      <c r="G365" s="30"/>
      <c r="H365" s="77"/>
      <c r="I365" s="77"/>
      <c r="J365" s="58"/>
      <c r="K365" s="3"/>
    </row>
    <row r="366" spans="1:11" s="71" customFormat="1">
      <c r="A366" s="50"/>
      <c r="B366" s="30"/>
      <c r="C366" s="70"/>
      <c r="G366" s="30"/>
      <c r="H366" s="77"/>
      <c r="I366" s="77"/>
      <c r="J366" s="58"/>
      <c r="K366" s="3"/>
    </row>
    <row r="367" spans="1:11" s="71" customFormat="1">
      <c r="A367" s="50"/>
      <c r="B367" s="30"/>
      <c r="C367" s="70"/>
      <c r="G367" s="30"/>
      <c r="H367" s="77"/>
      <c r="I367" s="77"/>
      <c r="J367" s="58"/>
      <c r="K367" s="3"/>
    </row>
    <row r="368" spans="1:11" s="71" customFormat="1">
      <c r="A368" s="50"/>
      <c r="B368" s="30"/>
      <c r="C368" s="70"/>
      <c r="G368" s="30"/>
      <c r="H368" s="77"/>
      <c r="I368" s="77"/>
      <c r="J368" s="58"/>
      <c r="K368" s="3"/>
    </row>
    <row r="369" spans="1:11" s="71" customFormat="1">
      <c r="A369" s="50"/>
      <c r="B369" s="30"/>
      <c r="C369" s="70"/>
      <c r="G369" s="30"/>
      <c r="H369" s="77"/>
      <c r="I369" s="77"/>
      <c r="J369" s="58"/>
      <c r="K369" s="3"/>
    </row>
    <row r="370" spans="1:11" s="71" customFormat="1">
      <c r="A370" s="50"/>
      <c r="B370" s="30"/>
      <c r="C370" s="70"/>
      <c r="G370" s="30"/>
      <c r="H370" s="77"/>
      <c r="I370" s="77"/>
      <c r="J370" s="58"/>
      <c r="K370" s="3"/>
    </row>
    <row r="371" spans="1:11" s="71" customFormat="1">
      <c r="A371" s="50"/>
      <c r="B371" s="30"/>
      <c r="C371" s="70"/>
      <c r="G371" s="30"/>
      <c r="H371" s="77"/>
      <c r="I371" s="77"/>
      <c r="J371" s="58"/>
      <c r="K371" s="3"/>
    </row>
    <row r="372" spans="1:11" s="71" customFormat="1">
      <c r="A372" s="50"/>
      <c r="B372" s="30"/>
      <c r="C372" s="70"/>
      <c r="G372" s="30"/>
      <c r="H372" s="77"/>
      <c r="I372" s="77"/>
      <c r="J372" s="58"/>
      <c r="K372" s="3"/>
    </row>
    <row r="373" spans="1:11" s="71" customFormat="1">
      <c r="A373" s="50"/>
      <c r="B373" s="30"/>
      <c r="C373" s="70"/>
      <c r="G373" s="30"/>
      <c r="H373" s="77"/>
      <c r="I373" s="77"/>
      <c r="J373" s="58"/>
      <c r="K373" s="3"/>
    </row>
    <row r="374" spans="1:11" s="71" customFormat="1">
      <c r="A374" s="50"/>
      <c r="B374" s="30"/>
      <c r="C374" s="70"/>
      <c r="G374" s="30"/>
      <c r="H374" s="77"/>
      <c r="I374" s="77"/>
      <c r="J374" s="58"/>
      <c r="K374" s="3"/>
    </row>
    <row r="375" spans="1:11" s="71" customFormat="1">
      <c r="A375" s="50"/>
      <c r="B375" s="30"/>
      <c r="C375" s="70"/>
      <c r="G375" s="30"/>
      <c r="H375" s="77"/>
      <c r="I375" s="77"/>
      <c r="J375" s="58"/>
      <c r="K375" s="3"/>
    </row>
    <row r="376" spans="1:11" s="71" customFormat="1">
      <c r="A376" s="50"/>
      <c r="B376" s="30"/>
      <c r="C376" s="70"/>
      <c r="G376" s="30"/>
      <c r="H376" s="77"/>
      <c r="I376" s="77"/>
      <c r="J376" s="58"/>
      <c r="K376" s="3"/>
    </row>
    <row r="377" spans="1:11" s="71" customFormat="1">
      <c r="A377" s="50"/>
      <c r="B377" s="30"/>
      <c r="C377" s="70"/>
      <c r="G377" s="30"/>
      <c r="H377" s="77"/>
      <c r="I377" s="77"/>
      <c r="J377" s="58"/>
      <c r="K377" s="3"/>
    </row>
    <row r="378" spans="1:11" s="71" customFormat="1">
      <c r="A378" s="50"/>
      <c r="B378" s="30"/>
      <c r="C378" s="70"/>
      <c r="G378" s="30"/>
      <c r="H378" s="77"/>
      <c r="I378" s="77"/>
      <c r="J378" s="58"/>
      <c r="K378" s="3"/>
    </row>
    <row r="379" spans="1:11" s="71" customFormat="1">
      <c r="A379" s="50"/>
      <c r="B379" s="30"/>
      <c r="C379" s="70"/>
      <c r="G379" s="30"/>
      <c r="H379" s="77"/>
      <c r="I379" s="77"/>
      <c r="J379" s="58"/>
      <c r="K379" s="3"/>
    </row>
    <row r="380" spans="1:11" s="71" customFormat="1">
      <c r="A380" s="50"/>
      <c r="B380" s="30"/>
      <c r="C380" s="70"/>
      <c r="G380" s="30"/>
      <c r="H380" s="77"/>
      <c r="I380" s="77"/>
      <c r="J380" s="58"/>
      <c r="K380" s="3"/>
    </row>
    <row r="381" spans="1:11" s="71" customFormat="1">
      <c r="A381" s="50"/>
      <c r="B381" s="30"/>
      <c r="C381" s="70"/>
      <c r="G381" s="30"/>
      <c r="H381" s="77"/>
      <c r="I381" s="77"/>
      <c r="J381" s="58"/>
      <c r="K381" s="3"/>
    </row>
    <row r="382" spans="1:11" s="71" customFormat="1">
      <c r="A382" s="50"/>
      <c r="B382" s="30"/>
      <c r="C382" s="70"/>
      <c r="G382" s="30"/>
      <c r="H382" s="77"/>
      <c r="I382" s="77"/>
      <c r="J382" s="58"/>
      <c r="K382" s="3"/>
    </row>
    <row r="383" spans="1:11" s="71" customFormat="1">
      <c r="A383" s="50"/>
      <c r="B383" s="30"/>
      <c r="C383" s="70"/>
      <c r="G383" s="30"/>
      <c r="H383" s="77"/>
      <c r="I383" s="77"/>
      <c r="J383" s="58"/>
      <c r="K383" s="3"/>
    </row>
    <row r="384" spans="1:11" s="71" customFormat="1">
      <c r="A384" s="50"/>
      <c r="B384" s="30"/>
      <c r="C384" s="70"/>
      <c r="G384" s="30"/>
      <c r="H384" s="77"/>
      <c r="I384" s="77"/>
      <c r="J384" s="58"/>
      <c r="K384" s="3"/>
    </row>
    <row r="385" spans="1:11" s="71" customFormat="1">
      <c r="A385" s="50"/>
      <c r="B385" s="30"/>
      <c r="C385" s="70"/>
      <c r="G385" s="30"/>
      <c r="H385" s="77"/>
      <c r="I385" s="77"/>
      <c r="J385" s="58"/>
      <c r="K385" s="3"/>
    </row>
    <row r="386" spans="1:11" s="71" customFormat="1">
      <c r="A386" s="50"/>
      <c r="B386" s="30"/>
      <c r="C386" s="70"/>
      <c r="G386" s="30"/>
      <c r="H386" s="77"/>
      <c r="I386" s="77"/>
      <c r="J386" s="58"/>
      <c r="K386" s="3"/>
    </row>
    <row r="387" spans="1:11" s="71" customFormat="1">
      <c r="A387" s="50"/>
      <c r="B387" s="30"/>
      <c r="C387" s="70"/>
      <c r="G387" s="30"/>
      <c r="H387" s="77"/>
      <c r="I387" s="77"/>
      <c r="J387" s="58"/>
      <c r="K387" s="3"/>
    </row>
    <row r="388" spans="1:11" s="71" customFormat="1">
      <c r="A388" s="50"/>
      <c r="B388" s="30"/>
      <c r="C388" s="70"/>
      <c r="G388" s="30"/>
      <c r="H388" s="77"/>
      <c r="I388" s="77"/>
      <c r="J388" s="58"/>
      <c r="K388" s="3"/>
    </row>
    <row r="389" spans="1:11" s="71" customFormat="1">
      <c r="A389" s="50"/>
      <c r="B389" s="30"/>
      <c r="C389" s="70"/>
      <c r="G389" s="30"/>
      <c r="H389" s="77"/>
      <c r="I389" s="77"/>
      <c r="J389" s="58"/>
      <c r="K389" s="3"/>
    </row>
    <row r="390" spans="1:11" s="71" customFormat="1">
      <c r="A390" s="50"/>
      <c r="B390" s="30"/>
      <c r="C390" s="70"/>
      <c r="G390" s="30"/>
      <c r="H390" s="77"/>
      <c r="I390" s="77"/>
      <c r="J390" s="58"/>
      <c r="K390" s="3"/>
    </row>
    <row r="391" spans="1:11" s="71" customFormat="1">
      <c r="A391" s="50"/>
      <c r="B391" s="30"/>
      <c r="C391" s="70"/>
      <c r="G391" s="30"/>
      <c r="H391" s="77"/>
      <c r="I391" s="77"/>
      <c r="J391" s="58"/>
      <c r="K391" s="3"/>
    </row>
    <row r="392" spans="1:11" s="71" customFormat="1">
      <c r="A392" s="50"/>
      <c r="B392" s="30"/>
      <c r="C392" s="70"/>
      <c r="G392" s="30"/>
      <c r="H392" s="77"/>
      <c r="I392" s="77"/>
      <c r="J392" s="58"/>
      <c r="K392" s="3"/>
    </row>
    <row r="393" spans="1:11" s="71" customFormat="1">
      <c r="A393" s="50"/>
      <c r="B393" s="30"/>
      <c r="C393" s="70"/>
      <c r="G393" s="30"/>
      <c r="H393" s="77"/>
      <c r="I393" s="77"/>
      <c r="J393" s="58"/>
      <c r="K393" s="3"/>
    </row>
    <row r="394" spans="1:11" s="71" customFormat="1">
      <c r="A394" s="50"/>
      <c r="B394" s="30"/>
      <c r="C394" s="70"/>
      <c r="G394" s="30"/>
      <c r="H394" s="77"/>
      <c r="I394" s="77"/>
      <c r="J394" s="58"/>
      <c r="K394" s="3"/>
    </row>
    <row r="395" spans="1:11" s="71" customFormat="1">
      <c r="A395" s="50"/>
      <c r="B395" s="30"/>
      <c r="C395" s="70"/>
      <c r="G395" s="30"/>
      <c r="H395" s="77"/>
      <c r="I395" s="77"/>
      <c r="J395" s="58"/>
      <c r="K395" s="3"/>
    </row>
    <row r="396" spans="1:11" s="71" customFormat="1">
      <c r="A396" s="50"/>
      <c r="B396" s="30"/>
      <c r="C396" s="70"/>
      <c r="G396" s="30"/>
      <c r="H396" s="77"/>
      <c r="I396" s="77"/>
      <c r="J396" s="58"/>
      <c r="K396" s="3"/>
    </row>
    <row r="397" spans="1:11" s="71" customFormat="1">
      <c r="A397" s="50"/>
      <c r="B397" s="30"/>
      <c r="C397" s="70"/>
      <c r="G397" s="30"/>
      <c r="H397" s="77"/>
      <c r="I397" s="77"/>
      <c r="J397" s="58"/>
      <c r="K397" s="3"/>
    </row>
    <row r="398" spans="1:11" s="71" customFormat="1">
      <c r="A398" s="50"/>
      <c r="B398" s="30"/>
      <c r="C398" s="70"/>
      <c r="G398" s="30"/>
      <c r="H398" s="77"/>
      <c r="I398" s="77"/>
      <c r="J398" s="58"/>
      <c r="K398" s="3"/>
    </row>
    <row r="399" spans="1:11" s="71" customFormat="1">
      <c r="A399" s="50"/>
      <c r="B399" s="30"/>
      <c r="C399" s="70"/>
      <c r="G399" s="30"/>
      <c r="H399" s="77"/>
      <c r="I399" s="77"/>
      <c r="J399" s="58"/>
      <c r="K399" s="3"/>
    </row>
    <row r="400" spans="1:11" s="71" customFormat="1">
      <c r="A400" s="50"/>
      <c r="B400" s="30"/>
      <c r="C400" s="70"/>
      <c r="G400" s="30"/>
      <c r="H400" s="77"/>
      <c r="I400" s="77"/>
      <c r="J400" s="58"/>
      <c r="K400" s="3"/>
    </row>
    <row r="401" spans="1:11" s="71" customFormat="1">
      <c r="A401" s="50"/>
      <c r="B401" s="30"/>
      <c r="C401" s="70"/>
      <c r="G401" s="30"/>
      <c r="H401" s="77"/>
      <c r="I401" s="77"/>
      <c r="J401" s="58"/>
      <c r="K401" s="3"/>
    </row>
    <row r="402" spans="1:11" s="71" customFormat="1">
      <c r="A402" s="50"/>
      <c r="B402" s="30"/>
      <c r="C402" s="70"/>
      <c r="G402" s="30"/>
      <c r="H402" s="77"/>
      <c r="I402" s="77"/>
      <c r="J402" s="58"/>
      <c r="K402" s="3"/>
    </row>
    <row r="403" spans="1:11" s="71" customFormat="1">
      <c r="A403" s="50"/>
      <c r="B403" s="30"/>
      <c r="C403" s="70"/>
      <c r="G403" s="30"/>
      <c r="H403" s="77"/>
      <c r="I403" s="77"/>
      <c r="J403" s="58"/>
      <c r="K403" s="3"/>
    </row>
    <row r="404" spans="1:11" s="71" customFormat="1">
      <c r="A404" s="50"/>
      <c r="B404" s="30"/>
      <c r="C404" s="70"/>
      <c r="G404" s="30"/>
      <c r="H404" s="77"/>
      <c r="I404" s="77"/>
      <c r="J404" s="58"/>
      <c r="K404" s="3"/>
    </row>
    <row r="405" spans="1:11" s="71" customFormat="1">
      <c r="A405" s="50"/>
      <c r="B405" s="30"/>
      <c r="C405" s="70"/>
      <c r="G405" s="30"/>
      <c r="H405" s="77"/>
      <c r="I405" s="77"/>
      <c r="J405" s="58"/>
      <c r="K405" s="3"/>
    </row>
    <row r="406" spans="1:11" s="71" customFormat="1">
      <c r="A406" s="50"/>
      <c r="B406" s="30"/>
      <c r="C406" s="70"/>
      <c r="G406" s="30"/>
      <c r="H406" s="77"/>
      <c r="I406" s="77"/>
      <c r="J406" s="58"/>
      <c r="K406" s="3"/>
    </row>
    <row r="407" spans="1:11" s="71" customFormat="1">
      <c r="A407" s="50"/>
      <c r="B407" s="30"/>
      <c r="C407" s="70"/>
      <c r="G407" s="30"/>
      <c r="H407" s="77"/>
      <c r="I407" s="77"/>
      <c r="J407" s="58"/>
      <c r="K407" s="3"/>
    </row>
    <row r="408" spans="1:11" s="71" customFormat="1">
      <c r="A408" s="50"/>
      <c r="B408" s="30"/>
      <c r="C408" s="70"/>
      <c r="G408" s="30"/>
      <c r="H408" s="77"/>
      <c r="I408" s="77"/>
      <c r="J408" s="58"/>
      <c r="K408" s="3"/>
    </row>
    <row r="409" spans="1:11" s="71" customFormat="1">
      <c r="A409" s="50"/>
      <c r="B409" s="30"/>
      <c r="C409" s="70"/>
      <c r="G409" s="30"/>
      <c r="H409" s="77"/>
      <c r="I409" s="77"/>
      <c r="J409" s="58"/>
      <c r="K409" s="3"/>
    </row>
    <row r="410" spans="1:11" s="71" customFormat="1">
      <c r="A410" s="50"/>
      <c r="B410" s="30"/>
      <c r="C410" s="70"/>
      <c r="G410" s="30"/>
      <c r="H410" s="77"/>
      <c r="I410" s="77"/>
      <c r="J410" s="58"/>
      <c r="K410" s="3"/>
    </row>
    <row r="411" spans="1:11" s="71" customFormat="1">
      <c r="A411" s="50"/>
      <c r="B411" s="30"/>
      <c r="C411" s="70"/>
      <c r="G411" s="30"/>
      <c r="H411" s="77"/>
      <c r="I411" s="77"/>
      <c r="J411" s="58"/>
      <c r="K411" s="3"/>
    </row>
    <row r="412" spans="1:11" s="71" customFormat="1">
      <c r="A412" s="50"/>
      <c r="B412" s="30"/>
      <c r="C412" s="70"/>
      <c r="G412" s="30"/>
      <c r="H412" s="77"/>
      <c r="I412" s="77"/>
      <c r="J412" s="58"/>
      <c r="K412" s="3"/>
    </row>
    <row r="413" spans="1:11" s="71" customFormat="1">
      <c r="A413" s="50"/>
      <c r="B413" s="30"/>
      <c r="C413" s="70"/>
      <c r="G413" s="30"/>
      <c r="H413" s="77"/>
      <c r="I413" s="77"/>
      <c r="J413" s="58"/>
      <c r="K413" s="3"/>
    </row>
    <row r="414" spans="1:11" s="71" customFormat="1">
      <c r="A414" s="50"/>
      <c r="B414" s="30"/>
      <c r="C414" s="70"/>
      <c r="G414" s="30"/>
      <c r="H414" s="77"/>
      <c r="I414" s="77"/>
      <c r="J414" s="58"/>
      <c r="K414" s="3"/>
    </row>
    <row r="415" spans="1:11" s="71" customFormat="1">
      <c r="A415" s="50"/>
      <c r="B415" s="30"/>
      <c r="C415" s="70"/>
      <c r="G415" s="30"/>
      <c r="H415" s="77"/>
      <c r="I415" s="77"/>
      <c r="J415" s="58"/>
      <c r="K415" s="3"/>
    </row>
    <row r="416" spans="1:11" s="71" customFormat="1">
      <c r="A416" s="50"/>
      <c r="B416" s="30"/>
      <c r="C416" s="70"/>
      <c r="G416" s="30"/>
      <c r="H416" s="77"/>
      <c r="I416" s="77"/>
      <c r="J416" s="58"/>
      <c r="K416" s="3"/>
    </row>
    <row r="417" spans="1:11" s="71" customFormat="1">
      <c r="A417" s="50"/>
      <c r="B417" s="30"/>
      <c r="C417" s="70"/>
      <c r="G417" s="30"/>
      <c r="H417" s="77"/>
      <c r="I417" s="77"/>
      <c r="J417" s="58"/>
      <c r="K417" s="3"/>
    </row>
    <row r="418" spans="1:11" s="71" customFormat="1">
      <c r="A418" s="50"/>
      <c r="B418" s="30"/>
      <c r="C418" s="70"/>
      <c r="G418" s="30"/>
      <c r="H418" s="77"/>
      <c r="I418" s="77"/>
      <c r="J418" s="58"/>
      <c r="K418" s="3"/>
    </row>
    <row r="419" spans="1:11" s="71" customFormat="1">
      <c r="A419" s="50"/>
      <c r="B419" s="30"/>
      <c r="C419" s="70"/>
      <c r="G419" s="30"/>
      <c r="H419" s="77"/>
      <c r="I419" s="77"/>
      <c r="J419" s="58"/>
      <c r="K419" s="3"/>
    </row>
    <row r="420" spans="1:11" s="71" customFormat="1">
      <c r="A420" s="50"/>
      <c r="B420" s="30"/>
      <c r="C420" s="70"/>
      <c r="G420" s="30"/>
      <c r="H420" s="77"/>
      <c r="I420" s="77"/>
      <c r="J420" s="58"/>
      <c r="K420" s="3"/>
    </row>
    <row r="421" spans="1:11" s="71" customFormat="1">
      <c r="A421" s="50"/>
      <c r="B421" s="30"/>
      <c r="C421" s="70"/>
      <c r="G421" s="30"/>
      <c r="H421" s="77"/>
      <c r="I421" s="77"/>
      <c r="J421" s="58"/>
      <c r="K421" s="3"/>
    </row>
    <row r="422" spans="1:11" s="71" customFormat="1">
      <c r="A422" s="50"/>
      <c r="B422" s="30"/>
      <c r="C422" s="70"/>
      <c r="G422" s="30"/>
      <c r="H422" s="77"/>
      <c r="I422" s="77"/>
      <c r="J422" s="58"/>
      <c r="K422" s="3"/>
    </row>
    <row r="423" spans="1:11" s="71" customFormat="1">
      <c r="A423" s="50"/>
      <c r="B423" s="30"/>
      <c r="C423" s="70"/>
      <c r="G423" s="30"/>
      <c r="H423" s="77"/>
      <c r="I423" s="77"/>
      <c r="J423" s="58"/>
      <c r="K423" s="3"/>
    </row>
    <row r="424" spans="1:11" s="71" customFormat="1">
      <c r="A424" s="50"/>
      <c r="B424" s="30"/>
      <c r="C424" s="70"/>
      <c r="G424" s="30"/>
      <c r="H424" s="77"/>
      <c r="I424" s="77"/>
      <c r="J424" s="58"/>
      <c r="K424" s="3"/>
    </row>
    <row r="425" spans="1:11" s="71" customFormat="1">
      <c r="A425" s="50"/>
      <c r="B425" s="30"/>
      <c r="C425" s="70"/>
      <c r="G425" s="30"/>
      <c r="H425" s="77"/>
      <c r="I425" s="77"/>
      <c r="J425" s="58"/>
      <c r="K425" s="3"/>
    </row>
    <row r="426" spans="1:11" s="71" customFormat="1">
      <c r="A426" s="50"/>
      <c r="B426" s="30"/>
      <c r="C426" s="70"/>
      <c r="G426" s="30"/>
      <c r="H426" s="77"/>
      <c r="I426" s="77"/>
      <c r="J426" s="58"/>
      <c r="K426" s="3"/>
    </row>
    <row r="427" spans="1:11" s="71" customFormat="1">
      <c r="A427" s="50"/>
      <c r="B427" s="30"/>
      <c r="C427" s="70"/>
      <c r="G427" s="30"/>
      <c r="H427" s="77"/>
      <c r="I427" s="77"/>
      <c r="J427" s="58"/>
      <c r="K427" s="3"/>
    </row>
    <row r="428" spans="1:11" s="71" customFormat="1">
      <c r="A428" s="50"/>
      <c r="B428" s="30"/>
      <c r="C428" s="70"/>
      <c r="G428" s="30"/>
      <c r="H428" s="77"/>
      <c r="I428" s="77"/>
      <c r="J428" s="58"/>
      <c r="K428" s="3"/>
    </row>
    <row r="429" spans="1:11" s="71" customFormat="1">
      <c r="A429" s="50"/>
      <c r="B429" s="30"/>
      <c r="C429" s="70"/>
      <c r="G429" s="30"/>
      <c r="H429" s="77"/>
      <c r="I429" s="77"/>
      <c r="J429" s="58"/>
      <c r="K429" s="3"/>
    </row>
    <row r="430" spans="1:11" s="71" customFormat="1">
      <c r="A430" s="50"/>
      <c r="B430" s="30"/>
      <c r="C430" s="70"/>
      <c r="G430" s="30"/>
      <c r="H430" s="77"/>
      <c r="I430" s="77"/>
      <c r="J430" s="58"/>
      <c r="K430" s="3"/>
    </row>
    <row r="431" spans="1:11" s="71" customFormat="1">
      <c r="A431" s="50"/>
      <c r="B431" s="30"/>
      <c r="C431" s="70"/>
      <c r="G431" s="30"/>
      <c r="H431" s="77"/>
      <c r="I431" s="77"/>
      <c r="J431" s="58"/>
      <c r="K431" s="3"/>
    </row>
    <row r="432" spans="1:11" s="71" customFormat="1">
      <c r="A432" s="50"/>
      <c r="B432" s="30"/>
      <c r="C432" s="70"/>
      <c r="G432" s="30"/>
      <c r="H432" s="77"/>
      <c r="I432" s="77"/>
      <c r="J432" s="58"/>
      <c r="K432" s="3"/>
    </row>
    <row r="433" spans="1:11" s="71" customFormat="1">
      <c r="A433" s="50"/>
      <c r="B433" s="30"/>
      <c r="C433" s="70"/>
      <c r="G433" s="30"/>
      <c r="H433" s="77"/>
      <c r="I433" s="77"/>
      <c r="J433" s="58"/>
      <c r="K433" s="3"/>
    </row>
    <row r="434" spans="1:11" s="71" customFormat="1">
      <c r="A434" s="50"/>
      <c r="B434" s="30"/>
      <c r="C434" s="70"/>
      <c r="G434" s="30"/>
      <c r="H434" s="77"/>
      <c r="I434" s="77"/>
      <c r="J434" s="58"/>
      <c r="K434" s="3"/>
    </row>
    <row r="435" spans="1:11" s="71" customFormat="1">
      <c r="A435" s="50"/>
      <c r="B435" s="30"/>
      <c r="C435" s="70"/>
      <c r="G435" s="30"/>
      <c r="H435" s="77"/>
      <c r="I435" s="77"/>
      <c r="J435" s="58"/>
      <c r="K435" s="3"/>
    </row>
    <row r="436" spans="1:11" s="71" customFormat="1">
      <c r="A436" s="50"/>
      <c r="B436" s="30"/>
      <c r="C436" s="70"/>
      <c r="G436" s="30"/>
      <c r="H436" s="77"/>
      <c r="I436" s="77"/>
      <c r="J436" s="58"/>
      <c r="K436" s="3"/>
    </row>
    <row r="437" spans="1:11" s="71" customFormat="1">
      <c r="A437" s="50"/>
      <c r="B437" s="30"/>
      <c r="C437" s="70"/>
      <c r="G437" s="30"/>
      <c r="H437" s="77"/>
      <c r="I437" s="77"/>
      <c r="J437" s="58"/>
      <c r="K437" s="3"/>
    </row>
    <row r="438" spans="1:11" s="71" customFormat="1">
      <c r="A438" s="50"/>
      <c r="B438" s="30"/>
      <c r="C438" s="70"/>
      <c r="G438" s="30"/>
      <c r="H438" s="77"/>
      <c r="I438" s="77"/>
      <c r="J438" s="58"/>
      <c r="K438" s="3"/>
    </row>
    <row r="439" spans="1:11" s="71" customFormat="1">
      <c r="A439" s="50"/>
      <c r="B439" s="30"/>
      <c r="C439" s="70"/>
      <c r="G439" s="30"/>
      <c r="H439" s="77"/>
      <c r="I439" s="77"/>
      <c r="J439" s="58"/>
      <c r="K439" s="3"/>
    </row>
    <row r="440" spans="1:11" s="71" customFormat="1">
      <c r="A440" s="50"/>
      <c r="B440" s="30"/>
      <c r="C440" s="70"/>
      <c r="G440" s="30"/>
      <c r="H440" s="77"/>
      <c r="I440" s="77"/>
      <c r="J440" s="58"/>
      <c r="K440" s="3"/>
    </row>
    <row r="441" spans="1:11" s="71" customFormat="1">
      <c r="A441" s="50"/>
      <c r="B441" s="30"/>
      <c r="C441" s="70"/>
      <c r="G441" s="30"/>
      <c r="H441" s="77"/>
      <c r="I441" s="77"/>
      <c r="J441" s="58"/>
      <c r="K441" s="3"/>
    </row>
    <row r="442" spans="1:11" s="71" customFormat="1">
      <c r="A442" s="50"/>
      <c r="B442" s="30"/>
      <c r="C442" s="70"/>
      <c r="G442" s="30"/>
      <c r="H442" s="77"/>
      <c r="I442" s="77"/>
      <c r="J442" s="58"/>
      <c r="K442" s="3"/>
    </row>
    <row r="443" spans="1:11" s="71" customFormat="1">
      <c r="A443" s="50"/>
      <c r="B443" s="30"/>
      <c r="C443" s="70"/>
      <c r="G443" s="30"/>
      <c r="H443" s="77"/>
      <c r="I443" s="77"/>
      <c r="J443" s="58"/>
      <c r="K443" s="3"/>
    </row>
    <row r="444" spans="1:11" s="71" customFormat="1">
      <c r="A444" s="50"/>
      <c r="B444" s="30"/>
      <c r="C444" s="70"/>
      <c r="G444" s="30"/>
      <c r="H444" s="77"/>
      <c r="I444" s="77"/>
      <c r="J444" s="58"/>
      <c r="K444" s="3"/>
    </row>
    <row r="445" spans="1:11" s="71" customFormat="1">
      <c r="A445" s="50"/>
      <c r="B445" s="30"/>
      <c r="C445" s="70"/>
      <c r="G445" s="30"/>
      <c r="H445" s="77"/>
      <c r="I445" s="77"/>
      <c r="J445" s="58"/>
      <c r="K445" s="3"/>
    </row>
    <row r="446" spans="1:11" s="71" customFormat="1">
      <c r="A446" s="50"/>
      <c r="B446" s="30"/>
      <c r="C446" s="70"/>
      <c r="G446" s="30"/>
      <c r="H446" s="77"/>
      <c r="I446" s="77"/>
      <c r="J446" s="58"/>
      <c r="K446" s="3"/>
    </row>
    <row r="447" spans="1:11" s="71" customFormat="1">
      <c r="A447" s="50"/>
      <c r="B447" s="30"/>
      <c r="C447" s="70"/>
      <c r="G447" s="30"/>
      <c r="H447" s="77"/>
      <c r="I447" s="77"/>
      <c r="J447" s="58"/>
      <c r="K447" s="3"/>
    </row>
    <row r="448" spans="1:11" s="71" customFormat="1">
      <c r="A448" s="50"/>
      <c r="B448" s="30"/>
      <c r="C448" s="70"/>
      <c r="G448" s="30"/>
      <c r="H448" s="77"/>
      <c r="I448" s="77"/>
      <c r="J448" s="58"/>
      <c r="K448" s="3"/>
    </row>
    <row r="449" spans="1:11" s="71" customFormat="1">
      <c r="A449" s="50"/>
      <c r="B449" s="30"/>
      <c r="C449" s="70"/>
      <c r="G449" s="30"/>
      <c r="H449" s="77"/>
      <c r="I449" s="77"/>
      <c r="J449" s="58"/>
      <c r="K449" s="3"/>
    </row>
    <row r="450" spans="1:11" s="71" customFormat="1">
      <c r="A450" s="50"/>
      <c r="B450" s="30"/>
      <c r="C450" s="70"/>
      <c r="G450" s="30"/>
      <c r="H450" s="77"/>
      <c r="I450" s="77"/>
      <c r="J450" s="58"/>
      <c r="K450" s="3"/>
    </row>
    <row r="451" spans="1:11" s="71" customFormat="1">
      <c r="A451" s="50"/>
      <c r="B451" s="30"/>
      <c r="C451" s="70"/>
      <c r="G451" s="30"/>
      <c r="H451" s="77"/>
      <c r="I451" s="77"/>
      <c r="J451" s="58"/>
      <c r="K451" s="3"/>
    </row>
    <row r="452" spans="1:11" s="71" customFormat="1">
      <c r="A452" s="50"/>
      <c r="B452" s="30"/>
      <c r="C452" s="70"/>
      <c r="G452" s="30"/>
      <c r="H452" s="77"/>
      <c r="I452" s="77"/>
      <c r="J452" s="58"/>
      <c r="K452" s="3"/>
    </row>
    <row r="453" spans="1:11" s="71" customFormat="1">
      <c r="A453" s="50"/>
      <c r="B453" s="30"/>
      <c r="C453" s="70"/>
      <c r="G453" s="30"/>
      <c r="H453" s="77"/>
      <c r="I453" s="77"/>
      <c r="J453" s="58"/>
      <c r="K453" s="3"/>
    </row>
    <row r="454" spans="1:11" s="71" customFormat="1">
      <c r="A454" s="50"/>
      <c r="B454" s="30"/>
      <c r="C454" s="70"/>
      <c r="G454" s="30"/>
      <c r="H454" s="77"/>
      <c r="I454" s="77"/>
      <c r="J454" s="58"/>
      <c r="K454" s="3"/>
    </row>
    <row r="455" spans="1:11" s="71" customFormat="1">
      <c r="A455" s="50"/>
      <c r="B455" s="30"/>
      <c r="C455" s="70"/>
      <c r="G455" s="30"/>
      <c r="H455" s="77"/>
      <c r="I455" s="77"/>
      <c r="J455" s="58"/>
      <c r="K455" s="3"/>
    </row>
    <row r="456" spans="1:11" s="71" customFormat="1">
      <c r="A456" s="50"/>
      <c r="B456" s="30"/>
      <c r="C456" s="70"/>
      <c r="G456" s="30"/>
      <c r="H456" s="77"/>
      <c r="I456" s="77"/>
      <c r="J456" s="58"/>
      <c r="K456" s="3"/>
    </row>
    <row r="457" spans="1:11" s="71" customFormat="1">
      <c r="A457" s="50"/>
      <c r="B457" s="30"/>
      <c r="C457" s="70"/>
      <c r="G457" s="30"/>
      <c r="H457" s="77"/>
      <c r="I457" s="77"/>
      <c r="J457" s="58"/>
      <c r="K457" s="3"/>
    </row>
    <row r="458" spans="1:11" s="71" customFormat="1">
      <c r="A458" s="50"/>
      <c r="B458" s="30"/>
      <c r="C458" s="70"/>
      <c r="G458" s="30"/>
      <c r="H458" s="77"/>
      <c r="I458" s="77"/>
      <c r="J458" s="58"/>
      <c r="K458" s="3"/>
    </row>
    <row r="459" spans="1:11" s="71" customFormat="1">
      <c r="A459" s="50"/>
      <c r="B459" s="30"/>
      <c r="C459" s="70"/>
      <c r="G459" s="30"/>
      <c r="H459" s="77"/>
      <c r="I459" s="77"/>
      <c r="J459" s="58"/>
      <c r="K459" s="3"/>
    </row>
    <row r="460" spans="1:11" s="71" customFormat="1">
      <c r="A460" s="50"/>
      <c r="B460" s="30"/>
      <c r="C460" s="70"/>
      <c r="G460" s="30"/>
      <c r="H460" s="77"/>
      <c r="I460" s="77"/>
      <c r="J460" s="58"/>
      <c r="K460" s="3"/>
    </row>
    <row r="461" spans="1:11" s="71" customFormat="1">
      <c r="A461" s="50"/>
      <c r="B461" s="30"/>
      <c r="C461" s="70"/>
      <c r="G461" s="30"/>
      <c r="H461" s="77"/>
      <c r="I461" s="77"/>
      <c r="J461" s="58"/>
      <c r="K461" s="3"/>
    </row>
    <row r="462" spans="1:11" s="71" customFormat="1">
      <c r="A462" s="50"/>
      <c r="B462" s="30"/>
      <c r="C462" s="70"/>
      <c r="G462" s="30"/>
      <c r="H462" s="77"/>
      <c r="I462" s="77"/>
      <c r="J462" s="58"/>
      <c r="K462" s="3"/>
    </row>
    <row r="463" spans="1:11" s="71" customFormat="1">
      <c r="A463" s="50"/>
      <c r="B463" s="30"/>
      <c r="C463" s="70"/>
      <c r="G463" s="30"/>
      <c r="H463" s="77"/>
      <c r="I463" s="77"/>
      <c r="J463" s="58"/>
      <c r="K463" s="3"/>
    </row>
    <row r="464" spans="1:11" s="71" customFormat="1">
      <c r="A464" s="50"/>
      <c r="B464" s="30"/>
      <c r="C464" s="70"/>
      <c r="G464" s="30"/>
      <c r="H464" s="77"/>
      <c r="I464" s="77"/>
      <c r="J464" s="58"/>
      <c r="K464" s="3"/>
    </row>
    <row r="465" spans="1:11" s="71" customFormat="1">
      <c r="A465" s="50"/>
      <c r="B465" s="30"/>
      <c r="C465" s="70"/>
      <c r="G465" s="30"/>
      <c r="H465" s="77"/>
      <c r="I465" s="77"/>
      <c r="J465" s="58"/>
      <c r="K465" s="3"/>
    </row>
    <row r="466" spans="1:11" s="71" customFormat="1">
      <c r="A466" s="50"/>
      <c r="B466" s="30"/>
      <c r="C466" s="70"/>
      <c r="G466" s="30"/>
      <c r="H466" s="77"/>
      <c r="I466" s="77"/>
      <c r="J466" s="58"/>
      <c r="K466" s="3"/>
    </row>
    <row r="467" spans="1:11" s="71" customFormat="1">
      <c r="A467" s="50"/>
      <c r="B467" s="30"/>
      <c r="C467" s="70"/>
      <c r="G467" s="30"/>
      <c r="H467" s="77"/>
      <c r="I467" s="77"/>
      <c r="J467" s="58"/>
      <c r="K467" s="3"/>
    </row>
    <row r="468" spans="1:11" s="71" customFormat="1">
      <c r="A468" s="50"/>
      <c r="B468" s="30"/>
      <c r="C468" s="70"/>
      <c r="G468" s="30"/>
      <c r="H468" s="77"/>
      <c r="I468" s="77"/>
      <c r="J468" s="58"/>
      <c r="K468" s="3"/>
    </row>
    <row r="469" spans="1:11" s="71" customFormat="1">
      <c r="A469" s="50"/>
      <c r="B469" s="30"/>
      <c r="C469" s="70"/>
      <c r="G469" s="30"/>
      <c r="H469" s="77"/>
      <c r="I469" s="77"/>
      <c r="J469" s="58"/>
      <c r="K469" s="3"/>
    </row>
    <row r="470" spans="1:11" s="71" customFormat="1">
      <c r="A470" s="50"/>
      <c r="B470" s="30"/>
      <c r="C470" s="70"/>
      <c r="G470" s="30"/>
      <c r="H470" s="77"/>
      <c r="I470" s="77"/>
      <c r="J470" s="58"/>
      <c r="K470" s="3"/>
    </row>
    <row r="471" spans="1:11" s="71" customFormat="1">
      <c r="A471" s="50"/>
      <c r="B471" s="30"/>
      <c r="C471" s="70"/>
      <c r="G471" s="30"/>
      <c r="H471" s="77"/>
      <c r="I471" s="77"/>
      <c r="J471" s="58"/>
      <c r="K471" s="3"/>
    </row>
    <row r="472" spans="1:11" s="71" customFormat="1">
      <c r="A472" s="50"/>
      <c r="B472" s="30"/>
      <c r="C472" s="70"/>
      <c r="G472" s="30"/>
      <c r="H472" s="77"/>
      <c r="I472" s="77"/>
      <c r="J472" s="58"/>
      <c r="K472" s="3"/>
    </row>
    <row r="473" spans="1:11" s="71" customFormat="1">
      <c r="A473" s="50"/>
      <c r="B473" s="30"/>
      <c r="C473" s="70"/>
      <c r="G473" s="30"/>
      <c r="H473" s="77"/>
      <c r="I473" s="77"/>
      <c r="J473" s="58"/>
      <c r="K473" s="3"/>
    </row>
    <row r="474" spans="1:11" s="71" customFormat="1">
      <c r="A474" s="50"/>
      <c r="B474" s="30"/>
      <c r="C474" s="70"/>
      <c r="G474" s="30"/>
      <c r="H474" s="77"/>
      <c r="I474" s="77"/>
      <c r="J474" s="58"/>
      <c r="K474" s="3"/>
    </row>
    <row r="475" spans="1:11" s="71" customFormat="1">
      <c r="A475" s="50"/>
      <c r="B475" s="30"/>
      <c r="C475" s="70"/>
      <c r="G475" s="30"/>
      <c r="H475" s="77"/>
      <c r="I475" s="77"/>
      <c r="J475" s="58"/>
      <c r="K475" s="3"/>
    </row>
    <row r="476" spans="1:11" s="71" customFormat="1">
      <c r="A476" s="50"/>
      <c r="B476" s="30"/>
      <c r="C476" s="70"/>
      <c r="G476" s="30"/>
      <c r="H476" s="77"/>
      <c r="I476" s="77"/>
      <c r="J476" s="58"/>
      <c r="K476" s="3"/>
    </row>
    <row r="477" spans="1:11" s="71" customFormat="1">
      <c r="A477" s="50"/>
      <c r="B477" s="30"/>
      <c r="C477" s="70"/>
      <c r="G477" s="30"/>
      <c r="H477" s="77"/>
      <c r="I477" s="77"/>
      <c r="J477" s="58"/>
      <c r="K477" s="3"/>
    </row>
    <row r="478" spans="1:11" s="71" customFormat="1">
      <c r="A478" s="50"/>
      <c r="B478" s="30"/>
      <c r="C478" s="70"/>
      <c r="G478" s="30"/>
      <c r="H478" s="77"/>
      <c r="I478" s="77"/>
      <c r="J478" s="58"/>
      <c r="K478" s="3"/>
    </row>
    <row r="479" spans="1:11" s="71" customFormat="1">
      <c r="A479" s="50"/>
      <c r="B479" s="30"/>
      <c r="C479" s="70"/>
      <c r="G479" s="30"/>
      <c r="H479" s="77"/>
      <c r="I479" s="77"/>
      <c r="J479" s="58"/>
      <c r="K479" s="3"/>
    </row>
    <row r="480" spans="1:11" s="71" customFormat="1">
      <c r="A480" s="50"/>
      <c r="B480" s="30"/>
      <c r="C480" s="70"/>
      <c r="G480" s="30"/>
      <c r="H480" s="77"/>
      <c r="I480" s="77"/>
      <c r="J480" s="58"/>
      <c r="K480" s="3"/>
    </row>
    <row r="481" spans="1:11" s="71" customFormat="1">
      <c r="A481" s="50"/>
      <c r="B481" s="30"/>
      <c r="C481" s="70"/>
      <c r="G481" s="30"/>
      <c r="H481" s="77"/>
      <c r="I481" s="77"/>
      <c r="J481" s="58"/>
      <c r="K481" s="3"/>
    </row>
    <row r="482" spans="1:11" s="71" customFormat="1">
      <c r="A482" s="50"/>
      <c r="B482" s="30"/>
      <c r="C482" s="70"/>
      <c r="G482" s="30"/>
      <c r="H482" s="77"/>
      <c r="I482" s="77"/>
      <c r="J482" s="58"/>
      <c r="K482" s="3"/>
    </row>
    <row r="483" spans="1:11" s="71" customFormat="1">
      <c r="A483" s="50"/>
      <c r="B483" s="30"/>
      <c r="C483" s="70"/>
      <c r="G483" s="30"/>
      <c r="H483" s="77"/>
      <c r="I483" s="77"/>
      <c r="J483" s="58"/>
      <c r="K483" s="3"/>
    </row>
    <row r="484" spans="1:11" s="71" customFormat="1">
      <c r="A484" s="50"/>
      <c r="B484" s="30"/>
      <c r="C484" s="70"/>
      <c r="G484" s="30"/>
      <c r="H484" s="77"/>
      <c r="I484" s="77"/>
      <c r="J484" s="58"/>
      <c r="K484" s="3"/>
    </row>
    <row r="485" spans="1:11" s="71" customFormat="1">
      <c r="A485" s="50"/>
      <c r="B485" s="30"/>
      <c r="C485" s="70"/>
      <c r="G485" s="30"/>
      <c r="H485" s="77"/>
      <c r="I485" s="77"/>
      <c r="J485" s="58"/>
      <c r="K485" s="3"/>
    </row>
    <row r="486" spans="1:11" s="71" customFormat="1">
      <c r="A486" s="50"/>
      <c r="B486" s="30"/>
      <c r="C486" s="70"/>
      <c r="G486" s="30"/>
      <c r="H486" s="77"/>
      <c r="I486" s="77"/>
      <c r="J486" s="58"/>
      <c r="K486" s="3"/>
    </row>
    <row r="487" spans="1:11" s="71" customFormat="1">
      <c r="A487" s="50"/>
      <c r="B487" s="30"/>
      <c r="C487" s="70"/>
      <c r="G487" s="30"/>
      <c r="H487" s="77"/>
      <c r="I487" s="77"/>
      <c r="J487" s="58"/>
      <c r="K487" s="3"/>
    </row>
    <row r="488" spans="1:11" s="71" customFormat="1">
      <c r="A488" s="50"/>
      <c r="B488" s="30"/>
      <c r="C488" s="70"/>
      <c r="G488" s="30"/>
      <c r="H488" s="77"/>
      <c r="I488" s="77"/>
      <c r="J488" s="58"/>
      <c r="K488" s="3"/>
    </row>
    <row r="489" spans="1:11" s="71" customFormat="1">
      <c r="A489" s="50"/>
      <c r="B489" s="30"/>
      <c r="C489" s="70"/>
      <c r="G489" s="30"/>
      <c r="H489" s="77"/>
      <c r="I489" s="77"/>
      <c r="J489" s="58"/>
      <c r="K489" s="3"/>
    </row>
    <row r="490" spans="1:11" s="71" customFormat="1">
      <c r="A490" s="50"/>
      <c r="B490" s="30"/>
      <c r="C490" s="70"/>
      <c r="G490" s="30"/>
      <c r="H490" s="77"/>
      <c r="I490" s="77"/>
      <c r="J490" s="58"/>
      <c r="K490" s="3"/>
    </row>
    <row r="491" spans="1:11" s="71" customFormat="1">
      <c r="A491" s="50"/>
      <c r="B491" s="30"/>
      <c r="C491" s="70"/>
      <c r="G491" s="30"/>
      <c r="H491" s="77"/>
      <c r="I491" s="77"/>
      <c r="J491" s="58"/>
      <c r="K491" s="3"/>
    </row>
    <row r="492" spans="1:11" s="71" customFormat="1">
      <c r="A492" s="50"/>
      <c r="B492" s="30"/>
      <c r="C492" s="70"/>
      <c r="G492" s="30"/>
      <c r="H492" s="77"/>
      <c r="I492" s="77"/>
      <c r="J492" s="58"/>
      <c r="K492" s="3"/>
    </row>
    <row r="493" spans="1:11" s="71" customFormat="1">
      <c r="A493" s="50"/>
      <c r="B493" s="30"/>
      <c r="C493" s="70"/>
      <c r="G493" s="30"/>
      <c r="H493" s="77"/>
      <c r="I493" s="77"/>
      <c r="J493" s="58"/>
      <c r="K493" s="3"/>
    </row>
    <row r="494" spans="1:11" s="71" customFormat="1">
      <c r="A494" s="50"/>
      <c r="B494" s="30"/>
      <c r="C494" s="70"/>
      <c r="G494" s="30"/>
      <c r="H494" s="77"/>
      <c r="I494" s="77"/>
      <c r="J494" s="58"/>
      <c r="K494" s="3"/>
    </row>
    <row r="495" spans="1:11" s="71" customFormat="1">
      <c r="A495" s="50"/>
      <c r="B495" s="30"/>
      <c r="C495" s="70"/>
      <c r="G495" s="30"/>
      <c r="H495" s="77"/>
      <c r="I495" s="77"/>
      <c r="J495" s="58"/>
      <c r="K495" s="3"/>
    </row>
    <row r="496" spans="1:11" s="71" customFormat="1">
      <c r="A496" s="50"/>
      <c r="B496" s="30"/>
      <c r="C496" s="70"/>
      <c r="G496" s="30"/>
      <c r="H496" s="77"/>
      <c r="I496" s="77"/>
      <c r="J496" s="58"/>
      <c r="K496" s="3"/>
    </row>
    <row r="497" spans="1:11" s="71" customFormat="1">
      <c r="A497" s="50"/>
      <c r="B497" s="30"/>
      <c r="C497" s="70"/>
      <c r="G497" s="30"/>
      <c r="H497" s="77"/>
      <c r="I497" s="77"/>
      <c r="J497" s="58"/>
      <c r="K497" s="3"/>
    </row>
    <row r="498" spans="1:11" s="71" customFormat="1">
      <c r="A498" s="50"/>
      <c r="B498" s="30"/>
      <c r="C498" s="70"/>
      <c r="G498" s="30"/>
      <c r="H498" s="77"/>
      <c r="I498" s="77"/>
      <c r="J498" s="58"/>
      <c r="K498" s="3"/>
    </row>
    <row r="499" spans="1:11" s="71" customFormat="1">
      <c r="A499" s="50"/>
      <c r="B499" s="30"/>
      <c r="C499" s="70"/>
      <c r="G499" s="30"/>
      <c r="H499" s="77"/>
      <c r="I499" s="77"/>
      <c r="J499" s="58"/>
      <c r="K499" s="3"/>
    </row>
    <row r="500" spans="1:11" s="71" customFormat="1">
      <c r="A500" s="50"/>
      <c r="B500" s="30"/>
      <c r="C500" s="70"/>
      <c r="G500" s="30"/>
      <c r="H500" s="77"/>
      <c r="I500" s="77"/>
      <c r="J500" s="58"/>
      <c r="K500" s="3"/>
    </row>
    <row r="501" spans="1:11" s="71" customFormat="1">
      <c r="A501" s="50"/>
      <c r="B501" s="30"/>
      <c r="C501" s="70"/>
      <c r="G501" s="30"/>
      <c r="H501" s="77"/>
      <c r="I501" s="77"/>
      <c r="J501" s="58"/>
      <c r="K501" s="3"/>
    </row>
    <row r="502" spans="1:11" s="71" customFormat="1">
      <c r="A502" s="50"/>
      <c r="B502" s="30"/>
      <c r="C502" s="70"/>
      <c r="G502" s="30"/>
      <c r="H502" s="77"/>
      <c r="I502" s="77"/>
      <c r="J502" s="58"/>
      <c r="K502" s="3"/>
    </row>
    <row r="503" spans="1:11" s="71" customFormat="1">
      <c r="A503" s="50"/>
      <c r="B503" s="30"/>
      <c r="C503" s="70"/>
      <c r="G503" s="30"/>
      <c r="H503" s="77"/>
      <c r="I503" s="77"/>
      <c r="J503" s="58"/>
      <c r="K503" s="3"/>
    </row>
    <row r="504" spans="1:11" s="71" customFormat="1">
      <c r="A504" s="50"/>
      <c r="B504" s="30"/>
      <c r="C504" s="70"/>
      <c r="G504" s="30"/>
      <c r="H504" s="77"/>
      <c r="I504" s="77"/>
      <c r="J504" s="58"/>
      <c r="K504" s="3"/>
    </row>
    <row r="505" spans="1:11" s="71" customFormat="1">
      <c r="A505" s="50"/>
      <c r="B505" s="30"/>
      <c r="C505" s="70"/>
      <c r="G505" s="30"/>
      <c r="H505" s="77"/>
      <c r="I505" s="77"/>
      <c r="J505" s="58"/>
      <c r="K505" s="3"/>
    </row>
    <row r="506" spans="1:11" s="71" customFormat="1">
      <c r="A506" s="50"/>
      <c r="B506" s="30"/>
      <c r="C506" s="70"/>
      <c r="G506" s="30"/>
      <c r="H506" s="77"/>
      <c r="I506" s="77"/>
      <c r="J506" s="58"/>
      <c r="K506" s="3"/>
    </row>
    <row r="507" spans="1:11" s="71" customFormat="1">
      <c r="A507" s="50"/>
      <c r="B507" s="30"/>
      <c r="C507" s="70"/>
      <c r="G507" s="30"/>
      <c r="H507" s="77"/>
      <c r="I507" s="77"/>
      <c r="J507" s="58"/>
      <c r="K507" s="3"/>
    </row>
    <row r="508" spans="1:11" s="71" customFormat="1">
      <c r="A508" s="50"/>
      <c r="B508" s="30"/>
      <c r="C508" s="70"/>
      <c r="G508" s="30"/>
      <c r="H508" s="77"/>
      <c r="I508" s="77"/>
      <c r="J508" s="58"/>
      <c r="K508" s="3"/>
    </row>
    <row r="509" spans="1:11" s="71" customFormat="1">
      <c r="A509" s="50"/>
      <c r="B509" s="30"/>
      <c r="C509" s="70"/>
      <c r="G509" s="30"/>
      <c r="H509" s="77"/>
      <c r="I509" s="77"/>
      <c r="J509" s="58"/>
      <c r="K509" s="3"/>
    </row>
    <row r="510" spans="1:11" s="71" customFormat="1">
      <c r="A510" s="50"/>
      <c r="B510" s="30"/>
      <c r="C510" s="70"/>
      <c r="G510" s="30"/>
      <c r="H510" s="77"/>
      <c r="I510" s="77"/>
      <c r="J510" s="58"/>
      <c r="K510" s="3"/>
    </row>
    <row r="511" spans="1:11" s="71" customFormat="1">
      <c r="A511" s="50"/>
      <c r="B511" s="30"/>
      <c r="C511" s="70"/>
      <c r="G511" s="30"/>
      <c r="H511" s="77"/>
      <c r="I511" s="77"/>
      <c r="J511" s="58"/>
      <c r="K511" s="3"/>
    </row>
    <row r="512" spans="1:11" s="71" customFormat="1">
      <c r="A512" s="50"/>
      <c r="B512" s="30"/>
      <c r="C512" s="70"/>
      <c r="G512" s="30"/>
      <c r="H512" s="77"/>
      <c r="I512" s="77"/>
      <c r="J512" s="58"/>
      <c r="K512" s="3"/>
    </row>
    <row r="513" spans="1:11" s="71" customFormat="1">
      <c r="A513" s="50"/>
      <c r="B513" s="30"/>
      <c r="C513" s="70"/>
      <c r="G513" s="30"/>
      <c r="H513" s="77"/>
      <c r="I513" s="77"/>
      <c r="J513" s="58"/>
      <c r="K513" s="3"/>
    </row>
    <row r="514" spans="1:11" s="71" customFormat="1">
      <c r="A514" s="50"/>
      <c r="B514" s="30"/>
      <c r="C514" s="70"/>
      <c r="G514" s="30"/>
      <c r="H514" s="77"/>
      <c r="I514" s="77"/>
      <c r="J514" s="58"/>
      <c r="K514" s="3"/>
    </row>
    <row r="515" spans="1:11" s="71" customFormat="1">
      <c r="A515" s="50"/>
      <c r="B515" s="30"/>
      <c r="C515" s="70"/>
      <c r="G515" s="30"/>
      <c r="H515" s="77"/>
      <c r="I515" s="77"/>
      <c r="J515" s="58"/>
      <c r="K515" s="3"/>
    </row>
    <row r="516" spans="1:11" s="71" customFormat="1">
      <c r="A516" s="50"/>
      <c r="B516" s="30"/>
      <c r="C516" s="70"/>
      <c r="G516" s="30"/>
      <c r="H516" s="77"/>
      <c r="I516" s="77"/>
      <c r="J516" s="58"/>
      <c r="K516" s="3"/>
    </row>
    <row r="517" spans="1:11" s="71" customFormat="1">
      <c r="A517" s="50"/>
      <c r="B517" s="30"/>
      <c r="C517" s="70"/>
      <c r="G517" s="30"/>
      <c r="H517" s="77"/>
      <c r="I517" s="77"/>
      <c r="J517" s="58"/>
      <c r="K517" s="3"/>
    </row>
    <row r="518" spans="1:11" s="71" customFormat="1">
      <c r="A518" s="50"/>
      <c r="B518" s="30"/>
      <c r="C518" s="70"/>
      <c r="G518" s="30"/>
      <c r="H518" s="77"/>
      <c r="I518" s="77"/>
      <c r="J518" s="58"/>
      <c r="K518" s="3"/>
    </row>
    <row r="519" spans="1:11" s="71" customFormat="1">
      <c r="A519" s="50"/>
      <c r="B519" s="30"/>
      <c r="C519" s="70"/>
      <c r="G519" s="30"/>
      <c r="H519" s="77"/>
      <c r="I519" s="77"/>
      <c r="J519" s="58"/>
      <c r="K519" s="3"/>
    </row>
    <row r="520" spans="1:11" s="71" customFormat="1">
      <c r="A520" s="50"/>
      <c r="B520" s="30"/>
      <c r="C520" s="70"/>
      <c r="G520" s="30"/>
      <c r="H520" s="77"/>
      <c r="I520" s="77"/>
      <c r="J520" s="58"/>
      <c r="K520" s="3"/>
    </row>
    <row r="521" spans="1:11" s="71" customFormat="1">
      <c r="A521" s="50"/>
      <c r="B521" s="30"/>
      <c r="C521" s="70"/>
      <c r="G521" s="30"/>
      <c r="H521" s="77"/>
      <c r="I521" s="77"/>
      <c r="J521" s="58"/>
      <c r="K521" s="3"/>
    </row>
    <row r="522" spans="1:11" s="71" customFormat="1">
      <c r="A522" s="50"/>
      <c r="B522" s="30"/>
      <c r="C522" s="70"/>
      <c r="G522" s="30"/>
      <c r="H522" s="77"/>
      <c r="I522" s="77"/>
      <c r="J522" s="58"/>
      <c r="K522" s="3"/>
    </row>
    <row r="523" spans="1:11" s="71" customFormat="1">
      <c r="A523" s="50"/>
      <c r="B523" s="30"/>
      <c r="C523" s="70"/>
      <c r="G523" s="30"/>
      <c r="H523" s="77"/>
      <c r="I523" s="77"/>
      <c r="J523" s="58"/>
      <c r="K523" s="3"/>
    </row>
    <row r="524" spans="1:11" s="71" customFormat="1">
      <c r="A524" s="50"/>
      <c r="B524" s="30"/>
      <c r="C524" s="70"/>
      <c r="G524" s="30"/>
      <c r="H524" s="77"/>
      <c r="I524" s="77"/>
      <c r="J524" s="58"/>
      <c r="K524" s="3"/>
    </row>
    <row r="525" spans="1:11" s="71" customFormat="1">
      <c r="A525" s="50"/>
      <c r="B525" s="30"/>
      <c r="C525" s="70"/>
      <c r="G525" s="30"/>
      <c r="H525" s="77"/>
      <c r="I525" s="77"/>
      <c r="J525" s="58"/>
      <c r="K525" s="3"/>
    </row>
    <row r="526" spans="1:11" s="71" customFormat="1">
      <c r="A526" s="50"/>
      <c r="B526" s="30"/>
      <c r="C526" s="70"/>
      <c r="G526" s="30"/>
      <c r="H526" s="77"/>
      <c r="I526" s="77"/>
      <c r="J526" s="58"/>
      <c r="K526" s="3"/>
    </row>
    <row r="527" spans="1:11" s="71" customFormat="1">
      <c r="A527" s="50"/>
      <c r="B527" s="30"/>
      <c r="C527" s="70"/>
      <c r="G527" s="30"/>
      <c r="H527" s="77"/>
      <c r="I527" s="77"/>
      <c r="J527" s="58"/>
      <c r="K527" s="3"/>
    </row>
    <row r="528" spans="1:11" s="71" customFormat="1">
      <c r="A528" s="50"/>
      <c r="B528" s="30"/>
      <c r="C528" s="70"/>
      <c r="G528" s="30"/>
      <c r="H528" s="77"/>
      <c r="I528" s="77"/>
      <c r="J528" s="58"/>
      <c r="K528" s="3"/>
    </row>
    <row r="529" spans="1:11" s="71" customFormat="1">
      <c r="A529" s="50"/>
      <c r="B529" s="30"/>
      <c r="C529" s="70"/>
      <c r="G529" s="30"/>
      <c r="H529" s="77"/>
      <c r="I529" s="77"/>
      <c r="J529" s="58"/>
      <c r="K529" s="3"/>
    </row>
    <row r="530" spans="1:11" s="71" customFormat="1">
      <c r="A530" s="50"/>
      <c r="B530" s="30"/>
      <c r="C530" s="70"/>
      <c r="G530" s="30"/>
      <c r="H530" s="77"/>
      <c r="I530" s="77"/>
      <c r="J530" s="58"/>
      <c r="K530" s="3"/>
    </row>
    <row r="531" spans="1:11" s="71" customFormat="1">
      <c r="A531" s="50"/>
      <c r="B531" s="30"/>
      <c r="C531" s="70"/>
      <c r="G531" s="30"/>
      <c r="H531" s="77"/>
      <c r="I531" s="77"/>
      <c r="J531" s="58"/>
      <c r="K531" s="3"/>
    </row>
    <row r="532" spans="1:11" s="71" customFormat="1">
      <c r="A532" s="50"/>
      <c r="B532" s="30"/>
      <c r="C532" s="70"/>
      <c r="G532" s="30"/>
      <c r="H532" s="77"/>
      <c r="I532" s="77"/>
      <c r="J532" s="58"/>
      <c r="K532" s="3"/>
    </row>
    <row r="533" spans="1:11" s="71" customFormat="1">
      <c r="A533" s="87"/>
      <c r="B533" s="30"/>
      <c r="C533" s="70"/>
      <c r="G533" s="30"/>
      <c r="H533" s="77"/>
      <c r="I533" s="77"/>
      <c r="J533" s="58"/>
      <c r="K533" s="3"/>
    </row>
    <row r="534" spans="1:11" s="71" customFormat="1">
      <c r="A534" s="87"/>
      <c r="B534" s="30"/>
      <c r="C534" s="70"/>
      <c r="G534" s="30"/>
      <c r="H534" s="77"/>
      <c r="I534" s="77"/>
      <c r="J534" s="58"/>
      <c r="K534" s="3"/>
    </row>
    <row r="535" spans="1:11" s="71" customFormat="1">
      <c r="A535" s="87"/>
      <c r="B535" s="30"/>
      <c r="C535" s="70"/>
      <c r="G535" s="30"/>
      <c r="H535" s="77"/>
      <c r="I535" s="77"/>
      <c r="J535" s="58"/>
      <c r="K535" s="3"/>
    </row>
    <row r="536" spans="1:11" s="71" customFormat="1">
      <c r="A536" s="87"/>
      <c r="B536" s="30"/>
      <c r="C536" s="70"/>
      <c r="G536" s="30"/>
      <c r="H536" s="77"/>
      <c r="I536" s="77"/>
      <c r="J536" s="58"/>
      <c r="K536" s="3"/>
    </row>
    <row r="537" spans="1:11" s="71" customFormat="1">
      <c r="A537" s="87"/>
      <c r="B537" s="30"/>
      <c r="C537" s="70"/>
      <c r="G537" s="30"/>
      <c r="H537" s="77"/>
      <c r="I537" s="77"/>
      <c r="J537" s="58"/>
      <c r="K537" s="3"/>
    </row>
    <row r="538" spans="1:11" s="71" customFormat="1">
      <c r="A538" s="87"/>
      <c r="B538" s="30"/>
      <c r="C538" s="70"/>
      <c r="G538" s="30"/>
      <c r="H538" s="77"/>
      <c r="I538" s="77"/>
      <c r="J538" s="58"/>
      <c r="K538" s="3"/>
    </row>
    <row r="539" spans="1:11" s="71" customFormat="1">
      <c r="A539" s="87"/>
      <c r="B539" s="30"/>
      <c r="C539" s="70"/>
      <c r="G539" s="30"/>
      <c r="H539" s="77"/>
      <c r="I539" s="77"/>
      <c r="J539" s="58"/>
      <c r="K539" s="3"/>
    </row>
    <row r="540" spans="1:11" s="71" customFormat="1">
      <c r="A540" s="87"/>
      <c r="B540" s="30"/>
      <c r="C540" s="70"/>
      <c r="G540" s="30"/>
      <c r="H540" s="77"/>
      <c r="I540" s="77"/>
      <c r="J540" s="58"/>
      <c r="K540" s="3"/>
    </row>
    <row r="541" spans="1:11" s="71" customFormat="1">
      <c r="A541" s="87"/>
      <c r="B541" s="30"/>
      <c r="C541" s="70"/>
      <c r="G541" s="30"/>
      <c r="H541" s="77"/>
      <c r="I541" s="77"/>
      <c r="J541" s="58"/>
      <c r="K541" s="3"/>
    </row>
    <row r="542" spans="1:11" s="71" customFormat="1">
      <c r="A542" s="87"/>
      <c r="B542" s="30"/>
      <c r="C542" s="70"/>
      <c r="G542" s="30"/>
      <c r="H542" s="77"/>
      <c r="I542" s="77"/>
      <c r="J542" s="58"/>
      <c r="K542" s="3"/>
    </row>
    <row r="543" spans="1:11" s="71" customFormat="1">
      <c r="A543" s="87"/>
      <c r="B543" s="30"/>
      <c r="C543" s="70"/>
      <c r="G543" s="30"/>
      <c r="H543" s="77"/>
      <c r="I543" s="77"/>
      <c r="J543" s="58"/>
      <c r="K543" s="3"/>
    </row>
    <row r="544" spans="1:11" s="71" customFormat="1">
      <c r="A544" s="87"/>
      <c r="B544" s="30"/>
      <c r="C544" s="70"/>
      <c r="G544" s="30"/>
      <c r="H544" s="77"/>
      <c r="I544" s="77"/>
      <c r="J544" s="58"/>
      <c r="K544" s="3"/>
    </row>
    <row r="545" spans="1:11" s="71" customFormat="1">
      <c r="A545" s="87"/>
      <c r="B545" s="30"/>
      <c r="C545" s="70"/>
      <c r="G545" s="30"/>
      <c r="H545" s="77"/>
      <c r="I545" s="77"/>
      <c r="J545" s="58"/>
      <c r="K545" s="3"/>
    </row>
    <row r="546" spans="1:11" s="71" customFormat="1">
      <c r="A546" s="87"/>
      <c r="B546" s="30"/>
      <c r="C546" s="70"/>
      <c r="G546" s="30"/>
      <c r="H546" s="77"/>
      <c r="I546" s="77"/>
      <c r="J546" s="58"/>
      <c r="K546" s="3"/>
    </row>
    <row r="547" spans="1:11" s="71" customFormat="1">
      <c r="A547" s="87"/>
      <c r="B547" s="30"/>
      <c r="C547" s="70"/>
      <c r="G547" s="30"/>
      <c r="H547" s="77"/>
      <c r="I547" s="77"/>
      <c r="J547" s="58"/>
      <c r="K547" s="3"/>
    </row>
    <row r="548" spans="1:11" s="71" customFormat="1">
      <c r="A548" s="87"/>
      <c r="B548" s="30"/>
      <c r="C548" s="70"/>
      <c r="G548" s="30"/>
      <c r="H548" s="77"/>
      <c r="I548" s="77"/>
      <c r="J548" s="58"/>
      <c r="K548" s="3"/>
    </row>
    <row r="549" spans="1:11" s="71" customFormat="1">
      <c r="A549" s="87"/>
      <c r="B549" s="30"/>
      <c r="C549" s="70"/>
      <c r="G549" s="30"/>
      <c r="H549" s="77"/>
      <c r="I549" s="77"/>
      <c r="J549" s="58"/>
      <c r="K549" s="3"/>
    </row>
    <row r="550" spans="1:11" s="71" customFormat="1">
      <c r="A550" s="87"/>
      <c r="B550" s="30"/>
      <c r="C550" s="70"/>
      <c r="G550" s="30"/>
      <c r="H550" s="77"/>
      <c r="I550" s="77"/>
      <c r="J550" s="58"/>
      <c r="K550" s="3"/>
    </row>
    <row r="551" spans="1:11" s="71" customFormat="1">
      <c r="A551" s="87"/>
      <c r="B551" s="30"/>
      <c r="C551" s="70"/>
      <c r="G551" s="30"/>
      <c r="H551" s="77"/>
      <c r="I551" s="77"/>
      <c r="J551" s="58"/>
      <c r="K551" s="3"/>
    </row>
    <row r="552" spans="1:11" s="71" customFormat="1">
      <c r="A552" s="87"/>
      <c r="B552" s="30"/>
      <c r="C552" s="70"/>
      <c r="G552" s="30"/>
      <c r="H552" s="77"/>
      <c r="I552" s="77"/>
      <c r="J552" s="58"/>
      <c r="K552" s="3"/>
    </row>
    <row r="553" spans="1:11" s="71" customFormat="1">
      <c r="A553" s="87"/>
      <c r="B553" s="30"/>
      <c r="C553" s="70"/>
      <c r="G553" s="30"/>
      <c r="H553" s="77"/>
      <c r="I553" s="77"/>
      <c r="J553" s="58"/>
      <c r="K553" s="3"/>
    </row>
    <row r="554" spans="1:11" s="71" customFormat="1">
      <c r="A554" s="87"/>
      <c r="B554" s="30"/>
      <c r="C554" s="70"/>
      <c r="G554" s="30"/>
      <c r="H554" s="77"/>
      <c r="I554" s="77"/>
      <c r="J554" s="58"/>
      <c r="K554" s="3"/>
    </row>
    <row r="555" spans="1:11" s="71" customFormat="1">
      <c r="A555" s="87"/>
      <c r="B555" s="30"/>
      <c r="C555" s="70"/>
      <c r="G555" s="30"/>
      <c r="H555" s="77"/>
      <c r="I555" s="77"/>
      <c r="J555" s="58"/>
      <c r="K555" s="3"/>
    </row>
    <row r="556" spans="1:11" s="71" customFormat="1">
      <c r="A556" s="87"/>
      <c r="B556" s="30"/>
      <c r="C556" s="70"/>
      <c r="G556" s="30"/>
      <c r="H556" s="77"/>
      <c r="I556" s="77"/>
      <c r="J556" s="58"/>
      <c r="K556" s="3"/>
    </row>
    <row r="557" spans="1:11" s="71" customFormat="1">
      <c r="A557" s="87"/>
      <c r="B557" s="30"/>
      <c r="C557" s="70"/>
      <c r="G557" s="30"/>
      <c r="H557" s="77"/>
      <c r="I557" s="77"/>
      <c r="J557" s="58"/>
      <c r="K557" s="3"/>
    </row>
    <row r="558" spans="1:11" s="71" customFormat="1">
      <c r="A558" s="87"/>
      <c r="B558" s="30"/>
      <c r="C558" s="70"/>
      <c r="G558" s="30"/>
      <c r="H558" s="77"/>
      <c r="I558" s="77"/>
      <c r="J558" s="58"/>
      <c r="K558" s="3"/>
    </row>
    <row r="559" spans="1:11" s="71" customFormat="1">
      <c r="A559" s="87"/>
      <c r="B559" s="30"/>
      <c r="C559" s="70"/>
      <c r="G559" s="30"/>
      <c r="H559" s="77"/>
      <c r="I559" s="77"/>
      <c r="J559" s="58"/>
      <c r="K559" s="3"/>
    </row>
    <row r="560" spans="1:11" s="71" customFormat="1">
      <c r="A560" s="87"/>
      <c r="B560" s="30"/>
      <c r="C560" s="70"/>
      <c r="G560" s="30"/>
      <c r="H560" s="77"/>
      <c r="I560" s="77"/>
      <c r="J560" s="58"/>
      <c r="K560" s="3"/>
    </row>
    <row r="561" spans="1:11" s="71" customFormat="1">
      <c r="A561" s="87"/>
      <c r="B561" s="30"/>
      <c r="C561" s="70"/>
      <c r="G561" s="30"/>
      <c r="H561" s="77"/>
      <c r="I561" s="77"/>
      <c r="J561" s="58"/>
      <c r="K561" s="3"/>
    </row>
    <row r="562" spans="1:11" s="71" customFormat="1">
      <c r="A562" s="87"/>
      <c r="B562" s="30"/>
      <c r="C562" s="70"/>
      <c r="G562" s="30"/>
      <c r="H562" s="77"/>
      <c r="I562" s="77"/>
      <c r="J562" s="58"/>
      <c r="K562" s="3"/>
    </row>
    <row r="563" spans="1:11" s="71" customFormat="1">
      <c r="A563" s="87"/>
      <c r="B563" s="30"/>
      <c r="C563" s="70"/>
      <c r="G563" s="30"/>
      <c r="H563" s="77"/>
      <c r="I563" s="77"/>
      <c r="J563" s="58"/>
      <c r="K563" s="3"/>
    </row>
    <row r="564" spans="1:11" s="71" customFormat="1">
      <c r="A564" s="87"/>
      <c r="B564" s="30"/>
      <c r="C564" s="70"/>
      <c r="G564" s="30"/>
      <c r="H564" s="77"/>
      <c r="I564" s="77"/>
      <c r="J564" s="58"/>
      <c r="K564" s="3"/>
    </row>
    <row r="565" spans="1:11" s="71" customFormat="1">
      <c r="A565" s="87"/>
      <c r="B565" s="30"/>
      <c r="C565" s="70"/>
      <c r="G565" s="30"/>
      <c r="H565" s="77"/>
      <c r="I565" s="77"/>
      <c r="J565" s="58"/>
      <c r="K565" s="3"/>
    </row>
    <row r="566" spans="1:11" s="71" customFormat="1">
      <c r="A566" s="87"/>
      <c r="B566" s="30"/>
      <c r="C566" s="70"/>
      <c r="G566" s="30"/>
      <c r="H566" s="77"/>
      <c r="I566" s="77"/>
      <c r="J566" s="58"/>
      <c r="K566" s="3"/>
    </row>
    <row r="567" spans="1:11" s="71" customFormat="1">
      <c r="A567" s="87"/>
      <c r="B567" s="30"/>
      <c r="C567" s="70"/>
      <c r="G567" s="30"/>
      <c r="H567" s="77"/>
      <c r="I567" s="77"/>
      <c r="J567" s="58"/>
      <c r="K567" s="3"/>
    </row>
    <row r="568" spans="1:11" s="71" customFormat="1">
      <c r="A568" s="87"/>
      <c r="B568" s="30"/>
      <c r="C568" s="70"/>
      <c r="G568" s="30"/>
      <c r="H568" s="77"/>
      <c r="I568" s="77"/>
      <c r="J568" s="58"/>
      <c r="K568" s="3"/>
    </row>
    <row r="569" spans="1:11" s="71" customFormat="1">
      <c r="A569" s="87"/>
      <c r="B569" s="30"/>
      <c r="C569" s="70"/>
      <c r="G569" s="30"/>
      <c r="H569" s="77"/>
      <c r="I569" s="77"/>
      <c r="J569" s="58"/>
      <c r="K569" s="3"/>
    </row>
    <row r="570" spans="1:11" s="71" customFormat="1">
      <c r="A570" s="87"/>
      <c r="B570" s="30"/>
      <c r="C570" s="70"/>
      <c r="G570" s="30"/>
      <c r="H570" s="77"/>
      <c r="I570" s="77"/>
      <c r="J570" s="58"/>
      <c r="K570" s="3"/>
    </row>
    <row r="571" spans="1:11" s="71" customFormat="1">
      <c r="A571" s="87"/>
      <c r="B571" s="30"/>
      <c r="C571" s="70"/>
      <c r="G571" s="30"/>
      <c r="H571" s="77"/>
      <c r="I571" s="77"/>
      <c r="J571" s="58"/>
      <c r="K571" s="3"/>
    </row>
    <row r="572" spans="1:11" s="71" customFormat="1">
      <c r="A572" s="87"/>
      <c r="B572" s="30"/>
      <c r="C572" s="70"/>
      <c r="G572" s="30"/>
      <c r="H572" s="77"/>
      <c r="I572" s="77"/>
      <c r="J572" s="58"/>
      <c r="K572" s="3"/>
    </row>
    <row r="573" spans="1:11" s="71" customFormat="1">
      <c r="A573" s="87"/>
      <c r="B573" s="30"/>
      <c r="C573" s="70"/>
      <c r="G573" s="30"/>
      <c r="H573" s="77"/>
      <c r="I573" s="77"/>
      <c r="J573" s="58"/>
      <c r="K573" s="3"/>
    </row>
    <row r="574" spans="1:11" s="71" customFormat="1">
      <c r="A574" s="87"/>
      <c r="B574" s="30"/>
      <c r="C574" s="70"/>
      <c r="G574" s="30"/>
      <c r="H574" s="77"/>
      <c r="I574" s="77"/>
      <c r="J574" s="58"/>
      <c r="K574" s="3"/>
    </row>
    <row r="575" spans="1:11" s="71" customFormat="1">
      <c r="A575" s="87"/>
      <c r="B575" s="30"/>
      <c r="C575" s="70"/>
      <c r="G575" s="30"/>
      <c r="H575" s="77"/>
      <c r="I575" s="77"/>
      <c r="J575" s="58"/>
      <c r="K575" s="3"/>
    </row>
    <row r="576" spans="1:11" s="71" customFormat="1">
      <c r="A576" s="87"/>
      <c r="B576" s="30"/>
      <c r="C576" s="70"/>
      <c r="G576" s="30"/>
      <c r="H576" s="77"/>
      <c r="I576" s="77"/>
      <c r="J576" s="58"/>
      <c r="K576" s="3"/>
    </row>
    <row r="577" spans="1:11" s="71" customFormat="1">
      <c r="A577" s="87"/>
      <c r="B577" s="30"/>
      <c r="C577" s="70"/>
      <c r="G577" s="30"/>
      <c r="H577" s="77"/>
      <c r="I577" s="77"/>
      <c r="J577" s="58"/>
      <c r="K577" s="3"/>
    </row>
    <row r="578" spans="1:11" s="71" customFormat="1">
      <c r="A578" s="87"/>
      <c r="B578" s="30"/>
      <c r="C578" s="70"/>
      <c r="G578" s="30"/>
      <c r="H578" s="77"/>
      <c r="I578" s="77"/>
      <c r="J578" s="58"/>
      <c r="K578" s="3"/>
    </row>
    <row r="579" spans="1:11" s="71" customFormat="1">
      <c r="A579" s="87"/>
      <c r="B579" s="30"/>
      <c r="C579" s="70"/>
      <c r="G579" s="30"/>
      <c r="H579" s="77"/>
      <c r="I579" s="77"/>
      <c r="J579" s="58"/>
      <c r="K579" s="3"/>
    </row>
    <row r="580" spans="1:11" s="71" customFormat="1">
      <c r="A580" s="87"/>
      <c r="B580" s="30"/>
      <c r="C580" s="70"/>
      <c r="G580" s="30"/>
      <c r="H580" s="77"/>
      <c r="I580" s="77"/>
      <c r="J580" s="58"/>
      <c r="K580" s="3"/>
    </row>
    <row r="581" spans="1:11" s="71" customFormat="1">
      <c r="A581" s="87"/>
      <c r="B581" s="30"/>
      <c r="C581" s="70"/>
      <c r="G581" s="30"/>
      <c r="H581" s="77"/>
      <c r="I581" s="77"/>
      <c r="J581" s="58"/>
      <c r="K581" s="3"/>
    </row>
    <row r="582" spans="1:11" s="71" customFormat="1">
      <c r="A582" s="87"/>
      <c r="B582" s="30"/>
      <c r="C582" s="70"/>
      <c r="G582" s="30"/>
      <c r="H582" s="77"/>
      <c r="I582" s="77"/>
      <c r="J582" s="58"/>
      <c r="K582" s="3"/>
    </row>
    <row r="583" spans="1:11" s="71" customFormat="1">
      <c r="A583" s="87"/>
      <c r="B583" s="30"/>
      <c r="C583" s="70"/>
      <c r="G583" s="30"/>
      <c r="H583" s="77"/>
      <c r="I583" s="77"/>
      <c r="J583" s="58"/>
      <c r="K583" s="3"/>
    </row>
    <row r="584" spans="1:11" s="71" customFormat="1">
      <c r="A584" s="87"/>
      <c r="B584" s="30"/>
      <c r="C584" s="70"/>
      <c r="G584" s="30"/>
      <c r="H584" s="77"/>
      <c r="I584" s="77"/>
      <c r="J584" s="58"/>
      <c r="K584" s="3"/>
    </row>
    <row r="585" spans="1:11" s="71" customFormat="1">
      <c r="A585" s="87"/>
      <c r="B585" s="30"/>
      <c r="C585" s="70"/>
      <c r="G585" s="30"/>
      <c r="H585" s="77"/>
      <c r="I585" s="77"/>
      <c r="J585" s="58"/>
      <c r="K585" s="3"/>
    </row>
    <row r="586" spans="1:11" s="71" customFormat="1">
      <c r="A586" s="87"/>
      <c r="B586" s="30"/>
      <c r="C586" s="70"/>
      <c r="G586" s="30"/>
      <c r="H586" s="77"/>
      <c r="I586" s="77"/>
      <c r="J586" s="58"/>
      <c r="K586" s="3"/>
    </row>
    <row r="587" spans="1:11" s="71" customFormat="1">
      <c r="A587" s="87"/>
      <c r="B587" s="30"/>
      <c r="C587" s="70"/>
      <c r="G587" s="30"/>
      <c r="H587" s="77"/>
      <c r="I587" s="77"/>
      <c r="J587" s="58"/>
      <c r="K587" s="3"/>
    </row>
    <row r="588" spans="1:11" s="71" customFormat="1">
      <c r="A588" s="87"/>
      <c r="B588" s="30"/>
      <c r="C588" s="70"/>
      <c r="G588" s="30"/>
      <c r="H588" s="77"/>
      <c r="I588" s="77"/>
      <c r="J588" s="58"/>
      <c r="K588" s="3"/>
    </row>
    <row r="589" spans="1:11" s="71" customFormat="1">
      <c r="A589" s="87"/>
      <c r="B589" s="30"/>
      <c r="C589" s="70"/>
      <c r="G589" s="30"/>
      <c r="H589" s="77"/>
      <c r="I589" s="77"/>
      <c r="J589" s="58"/>
      <c r="K589" s="3"/>
    </row>
    <row r="590" spans="1:11" s="71" customFormat="1">
      <c r="A590" s="87"/>
      <c r="B590" s="30"/>
      <c r="C590" s="70"/>
      <c r="G590" s="30"/>
      <c r="H590" s="77"/>
      <c r="I590" s="77"/>
      <c r="J590" s="58"/>
      <c r="K590" s="3"/>
    </row>
    <row r="591" spans="1:11" s="71" customFormat="1">
      <c r="A591" s="87"/>
      <c r="B591" s="30"/>
      <c r="C591" s="70"/>
      <c r="G591" s="30"/>
      <c r="H591" s="77"/>
      <c r="I591" s="77"/>
      <c r="J591" s="58"/>
      <c r="K591" s="3"/>
    </row>
    <row r="592" spans="1:11" s="71" customFormat="1">
      <c r="A592" s="87"/>
      <c r="B592" s="30"/>
      <c r="C592" s="70"/>
      <c r="G592" s="30"/>
      <c r="H592" s="77"/>
      <c r="I592" s="77"/>
      <c r="J592" s="58"/>
      <c r="K592" s="3"/>
    </row>
    <row r="593" spans="1:11" s="71" customFormat="1">
      <c r="A593" s="87"/>
      <c r="B593" s="30"/>
      <c r="C593" s="70"/>
      <c r="G593" s="30"/>
      <c r="H593" s="77"/>
      <c r="I593" s="77"/>
      <c r="J593" s="58"/>
      <c r="K593" s="3"/>
    </row>
    <row r="594" spans="1:11" s="71" customFormat="1">
      <c r="A594" s="87"/>
      <c r="B594" s="30"/>
      <c r="C594" s="70"/>
      <c r="G594" s="30"/>
      <c r="H594" s="77"/>
      <c r="I594" s="77"/>
      <c r="J594" s="58"/>
      <c r="K594" s="3"/>
    </row>
    <row r="595" spans="1:11" s="71" customFormat="1">
      <c r="A595" s="87"/>
      <c r="B595" s="30"/>
      <c r="C595" s="70"/>
      <c r="G595" s="30"/>
      <c r="H595" s="77"/>
      <c r="I595" s="77"/>
      <c r="J595" s="58"/>
      <c r="K595" s="3"/>
    </row>
    <row r="596" spans="1:11" s="71" customFormat="1">
      <c r="A596" s="87"/>
      <c r="B596" s="30"/>
      <c r="C596" s="70"/>
      <c r="G596" s="30"/>
      <c r="H596" s="77"/>
      <c r="I596" s="77"/>
      <c r="J596" s="58"/>
      <c r="K596" s="3"/>
    </row>
    <row r="597" spans="1:11" s="71" customFormat="1">
      <c r="A597" s="87"/>
      <c r="B597" s="30"/>
      <c r="C597" s="70"/>
      <c r="G597" s="30"/>
      <c r="H597" s="77"/>
      <c r="I597" s="77"/>
      <c r="J597" s="58"/>
      <c r="K597" s="3"/>
    </row>
    <row r="598" spans="1:11" s="71" customFormat="1">
      <c r="A598" s="87"/>
      <c r="B598" s="30"/>
      <c r="C598" s="70"/>
      <c r="G598" s="30"/>
      <c r="H598" s="77"/>
      <c r="I598" s="77"/>
      <c r="J598" s="58"/>
      <c r="K598" s="3"/>
    </row>
    <row r="599" spans="1:11" s="71" customFormat="1">
      <c r="A599" s="87"/>
      <c r="B599" s="30"/>
      <c r="C599" s="70"/>
      <c r="G599" s="30"/>
      <c r="H599" s="77"/>
      <c r="I599" s="77"/>
      <c r="J599" s="58"/>
      <c r="K599" s="3"/>
    </row>
    <row r="600" spans="1:11" s="71" customFormat="1">
      <c r="A600" s="87"/>
      <c r="B600" s="30"/>
      <c r="C600" s="70"/>
      <c r="G600" s="30"/>
      <c r="H600" s="77"/>
      <c r="I600" s="77"/>
      <c r="J600" s="58"/>
      <c r="K600" s="3"/>
    </row>
    <row r="601" spans="1:11" s="71" customFormat="1">
      <c r="A601" s="87"/>
      <c r="B601" s="30"/>
      <c r="C601" s="70"/>
      <c r="G601" s="30"/>
      <c r="H601" s="77"/>
      <c r="I601" s="77"/>
      <c r="J601" s="58"/>
      <c r="K601" s="3"/>
    </row>
    <row r="602" spans="1:11" s="71" customFormat="1">
      <c r="A602" s="87"/>
      <c r="B602" s="30"/>
      <c r="C602" s="70"/>
      <c r="G602" s="30"/>
      <c r="H602" s="77"/>
      <c r="I602" s="77"/>
      <c r="J602" s="58"/>
      <c r="K602" s="3"/>
    </row>
    <row r="603" spans="1:11" s="71" customFormat="1">
      <c r="A603" s="87"/>
      <c r="B603" s="30"/>
      <c r="C603" s="70"/>
      <c r="G603" s="30"/>
      <c r="H603" s="77"/>
      <c r="I603" s="77"/>
      <c r="J603" s="58"/>
      <c r="K603" s="3"/>
    </row>
    <row r="604" spans="1:11" s="71" customFormat="1">
      <c r="A604" s="87"/>
      <c r="B604" s="30"/>
      <c r="C604" s="70"/>
      <c r="G604" s="30"/>
      <c r="H604" s="77"/>
      <c r="I604" s="77"/>
      <c r="J604" s="58"/>
      <c r="K604" s="3"/>
    </row>
    <row r="605" spans="1:11" s="71" customFormat="1">
      <c r="A605" s="87"/>
      <c r="B605" s="30"/>
      <c r="C605" s="70"/>
      <c r="G605" s="30"/>
      <c r="H605" s="77"/>
      <c r="I605" s="77"/>
      <c r="J605" s="58"/>
      <c r="K605" s="3"/>
    </row>
    <row r="606" spans="1:11" s="71" customFormat="1">
      <c r="A606" s="87"/>
      <c r="B606" s="30"/>
      <c r="C606" s="70"/>
      <c r="G606" s="30"/>
      <c r="H606" s="77"/>
      <c r="I606" s="77"/>
      <c r="J606" s="58"/>
      <c r="K606" s="3"/>
    </row>
    <row r="607" spans="1:11" s="71" customFormat="1">
      <c r="A607" s="87"/>
      <c r="B607" s="30"/>
      <c r="C607" s="70"/>
      <c r="G607" s="30"/>
      <c r="H607" s="77"/>
      <c r="I607" s="77"/>
      <c r="J607" s="58"/>
      <c r="K607" s="3"/>
    </row>
    <row r="608" spans="1:11" s="71" customFormat="1">
      <c r="A608" s="87"/>
      <c r="B608" s="30"/>
      <c r="C608" s="70"/>
      <c r="G608" s="30"/>
      <c r="H608" s="77"/>
      <c r="I608" s="77"/>
      <c r="J608" s="58"/>
      <c r="K608" s="3"/>
    </row>
    <row r="609" spans="1:11" s="71" customFormat="1">
      <c r="A609" s="87"/>
      <c r="B609" s="30"/>
      <c r="C609" s="70"/>
      <c r="G609" s="30"/>
      <c r="H609" s="77"/>
      <c r="I609" s="77"/>
      <c r="J609" s="58"/>
      <c r="K609" s="3"/>
    </row>
    <row r="610" spans="1:11" s="71" customFormat="1">
      <c r="A610" s="87"/>
      <c r="B610" s="30"/>
      <c r="C610" s="70"/>
      <c r="G610" s="30"/>
      <c r="H610" s="77"/>
      <c r="I610" s="77"/>
      <c r="J610" s="58"/>
      <c r="K610" s="3"/>
    </row>
    <row r="611" spans="1:11" s="71" customFormat="1">
      <c r="A611" s="87"/>
      <c r="B611" s="30"/>
      <c r="C611" s="70"/>
      <c r="G611" s="30"/>
      <c r="H611" s="77"/>
      <c r="I611" s="77"/>
      <c r="J611" s="58"/>
      <c r="K611" s="3"/>
    </row>
    <row r="612" spans="1:11" s="71" customFormat="1">
      <c r="A612" s="87"/>
      <c r="B612" s="30"/>
      <c r="C612" s="70"/>
      <c r="G612" s="30"/>
      <c r="H612" s="77"/>
      <c r="I612" s="77"/>
      <c r="J612" s="58"/>
      <c r="K612" s="3"/>
    </row>
    <row r="613" spans="1:11" s="71" customFormat="1">
      <c r="A613" s="87"/>
      <c r="B613" s="30"/>
      <c r="C613" s="70"/>
      <c r="G613" s="30"/>
      <c r="H613" s="77"/>
      <c r="I613" s="77"/>
      <c r="J613" s="58"/>
      <c r="K613" s="3"/>
    </row>
    <row r="614" spans="1:11" s="71" customFormat="1">
      <c r="A614" s="87"/>
      <c r="B614" s="30"/>
      <c r="C614" s="70"/>
      <c r="G614" s="30"/>
      <c r="H614" s="77"/>
      <c r="I614" s="77"/>
      <c r="J614" s="58"/>
      <c r="K614" s="3"/>
    </row>
    <row r="615" spans="1:11" s="71" customFormat="1">
      <c r="A615" s="87"/>
      <c r="B615" s="30"/>
      <c r="C615" s="70"/>
      <c r="G615" s="30"/>
      <c r="H615" s="77"/>
      <c r="I615" s="77"/>
      <c r="J615" s="58"/>
      <c r="K615" s="3"/>
    </row>
    <row r="616" spans="1:11" s="71" customFormat="1">
      <c r="A616" s="87"/>
      <c r="B616" s="30"/>
      <c r="C616" s="70"/>
      <c r="G616" s="30"/>
      <c r="H616" s="77"/>
      <c r="I616" s="77"/>
      <c r="J616" s="58"/>
      <c r="K616" s="3"/>
    </row>
    <row r="617" spans="1:11" s="71" customFormat="1">
      <c r="A617" s="87"/>
      <c r="B617" s="30"/>
      <c r="C617" s="70"/>
      <c r="G617" s="30"/>
      <c r="H617" s="77"/>
      <c r="I617" s="77"/>
      <c r="J617" s="58"/>
      <c r="K617" s="3"/>
    </row>
    <row r="618" spans="1:11" s="71" customFormat="1">
      <c r="A618" s="87"/>
      <c r="B618" s="30"/>
      <c r="C618" s="70"/>
      <c r="G618" s="30"/>
      <c r="H618" s="77"/>
      <c r="I618" s="77"/>
      <c r="J618" s="58"/>
      <c r="K618" s="3"/>
    </row>
    <row r="619" spans="1:11" s="71" customFormat="1">
      <c r="A619" s="87"/>
      <c r="B619" s="30"/>
      <c r="C619" s="70"/>
      <c r="G619" s="30"/>
      <c r="H619" s="77"/>
      <c r="I619" s="77"/>
      <c r="J619" s="58"/>
      <c r="K619" s="3"/>
    </row>
    <row r="620" spans="1:11" s="71" customFormat="1">
      <c r="A620" s="87"/>
      <c r="B620" s="30"/>
      <c r="C620" s="70"/>
      <c r="G620" s="30"/>
      <c r="H620" s="77"/>
      <c r="I620" s="77"/>
      <c r="J620" s="58"/>
      <c r="K620" s="3"/>
    </row>
    <row r="621" spans="1:11" s="71" customFormat="1">
      <c r="A621" s="87"/>
      <c r="B621" s="30"/>
      <c r="C621" s="70"/>
      <c r="G621" s="30"/>
      <c r="H621" s="77"/>
      <c r="I621" s="77"/>
      <c r="J621" s="58"/>
      <c r="K621" s="3"/>
    </row>
    <row r="622" spans="1:11" s="71" customFormat="1">
      <c r="A622" s="87"/>
      <c r="B622" s="30"/>
      <c r="C622" s="70"/>
      <c r="G622" s="30"/>
      <c r="H622" s="77"/>
      <c r="I622" s="77"/>
      <c r="J622" s="58"/>
      <c r="K622" s="3"/>
    </row>
    <row r="623" spans="1:11" s="71" customFormat="1">
      <c r="A623" s="87"/>
      <c r="B623" s="30"/>
      <c r="C623" s="70"/>
      <c r="G623" s="30"/>
      <c r="H623" s="77"/>
      <c r="I623" s="77"/>
      <c r="J623" s="58"/>
      <c r="K623" s="3"/>
    </row>
    <row r="624" spans="1:11" s="71" customFormat="1">
      <c r="A624" s="87"/>
      <c r="B624" s="30"/>
      <c r="C624" s="70"/>
      <c r="G624" s="30"/>
      <c r="H624" s="77"/>
      <c r="I624" s="77"/>
      <c r="J624" s="58"/>
      <c r="K624" s="3"/>
    </row>
    <row r="625" spans="1:11" s="71" customFormat="1">
      <c r="A625" s="87"/>
      <c r="B625" s="30"/>
      <c r="C625" s="70"/>
      <c r="G625" s="30"/>
      <c r="H625" s="77"/>
      <c r="I625" s="77"/>
      <c r="J625" s="58"/>
      <c r="K625" s="3"/>
    </row>
    <row r="626" spans="1:11" s="71" customFormat="1">
      <c r="A626" s="87"/>
      <c r="B626" s="30"/>
      <c r="C626" s="70"/>
      <c r="G626" s="30"/>
      <c r="H626" s="77"/>
      <c r="I626" s="77"/>
      <c r="J626" s="58"/>
      <c r="K626" s="3"/>
    </row>
    <row r="627" spans="1:11" s="71" customFormat="1">
      <c r="A627" s="87"/>
      <c r="B627" s="30"/>
      <c r="C627" s="70"/>
      <c r="G627" s="30"/>
      <c r="H627" s="77"/>
      <c r="I627" s="77"/>
      <c r="J627" s="58"/>
      <c r="K627" s="3"/>
    </row>
    <row r="628" spans="1:11" s="71" customFormat="1">
      <c r="A628" s="87"/>
      <c r="B628" s="30"/>
      <c r="C628" s="70"/>
      <c r="G628" s="30"/>
      <c r="H628" s="77"/>
      <c r="I628" s="77"/>
      <c r="J628" s="58"/>
      <c r="K628" s="3"/>
    </row>
    <row r="629" spans="1:11" s="71" customFormat="1">
      <c r="A629" s="87"/>
      <c r="B629" s="30"/>
      <c r="C629" s="70"/>
      <c r="G629" s="30"/>
      <c r="H629" s="77"/>
      <c r="I629" s="77"/>
      <c r="J629" s="58"/>
      <c r="K629" s="3"/>
    </row>
    <row r="630" spans="1:11" s="71" customFormat="1">
      <c r="A630" s="87"/>
      <c r="B630" s="30"/>
      <c r="C630" s="70"/>
      <c r="G630" s="30"/>
      <c r="H630" s="77"/>
      <c r="I630" s="77"/>
      <c r="J630" s="58"/>
      <c r="K630" s="3"/>
    </row>
    <row r="631" spans="1:11" s="71" customFormat="1">
      <c r="A631" s="87"/>
      <c r="B631" s="30"/>
      <c r="C631" s="70"/>
      <c r="G631" s="30"/>
      <c r="H631" s="77"/>
      <c r="I631" s="77"/>
      <c r="J631" s="58"/>
      <c r="K631" s="3"/>
    </row>
    <row r="632" spans="1:11" s="71" customFormat="1">
      <c r="A632" s="87"/>
      <c r="B632" s="30"/>
      <c r="C632" s="70"/>
      <c r="G632" s="30"/>
      <c r="H632" s="77"/>
      <c r="I632" s="77"/>
      <c r="J632" s="58"/>
      <c r="K632" s="3"/>
    </row>
    <row r="633" spans="1:11" s="71" customFormat="1">
      <c r="A633" s="87"/>
      <c r="B633" s="30"/>
      <c r="C633" s="70"/>
      <c r="G633" s="30"/>
      <c r="H633" s="77"/>
      <c r="I633" s="77"/>
      <c r="J633" s="58"/>
      <c r="K633" s="3"/>
    </row>
    <row r="634" spans="1:11" s="71" customFormat="1">
      <c r="A634" s="87"/>
      <c r="B634" s="30"/>
      <c r="C634" s="70"/>
      <c r="G634" s="30"/>
      <c r="H634" s="77"/>
      <c r="I634" s="77"/>
      <c r="J634" s="58"/>
      <c r="K634" s="3"/>
    </row>
    <row r="635" spans="1:11" s="71" customFormat="1">
      <c r="A635" s="87"/>
      <c r="B635" s="30"/>
      <c r="C635" s="70"/>
      <c r="G635" s="30"/>
      <c r="H635" s="77"/>
      <c r="I635" s="77"/>
      <c r="J635" s="58"/>
      <c r="K635" s="3"/>
    </row>
    <row r="636" spans="1:11" s="71" customFormat="1">
      <c r="A636" s="87"/>
      <c r="B636" s="30"/>
      <c r="C636" s="70"/>
      <c r="G636" s="30"/>
      <c r="H636" s="77"/>
      <c r="I636" s="77"/>
      <c r="J636" s="58"/>
      <c r="K636" s="3"/>
    </row>
    <row r="637" spans="1:11" s="71" customFormat="1">
      <c r="A637" s="87"/>
      <c r="B637" s="30"/>
      <c r="C637" s="70"/>
      <c r="G637" s="30"/>
      <c r="H637" s="77"/>
      <c r="I637" s="77"/>
      <c r="J637" s="58"/>
      <c r="K637" s="3"/>
    </row>
    <row r="638" spans="1:11" s="71" customFormat="1">
      <c r="A638" s="87"/>
      <c r="B638" s="30"/>
      <c r="C638" s="70"/>
      <c r="G638" s="30"/>
      <c r="H638" s="77"/>
      <c r="I638" s="77"/>
      <c r="J638" s="58"/>
      <c r="K638" s="3"/>
    </row>
    <row r="639" spans="1:11" s="71" customFormat="1">
      <c r="A639" s="87"/>
      <c r="B639" s="30"/>
      <c r="C639" s="70"/>
      <c r="G639" s="30"/>
      <c r="H639" s="77"/>
      <c r="I639" s="77"/>
      <c r="J639" s="58"/>
      <c r="K639" s="3"/>
    </row>
    <row r="640" spans="1:11" s="71" customFormat="1">
      <c r="A640" s="87"/>
      <c r="B640" s="30"/>
      <c r="C640" s="70"/>
      <c r="G640" s="30"/>
      <c r="H640" s="77"/>
      <c r="I640" s="77"/>
      <c r="J640" s="58"/>
      <c r="K640" s="3"/>
    </row>
    <row r="641" spans="1:11" s="71" customFormat="1">
      <c r="A641" s="87"/>
      <c r="B641" s="30"/>
      <c r="C641" s="70"/>
      <c r="G641" s="30"/>
      <c r="H641" s="77"/>
      <c r="I641" s="77"/>
      <c r="J641" s="58"/>
      <c r="K641" s="3"/>
    </row>
    <row r="642" spans="1:11" s="71" customFormat="1">
      <c r="A642" s="87"/>
      <c r="B642" s="30"/>
      <c r="C642" s="70"/>
      <c r="G642" s="30"/>
      <c r="H642" s="77"/>
      <c r="I642" s="77"/>
      <c r="J642" s="58"/>
      <c r="K642" s="3"/>
    </row>
    <row r="643" spans="1:11" s="71" customFormat="1">
      <c r="A643" s="87"/>
      <c r="B643" s="30"/>
      <c r="C643" s="70"/>
      <c r="G643" s="30"/>
      <c r="H643" s="77"/>
      <c r="I643" s="77"/>
      <c r="J643" s="58"/>
      <c r="K643" s="3"/>
    </row>
    <row r="644" spans="1:11" s="71" customFormat="1">
      <c r="A644" s="87"/>
      <c r="B644" s="30"/>
      <c r="C644" s="70"/>
      <c r="G644" s="30"/>
      <c r="H644" s="77"/>
      <c r="I644" s="77"/>
      <c r="J644" s="58"/>
      <c r="K644" s="3"/>
    </row>
    <row r="645" spans="1:11" s="71" customFormat="1">
      <c r="A645" s="87"/>
      <c r="B645" s="30"/>
      <c r="C645" s="70"/>
      <c r="G645" s="30"/>
      <c r="H645" s="77"/>
      <c r="I645" s="77"/>
      <c r="J645" s="58"/>
      <c r="K645" s="3"/>
    </row>
    <row r="646" spans="1:11" s="71" customFormat="1">
      <c r="A646" s="87"/>
      <c r="B646" s="30"/>
      <c r="C646" s="70"/>
      <c r="G646" s="30"/>
      <c r="H646" s="77"/>
      <c r="I646" s="77"/>
      <c r="J646" s="58"/>
      <c r="K646" s="3"/>
    </row>
    <row r="647" spans="1:11" s="71" customFormat="1">
      <c r="A647" s="87"/>
      <c r="B647" s="30"/>
      <c r="C647" s="70"/>
      <c r="G647" s="30"/>
      <c r="H647" s="77"/>
      <c r="I647" s="77"/>
      <c r="J647" s="58"/>
      <c r="K647" s="3"/>
    </row>
    <row r="648" spans="1:11" s="71" customFormat="1">
      <c r="A648" s="87"/>
      <c r="B648" s="30"/>
      <c r="C648" s="70"/>
      <c r="G648" s="30"/>
      <c r="H648" s="77"/>
      <c r="I648" s="77"/>
      <c r="J648" s="58"/>
      <c r="K648" s="3"/>
    </row>
    <row r="649" spans="1:11" s="71" customFormat="1">
      <c r="A649" s="87"/>
      <c r="B649" s="30"/>
      <c r="C649" s="70"/>
      <c r="G649" s="30"/>
      <c r="H649" s="77"/>
      <c r="I649" s="77"/>
      <c r="J649" s="58"/>
      <c r="K649" s="3"/>
    </row>
    <row r="650" spans="1:11" s="71" customFormat="1">
      <c r="A650" s="87"/>
      <c r="B650" s="30"/>
      <c r="C650" s="70"/>
      <c r="G650" s="30"/>
      <c r="H650" s="77"/>
      <c r="I650" s="77"/>
      <c r="J650" s="58"/>
      <c r="K650" s="3"/>
    </row>
    <row r="651" spans="1:11" s="71" customFormat="1">
      <c r="A651" s="87"/>
      <c r="B651" s="30"/>
      <c r="C651" s="70"/>
      <c r="G651" s="30"/>
      <c r="H651" s="77"/>
      <c r="I651" s="77"/>
      <c r="J651" s="58"/>
      <c r="K651" s="3"/>
    </row>
    <row r="652" spans="1:11" s="71" customFormat="1">
      <c r="A652" s="87"/>
      <c r="B652" s="30"/>
      <c r="C652" s="70"/>
      <c r="G652" s="30"/>
      <c r="H652" s="77"/>
      <c r="I652" s="77"/>
      <c r="J652" s="58"/>
      <c r="K652" s="3"/>
    </row>
    <row r="653" spans="1:11" s="71" customFormat="1">
      <c r="A653" s="87"/>
      <c r="B653" s="30"/>
      <c r="C653" s="70"/>
      <c r="G653" s="30"/>
      <c r="H653" s="77"/>
      <c r="I653" s="77"/>
      <c r="J653" s="58"/>
      <c r="K653" s="3"/>
    </row>
    <row r="654" spans="1:11" s="71" customFormat="1">
      <c r="A654" s="87"/>
      <c r="B654" s="30"/>
      <c r="C654" s="70"/>
      <c r="G654" s="30"/>
      <c r="H654" s="77"/>
      <c r="I654" s="77"/>
      <c r="J654" s="58"/>
      <c r="K654" s="3"/>
    </row>
    <row r="655" spans="1:11" s="71" customFormat="1">
      <c r="A655" s="87"/>
      <c r="B655" s="30"/>
      <c r="C655" s="70"/>
      <c r="G655" s="30"/>
      <c r="H655" s="77"/>
      <c r="I655" s="77"/>
      <c r="J655" s="58"/>
      <c r="K655" s="3"/>
    </row>
    <row r="656" spans="1:11" s="71" customFormat="1">
      <c r="A656" s="87"/>
      <c r="B656" s="30"/>
      <c r="C656" s="70"/>
      <c r="G656" s="30"/>
      <c r="H656" s="77"/>
      <c r="I656" s="77"/>
      <c r="J656" s="58"/>
      <c r="K656" s="3"/>
    </row>
    <row r="657" spans="1:11" s="71" customFormat="1">
      <c r="A657" s="87"/>
      <c r="B657" s="30"/>
      <c r="C657" s="70"/>
      <c r="G657" s="30"/>
      <c r="H657" s="77"/>
      <c r="I657" s="77"/>
      <c r="J657" s="58"/>
      <c r="K657" s="3"/>
    </row>
    <row r="658" spans="1:11" s="71" customFormat="1">
      <c r="A658" s="87"/>
      <c r="B658" s="30"/>
      <c r="C658" s="70"/>
      <c r="G658" s="30"/>
      <c r="H658" s="77"/>
      <c r="I658" s="77"/>
      <c r="J658" s="58"/>
      <c r="K658" s="3"/>
    </row>
    <row r="659" spans="1:11" s="71" customFormat="1">
      <c r="A659" s="87"/>
      <c r="B659" s="30"/>
      <c r="C659" s="70"/>
      <c r="G659" s="30"/>
      <c r="H659" s="77"/>
      <c r="I659" s="77"/>
      <c r="J659" s="58"/>
      <c r="K659" s="3"/>
    </row>
    <row r="660" spans="1:11" s="71" customFormat="1">
      <c r="A660" s="87"/>
      <c r="B660" s="30"/>
      <c r="C660" s="70"/>
      <c r="G660" s="30"/>
      <c r="H660" s="77"/>
      <c r="I660" s="77"/>
      <c r="J660" s="58"/>
      <c r="K660" s="3"/>
    </row>
    <row r="661" spans="1:11" s="71" customFormat="1">
      <c r="A661" s="87"/>
      <c r="B661" s="30"/>
      <c r="C661" s="70"/>
      <c r="G661" s="30"/>
      <c r="H661" s="77"/>
      <c r="I661" s="77"/>
      <c r="J661" s="58"/>
      <c r="K661" s="3"/>
    </row>
    <row r="662" spans="1:11" s="71" customFormat="1">
      <c r="A662" s="87"/>
      <c r="B662" s="30"/>
      <c r="C662" s="70"/>
      <c r="G662" s="30"/>
      <c r="H662" s="77"/>
      <c r="I662" s="77"/>
      <c r="J662" s="58"/>
      <c r="K662" s="3"/>
    </row>
    <row r="663" spans="1:11" s="71" customFormat="1">
      <c r="A663" s="87"/>
      <c r="B663" s="30"/>
      <c r="C663" s="70"/>
      <c r="G663" s="30"/>
      <c r="H663" s="77"/>
      <c r="I663" s="77"/>
      <c r="J663" s="58"/>
      <c r="K663" s="3"/>
    </row>
    <row r="664" spans="1:11" s="71" customFormat="1">
      <c r="A664" s="87"/>
      <c r="B664" s="30"/>
      <c r="C664" s="70"/>
      <c r="G664" s="30"/>
      <c r="H664" s="77"/>
      <c r="I664" s="77"/>
      <c r="J664" s="58"/>
      <c r="K664" s="3"/>
    </row>
    <row r="665" spans="1:11" s="71" customFormat="1">
      <c r="A665" s="87"/>
      <c r="B665" s="30"/>
      <c r="C665" s="70"/>
      <c r="G665" s="30"/>
      <c r="H665" s="77"/>
      <c r="I665" s="77"/>
      <c r="J665" s="58"/>
      <c r="K665" s="3"/>
    </row>
    <row r="666" spans="1:11" s="71" customFormat="1">
      <c r="A666" s="87"/>
      <c r="B666" s="30"/>
      <c r="C666" s="70"/>
      <c r="G666" s="30"/>
      <c r="H666" s="77"/>
      <c r="I666" s="77"/>
      <c r="J666" s="58"/>
      <c r="K666" s="3"/>
    </row>
    <row r="667" spans="1:11" s="71" customFormat="1">
      <c r="A667" s="87"/>
      <c r="B667" s="30"/>
      <c r="C667" s="70"/>
      <c r="G667" s="30"/>
      <c r="H667" s="77"/>
      <c r="I667" s="77"/>
      <c r="J667" s="58"/>
      <c r="K667" s="3"/>
    </row>
    <row r="668" spans="1:11" s="71" customFormat="1">
      <c r="A668" s="87"/>
      <c r="B668" s="30"/>
      <c r="C668" s="70"/>
      <c r="G668" s="30"/>
      <c r="H668" s="77"/>
      <c r="I668" s="77"/>
      <c r="J668" s="58"/>
      <c r="K668" s="3"/>
    </row>
    <row r="669" spans="1:11" s="71" customFormat="1">
      <c r="A669" s="87"/>
      <c r="B669" s="30"/>
      <c r="C669" s="70"/>
      <c r="G669" s="30"/>
      <c r="H669" s="77"/>
      <c r="I669" s="77"/>
      <c r="J669" s="58"/>
      <c r="K669" s="3"/>
    </row>
    <row r="670" spans="1:11" s="71" customFormat="1">
      <c r="A670" s="87"/>
      <c r="B670" s="30"/>
      <c r="C670" s="70"/>
      <c r="G670" s="30"/>
      <c r="H670" s="77"/>
      <c r="I670" s="77"/>
      <c r="J670" s="58"/>
      <c r="K670" s="3"/>
    </row>
    <row r="671" spans="1:11" s="71" customFormat="1">
      <c r="A671" s="87"/>
      <c r="B671" s="30"/>
      <c r="C671" s="70"/>
      <c r="G671" s="30"/>
      <c r="H671" s="77"/>
      <c r="I671" s="77"/>
      <c r="J671" s="58"/>
      <c r="K671" s="3"/>
    </row>
    <row r="672" spans="1:11" s="71" customFormat="1">
      <c r="A672" s="87"/>
      <c r="B672" s="30"/>
      <c r="C672" s="70"/>
      <c r="G672" s="30"/>
      <c r="H672" s="77"/>
      <c r="I672" s="77"/>
      <c r="J672" s="58"/>
      <c r="K672" s="3"/>
    </row>
    <row r="673" spans="1:11" s="71" customFormat="1">
      <c r="A673" s="87"/>
      <c r="B673" s="30"/>
      <c r="C673" s="70"/>
      <c r="G673" s="30"/>
      <c r="H673" s="77"/>
      <c r="I673" s="77"/>
      <c r="J673" s="58"/>
      <c r="K673" s="3"/>
    </row>
    <row r="674" spans="1:11" s="71" customFormat="1">
      <c r="A674" s="87"/>
      <c r="B674" s="30"/>
      <c r="C674" s="70"/>
      <c r="G674" s="30"/>
      <c r="H674" s="77"/>
      <c r="I674" s="77"/>
      <c r="J674" s="58"/>
      <c r="K674" s="3"/>
    </row>
    <row r="675" spans="1:11" s="71" customFormat="1">
      <c r="A675" s="87"/>
      <c r="B675" s="30"/>
      <c r="C675" s="70"/>
      <c r="G675" s="30"/>
      <c r="H675" s="77"/>
      <c r="I675" s="77"/>
      <c r="J675" s="58"/>
      <c r="K675" s="3"/>
    </row>
    <row r="676" spans="1:11" s="71" customFormat="1">
      <c r="A676" s="87"/>
      <c r="B676" s="30"/>
      <c r="C676" s="70"/>
      <c r="G676" s="30"/>
      <c r="H676" s="77"/>
      <c r="I676" s="77"/>
      <c r="J676" s="58"/>
      <c r="K676" s="3"/>
    </row>
    <row r="677" spans="1:11" s="71" customFormat="1">
      <c r="A677" s="87"/>
      <c r="B677" s="30"/>
      <c r="C677" s="70"/>
      <c r="G677" s="30"/>
      <c r="H677" s="77"/>
      <c r="I677" s="77"/>
      <c r="J677" s="58"/>
      <c r="K677" s="3"/>
    </row>
    <row r="678" spans="1:11" s="71" customFormat="1">
      <c r="A678" s="87"/>
      <c r="B678" s="30"/>
      <c r="C678" s="70"/>
      <c r="G678" s="30"/>
      <c r="H678" s="77"/>
      <c r="I678" s="77"/>
      <c r="J678" s="58"/>
      <c r="K678" s="3"/>
    </row>
    <row r="679" spans="1:11" s="71" customFormat="1">
      <c r="A679" s="87"/>
      <c r="B679" s="30"/>
      <c r="C679" s="70"/>
      <c r="G679" s="30"/>
      <c r="H679" s="77"/>
      <c r="I679" s="77"/>
      <c r="J679" s="58"/>
      <c r="K679" s="3"/>
    </row>
    <row r="680" spans="1:11" s="71" customFormat="1">
      <c r="A680" s="87"/>
      <c r="B680" s="30"/>
      <c r="C680" s="70"/>
      <c r="G680" s="30"/>
      <c r="H680" s="77"/>
      <c r="I680" s="77"/>
      <c r="J680" s="58"/>
      <c r="K680" s="3"/>
    </row>
    <row r="681" spans="1:11" s="71" customFormat="1">
      <c r="A681" s="87"/>
      <c r="B681" s="30"/>
      <c r="C681" s="70"/>
      <c r="G681" s="30"/>
      <c r="H681" s="77"/>
      <c r="I681" s="77"/>
      <c r="J681" s="58"/>
      <c r="K681" s="3"/>
    </row>
    <row r="682" spans="1:11" s="71" customFormat="1">
      <c r="A682" s="87"/>
      <c r="B682" s="30"/>
      <c r="C682" s="70"/>
      <c r="G682" s="30"/>
      <c r="H682" s="77"/>
      <c r="I682" s="77"/>
      <c r="J682" s="58"/>
      <c r="K682" s="3"/>
    </row>
    <row r="683" spans="1:11" s="71" customFormat="1">
      <c r="A683" s="87"/>
      <c r="B683" s="30"/>
      <c r="C683" s="70"/>
      <c r="G683" s="30"/>
      <c r="H683" s="77"/>
      <c r="I683" s="77"/>
      <c r="J683" s="58"/>
      <c r="K683" s="3"/>
    </row>
    <row r="684" spans="1:11" s="71" customFormat="1">
      <c r="A684" s="87"/>
      <c r="B684" s="30"/>
      <c r="C684" s="70"/>
      <c r="G684" s="30"/>
      <c r="H684" s="77"/>
      <c r="I684" s="77"/>
      <c r="J684" s="58"/>
      <c r="K684" s="3"/>
    </row>
    <row r="685" spans="1:11" s="71" customFormat="1">
      <c r="A685" s="87"/>
      <c r="B685" s="30"/>
      <c r="C685" s="70"/>
      <c r="G685" s="30"/>
      <c r="H685" s="77"/>
      <c r="I685" s="77"/>
      <c r="J685" s="58"/>
      <c r="K685" s="3"/>
    </row>
    <row r="686" spans="1:11" s="71" customFormat="1">
      <c r="A686" s="87"/>
      <c r="B686" s="30"/>
      <c r="C686" s="70"/>
      <c r="G686" s="30"/>
      <c r="H686" s="77"/>
      <c r="I686" s="77"/>
      <c r="J686" s="58"/>
      <c r="K686" s="3"/>
    </row>
    <row r="687" spans="1:11" s="71" customFormat="1">
      <c r="A687" s="87"/>
      <c r="B687" s="30"/>
      <c r="C687" s="70"/>
      <c r="G687" s="30"/>
      <c r="H687" s="77"/>
      <c r="I687" s="77"/>
      <c r="J687" s="58"/>
      <c r="K687" s="3"/>
    </row>
    <row r="688" spans="1:11" s="71" customFormat="1">
      <c r="A688" s="87"/>
      <c r="B688" s="30"/>
      <c r="C688" s="70"/>
      <c r="G688" s="30"/>
      <c r="H688" s="77"/>
      <c r="I688" s="77"/>
      <c r="J688" s="58"/>
      <c r="K688" s="3"/>
    </row>
    <row r="689" spans="1:11" s="71" customFormat="1">
      <c r="A689" s="87"/>
      <c r="B689" s="30"/>
      <c r="C689" s="70"/>
      <c r="G689" s="30"/>
      <c r="H689" s="77"/>
      <c r="I689" s="77"/>
      <c r="J689" s="58"/>
      <c r="K689" s="3"/>
    </row>
    <row r="690" spans="1:11" s="71" customFormat="1">
      <c r="A690" s="87"/>
      <c r="B690" s="30"/>
      <c r="C690" s="70"/>
      <c r="G690" s="30"/>
      <c r="H690" s="77"/>
      <c r="I690" s="77"/>
      <c r="J690" s="58"/>
      <c r="K690" s="3"/>
    </row>
    <row r="691" spans="1:11" s="71" customFormat="1">
      <c r="A691" s="87"/>
      <c r="B691" s="30"/>
      <c r="C691" s="70"/>
      <c r="G691" s="30"/>
      <c r="H691" s="77"/>
      <c r="I691" s="77"/>
      <c r="J691" s="58"/>
      <c r="K691" s="3"/>
    </row>
    <row r="692" spans="1:11" s="71" customFormat="1">
      <c r="A692" s="87"/>
      <c r="B692" s="30"/>
      <c r="C692" s="70"/>
      <c r="G692" s="30"/>
      <c r="H692" s="77"/>
      <c r="I692" s="77"/>
      <c r="J692" s="58"/>
      <c r="K692" s="3"/>
    </row>
    <row r="693" spans="1:11" s="71" customFormat="1">
      <c r="A693" s="87"/>
      <c r="B693" s="30"/>
      <c r="C693" s="70"/>
      <c r="G693" s="30"/>
      <c r="H693" s="77"/>
      <c r="I693" s="77"/>
      <c r="J693" s="58"/>
      <c r="K693" s="3"/>
    </row>
    <row r="694" spans="1:11" s="71" customFormat="1">
      <c r="A694" s="87"/>
      <c r="B694" s="30"/>
      <c r="C694" s="70"/>
      <c r="G694" s="30"/>
      <c r="H694" s="77"/>
      <c r="I694" s="77"/>
      <c r="J694" s="58"/>
      <c r="K694" s="3"/>
    </row>
    <row r="695" spans="1:11" s="71" customFormat="1">
      <c r="A695" s="87"/>
      <c r="B695" s="30"/>
      <c r="C695" s="70"/>
      <c r="G695" s="30"/>
      <c r="H695" s="77"/>
      <c r="I695" s="77"/>
      <c r="J695" s="58"/>
      <c r="K695" s="3"/>
    </row>
    <row r="696" spans="1:11" s="71" customFormat="1">
      <c r="A696" s="87"/>
      <c r="B696" s="30"/>
      <c r="C696" s="70"/>
      <c r="G696" s="30"/>
      <c r="H696" s="77"/>
      <c r="I696" s="77"/>
      <c r="J696" s="58"/>
      <c r="K696" s="3"/>
    </row>
    <row r="697" spans="1:11" s="71" customFormat="1">
      <c r="A697" s="87"/>
      <c r="B697" s="30"/>
      <c r="C697" s="70"/>
      <c r="G697" s="30"/>
      <c r="H697" s="77"/>
      <c r="I697" s="77"/>
      <c r="J697" s="58"/>
      <c r="K697" s="3"/>
    </row>
    <row r="698" spans="1:11" s="71" customFormat="1">
      <c r="A698" s="87"/>
      <c r="B698" s="30"/>
      <c r="C698" s="70"/>
      <c r="G698" s="30"/>
      <c r="H698" s="77"/>
      <c r="I698" s="77"/>
      <c r="J698" s="58"/>
      <c r="K698" s="3"/>
    </row>
    <row r="699" spans="1:11" s="71" customFormat="1">
      <c r="A699" s="87"/>
      <c r="B699" s="30"/>
      <c r="C699" s="70"/>
      <c r="G699" s="30"/>
      <c r="H699" s="77"/>
      <c r="I699" s="77"/>
      <c r="J699" s="58"/>
      <c r="K699" s="3"/>
    </row>
    <row r="700" spans="1:11" s="71" customFormat="1">
      <c r="A700" s="87"/>
      <c r="B700" s="30"/>
      <c r="C700" s="70"/>
      <c r="G700" s="30"/>
      <c r="H700" s="77"/>
      <c r="I700" s="77"/>
      <c r="J700" s="58"/>
      <c r="K700" s="3"/>
    </row>
    <row r="701" spans="1:11" s="71" customFormat="1">
      <c r="A701" s="87"/>
      <c r="B701" s="30"/>
      <c r="C701" s="70"/>
      <c r="G701" s="30"/>
      <c r="H701" s="77"/>
      <c r="I701" s="77"/>
      <c r="J701" s="58"/>
      <c r="K701" s="3"/>
    </row>
    <row r="702" spans="1:11" s="71" customFormat="1">
      <c r="A702" s="87"/>
      <c r="B702" s="30"/>
      <c r="C702" s="70"/>
      <c r="G702" s="30"/>
      <c r="H702" s="77"/>
      <c r="I702" s="77"/>
      <c r="J702" s="58"/>
      <c r="K702" s="3"/>
    </row>
    <row r="703" spans="1:11" s="71" customFormat="1">
      <c r="A703" s="87"/>
      <c r="B703" s="30"/>
      <c r="C703" s="70"/>
      <c r="G703" s="30"/>
      <c r="H703" s="77"/>
      <c r="I703" s="77"/>
      <c r="J703" s="58"/>
      <c r="K703" s="3"/>
    </row>
    <row r="704" spans="1:11" s="71" customFormat="1">
      <c r="A704" s="87"/>
      <c r="B704" s="30"/>
      <c r="C704" s="70"/>
      <c r="G704" s="30"/>
      <c r="H704" s="77"/>
      <c r="I704" s="77"/>
      <c r="J704" s="58"/>
      <c r="K704" s="3"/>
    </row>
    <row r="705" spans="1:11" s="71" customFormat="1">
      <c r="A705" s="87"/>
      <c r="B705" s="30"/>
      <c r="C705" s="70"/>
      <c r="G705" s="30"/>
      <c r="H705" s="77"/>
      <c r="I705" s="77"/>
      <c r="J705" s="58"/>
      <c r="K705" s="3"/>
    </row>
    <row r="706" spans="1:11" s="71" customFormat="1">
      <c r="A706" s="87"/>
      <c r="B706" s="30"/>
      <c r="C706" s="70"/>
      <c r="G706" s="30"/>
      <c r="H706" s="77"/>
      <c r="I706" s="77"/>
      <c r="J706" s="58"/>
      <c r="K706" s="3"/>
    </row>
    <row r="707" spans="1:11" s="71" customFormat="1">
      <c r="A707" s="87"/>
      <c r="B707" s="30"/>
      <c r="C707" s="70"/>
      <c r="G707" s="30"/>
      <c r="H707" s="77"/>
      <c r="I707" s="77"/>
      <c r="J707" s="58"/>
      <c r="K707" s="3"/>
    </row>
    <row r="708" spans="1:11" s="71" customFormat="1">
      <c r="A708" s="87"/>
      <c r="B708" s="30"/>
      <c r="C708" s="70"/>
      <c r="G708" s="30"/>
      <c r="H708" s="77"/>
      <c r="I708" s="77"/>
      <c r="J708" s="58"/>
      <c r="K708" s="3"/>
    </row>
    <row r="709" spans="1:11" s="71" customFormat="1">
      <c r="A709" s="87"/>
      <c r="B709" s="30"/>
      <c r="C709" s="70"/>
      <c r="G709" s="30"/>
      <c r="H709" s="77"/>
      <c r="I709" s="77"/>
      <c r="J709" s="58"/>
      <c r="K709" s="3"/>
    </row>
    <row r="710" spans="1:11" s="71" customFormat="1">
      <c r="A710" s="87"/>
      <c r="B710" s="30"/>
      <c r="C710" s="70"/>
      <c r="G710" s="30"/>
      <c r="H710" s="77"/>
      <c r="I710" s="77"/>
      <c r="J710" s="58"/>
      <c r="K710" s="3"/>
    </row>
    <row r="711" spans="1:11" s="71" customFormat="1">
      <c r="A711" s="87"/>
      <c r="B711" s="30"/>
      <c r="C711" s="70"/>
      <c r="G711" s="30"/>
      <c r="H711" s="77"/>
      <c r="I711" s="77"/>
      <c r="J711" s="58"/>
      <c r="K711" s="3"/>
    </row>
    <row r="712" spans="1:11" s="71" customFormat="1">
      <c r="A712" s="87"/>
      <c r="B712" s="30"/>
      <c r="C712" s="70"/>
      <c r="G712" s="30"/>
      <c r="H712" s="77"/>
      <c r="I712" s="77"/>
      <c r="J712" s="58"/>
      <c r="K712" s="3"/>
    </row>
    <row r="713" spans="1:11" s="71" customFormat="1">
      <c r="A713" s="87"/>
      <c r="B713" s="30"/>
      <c r="C713" s="70"/>
      <c r="G713" s="30"/>
      <c r="H713" s="77"/>
      <c r="I713" s="77"/>
      <c r="J713" s="58"/>
      <c r="K713" s="3"/>
    </row>
    <row r="714" spans="1:11" s="71" customFormat="1">
      <c r="A714" s="87"/>
      <c r="B714" s="30"/>
      <c r="C714" s="70"/>
      <c r="G714" s="30"/>
      <c r="H714" s="77"/>
      <c r="I714" s="77"/>
      <c r="J714" s="58"/>
      <c r="K714" s="3"/>
    </row>
    <row r="715" spans="1:11" s="71" customFormat="1">
      <c r="A715" s="87"/>
      <c r="B715" s="30"/>
      <c r="C715" s="70"/>
      <c r="G715" s="30"/>
      <c r="H715" s="77"/>
      <c r="I715" s="77"/>
      <c r="J715" s="58"/>
      <c r="K715" s="3"/>
    </row>
    <row r="716" spans="1:11" s="71" customFormat="1">
      <c r="A716" s="87"/>
      <c r="B716" s="30"/>
      <c r="C716" s="70"/>
      <c r="G716" s="30"/>
      <c r="H716" s="77"/>
      <c r="I716" s="77"/>
      <c r="J716" s="58"/>
      <c r="K716" s="3"/>
    </row>
    <row r="717" spans="1:11" s="71" customFormat="1">
      <c r="A717" s="87"/>
      <c r="B717" s="30"/>
      <c r="C717" s="70"/>
      <c r="G717" s="30"/>
      <c r="H717" s="77"/>
      <c r="I717" s="77"/>
      <c r="J717" s="58"/>
      <c r="K717" s="3"/>
    </row>
    <row r="718" spans="1:11" s="71" customFormat="1">
      <c r="A718" s="87"/>
      <c r="B718" s="30"/>
      <c r="C718" s="70"/>
      <c r="G718" s="30"/>
      <c r="H718" s="77"/>
      <c r="I718" s="77"/>
      <c r="J718" s="58"/>
      <c r="K718" s="3"/>
    </row>
    <row r="719" spans="1:11" s="71" customFormat="1">
      <c r="A719" s="87"/>
      <c r="B719" s="30"/>
      <c r="C719" s="70"/>
      <c r="G719" s="30"/>
      <c r="H719" s="77"/>
      <c r="I719" s="77"/>
      <c r="J719" s="58"/>
      <c r="K719" s="3"/>
    </row>
    <row r="720" spans="1:11" s="71" customFormat="1">
      <c r="A720" s="87"/>
      <c r="B720" s="30"/>
      <c r="C720" s="70"/>
      <c r="G720" s="30"/>
      <c r="H720" s="77"/>
      <c r="I720" s="77"/>
      <c r="J720" s="58"/>
      <c r="K720" s="3"/>
    </row>
    <row r="721" spans="1:11" s="71" customFormat="1">
      <c r="A721" s="87"/>
      <c r="B721" s="30"/>
      <c r="C721" s="70"/>
      <c r="G721" s="30"/>
      <c r="H721" s="77"/>
      <c r="I721" s="77"/>
      <c r="J721" s="58"/>
      <c r="K721" s="3"/>
    </row>
    <row r="722" spans="1:11" s="71" customFormat="1">
      <c r="A722" s="87"/>
      <c r="B722" s="30"/>
      <c r="C722" s="70"/>
      <c r="G722" s="30"/>
      <c r="H722" s="77"/>
      <c r="I722" s="77"/>
      <c r="J722" s="58"/>
      <c r="K722" s="3"/>
    </row>
    <row r="723" spans="1:11" s="71" customFormat="1">
      <c r="A723" s="87"/>
      <c r="B723" s="30"/>
      <c r="C723" s="70"/>
      <c r="G723" s="30"/>
      <c r="H723" s="77"/>
      <c r="I723" s="77"/>
      <c r="J723" s="58"/>
      <c r="K723" s="3"/>
    </row>
    <row r="724" spans="1:11" s="71" customFormat="1">
      <c r="A724" s="87"/>
      <c r="B724" s="30"/>
      <c r="C724" s="70"/>
      <c r="G724" s="30"/>
      <c r="H724" s="77"/>
      <c r="I724" s="77"/>
      <c r="J724" s="58"/>
      <c r="K724" s="3"/>
    </row>
    <row r="725" spans="1:11" s="71" customFormat="1">
      <c r="A725" s="87"/>
      <c r="B725" s="30"/>
      <c r="C725" s="70"/>
      <c r="G725" s="30"/>
      <c r="H725" s="77"/>
      <c r="I725" s="77"/>
      <c r="J725" s="58"/>
      <c r="K725" s="3"/>
    </row>
    <row r="726" spans="1:11" s="71" customFormat="1">
      <c r="A726" s="87"/>
      <c r="B726" s="30"/>
      <c r="C726" s="70"/>
      <c r="G726" s="30"/>
      <c r="H726" s="77"/>
      <c r="I726" s="77"/>
      <c r="J726" s="58"/>
      <c r="K726" s="3"/>
    </row>
    <row r="727" spans="1:11" s="71" customFormat="1">
      <c r="A727" s="87"/>
      <c r="B727" s="30"/>
      <c r="C727" s="70"/>
      <c r="G727" s="30"/>
      <c r="H727" s="77"/>
      <c r="I727" s="77"/>
      <c r="J727" s="58"/>
      <c r="K727" s="3"/>
    </row>
    <row r="728" spans="1:11" s="71" customFormat="1">
      <c r="A728" s="87"/>
      <c r="B728" s="30"/>
      <c r="C728" s="70"/>
      <c r="G728" s="30"/>
      <c r="H728" s="77"/>
      <c r="I728" s="77"/>
      <c r="J728" s="58"/>
      <c r="K728" s="3"/>
    </row>
    <row r="729" spans="1:11" s="71" customFormat="1">
      <c r="A729" s="87"/>
      <c r="B729" s="30"/>
      <c r="C729" s="70"/>
      <c r="G729" s="30"/>
      <c r="H729" s="77"/>
      <c r="I729" s="77"/>
      <c r="J729" s="58"/>
      <c r="K729" s="3"/>
    </row>
    <row r="730" spans="1:11" s="71" customFormat="1">
      <c r="A730" s="87"/>
      <c r="B730" s="30"/>
      <c r="C730" s="70"/>
      <c r="G730" s="30"/>
      <c r="H730" s="77"/>
      <c r="I730" s="77"/>
      <c r="J730" s="58"/>
      <c r="K730" s="3"/>
    </row>
    <row r="731" spans="1:11" s="71" customFormat="1">
      <c r="A731" s="87"/>
      <c r="B731" s="30"/>
      <c r="C731" s="70"/>
      <c r="G731" s="30"/>
      <c r="H731" s="77"/>
      <c r="I731" s="77"/>
      <c r="J731" s="58"/>
      <c r="K731" s="3"/>
    </row>
    <row r="732" spans="1:11" s="71" customFormat="1">
      <c r="A732" s="87"/>
      <c r="B732" s="30"/>
      <c r="C732" s="70"/>
      <c r="G732" s="30"/>
      <c r="H732" s="77"/>
      <c r="I732" s="77"/>
      <c r="J732" s="58"/>
      <c r="K732" s="3"/>
    </row>
    <row r="733" spans="1:11" s="71" customFormat="1">
      <c r="A733" s="87"/>
      <c r="B733" s="30"/>
      <c r="C733" s="70"/>
      <c r="G733" s="30"/>
      <c r="H733" s="77"/>
      <c r="I733" s="77"/>
      <c r="J733" s="58"/>
      <c r="K733" s="3"/>
    </row>
    <row r="734" spans="1:11" s="71" customFormat="1">
      <c r="A734" s="87"/>
      <c r="B734" s="30"/>
      <c r="C734" s="70"/>
      <c r="G734" s="30"/>
      <c r="H734" s="77"/>
      <c r="I734" s="77"/>
      <c r="J734" s="58"/>
      <c r="K734" s="3"/>
    </row>
    <row r="735" spans="1:11" s="71" customFormat="1">
      <c r="A735" s="87"/>
      <c r="B735" s="30"/>
      <c r="C735" s="70"/>
      <c r="G735" s="30"/>
      <c r="H735" s="77"/>
      <c r="I735" s="77"/>
      <c r="J735" s="58"/>
      <c r="K735" s="3"/>
    </row>
    <row r="736" spans="1:11" s="71" customFormat="1">
      <c r="A736" s="87"/>
      <c r="B736" s="30"/>
      <c r="C736" s="70"/>
      <c r="G736" s="30"/>
      <c r="H736" s="77"/>
      <c r="I736" s="77"/>
      <c r="J736" s="58"/>
      <c r="K736" s="3"/>
    </row>
    <row r="737" spans="1:11" s="71" customFormat="1">
      <c r="A737" s="87"/>
      <c r="B737" s="30"/>
      <c r="C737" s="70"/>
      <c r="G737" s="30"/>
      <c r="H737" s="77"/>
      <c r="I737" s="77"/>
      <c r="J737" s="58"/>
      <c r="K737" s="3"/>
    </row>
    <row r="738" spans="1:11" s="71" customFormat="1">
      <c r="A738" s="87"/>
      <c r="B738" s="30"/>
      <c r="C738" s="70"/>
      <c r="G738" s="30"/>
      <c r="H738" s="77"/>
      <c r="I738" s="77"/>
      <c r="J738" s="58"/>
      <c r="K738" s="3"/>
    </row>
    <row r="739" spans="1:11" s="71" customFormat="1">
      <c r="A739" s="87"/>
      <c r="B739" s="30"/>
      <c r="C739" s="70"/>
      <c r="G739" s="30"/>
      <c r="H739" s="77"/>
      <c r="I739" s="77"/>
      <c r="J739" s="58"/>
      <c r="K739" s="3"/>
    </row>
    <row r="740" spans="1:11" s="71" customFormat="1">
      <c r="A740" s="87"/>
      <c r="B740" s="30"/>
      <c r="C740" s="70"/>
      <c r="G740" s="30"/>
      <c r="H740" s="77"/>
      <c r="I740" s="77"/>
      <c r="J740" s="58"/>
      <c r="K740" s="3"/>
    </row>
    <row r="741" spans="1:11" s="71" customFormat="1">
      <c r="A741" s="87"/>
      <c r="B741" s="30"/>
      <c r="C741" s="70"/>
      <c r="G741" s="30"/>
      <c r="H741" s="77"/>
      <c r="I741" s="77"/>
      <c r="J741" s="58"/>
      <c r="K741" s="3"/>
    </row>
    <row r="742" spans="1:11" s="71" customFormat="1">
      <c r="A742" s="87"/>
      <c r="B742" s="30"/>
      <c r="C742" s="70"/>
      <c r="G742" s="30"/>
      <c r="H742" s="77"/>
      <c r="I742" s="77"/>
      <c r="J742" s="58"/>
      <c r="K742" s="3"/>
    </row>
    <row r="743" spans="1:11" s="71" customFormat="1">
      <c r="A743" s="87"/>
      <c r="B743" s="30"/>
      <c r="C743" s="70"/>
      <c r="G743" s="30"/>
      <c r="H743" s="77"/>
      <c r="I743" s="77"/>
      <c r="J743" s="58"/>
      <c r="K743" s="3"/>
    </row>
    <row r="744" spans="1:11" s="71" customFormat="1">
      <c r="A744" s="87"/>
      <c r="B744" s="30"/>
      <c r="C744" s="70"/>
      <c r="G744" s="30"/>
      <c r="H744" s="77"/>
      <c r="I744" s="77"/>
      <c r="J744" s="58"/>
      <c r="K744" s="3"/>
    </row>
    <row r="745" spans="1:11" s="71" customFormat="1">
      <c r="A745" s="87"/>
      <c r="B745" s="30"/>
      <c r="C745" s="70"/>
      <c r="G745" s="30"/>
      <c r="H745" s="77"/>
      <c r="I745" s="77"/>
      <c r="J745" s="58"/>
      <c r="K745" s="3"/>
    </row>
    <row r="746" spans="1:11" s="71" customFormat="1">
      <c r="A746" s="87"/>
      <c r="B746" s="30"/>
      <c r="C746" s="70"/>
      <c r="G746" s="30"/>
      <c r="H746" s="77"/>
      <c r="I746" s="77"/>
      <c r="J746" s="58"/>
      <c r="K746" s="3"/>
    </row>
    <row r="747" spans="1:11" s="71" customFormat="1">
      <c r="A747" s="87"/>
      <c r="B747" s="30"/>
      <c r="C747" s="70"/>
      <c r="G747" s="30"/>
      <c r="H747" s="77"/>
      <c r="I747" s="77"/>
      <c r="J747" s="58"/>
      <c r="K747" s="3"/>
    </row>
    <row r="748" spans="1:11" s="71" customFormat="1">
      <c r="A748" s="87"/>
      <c r="B748" s="30"/>
      <c r="C748" s="70"/>
      <c r="G748" s="30"/>
      <c r="H748" s="77"/>
      <c r="I748" s="77"/>
      <c r="J748" s="58"/>
      <c r="K748" s="3"/>
    </row>
    <row r="749" spans="1:11" s="71" customFormat="1">
      <c r="A749" s="87"/>
      <c r="B749" s="30"/>
      <c r="C749" s="70"/>
      <c r="G749" s="30"/>
      <c r="H749" s="77"/>
      <c r="I749" s="77"/>
      <c r="J749" s="58"/>
      <c r="K749" s="3"/>
    </row>
    <row r="750" spans="1:11" s="71" customFormat="1">
      <c r="A750" s="87"/>
      <c r="B750" s="30"/>
      <c r="C750" s="70"/>
      <c r="G750" s="30"/>
      <c r="H750" s="77"/>
      <c r="I750" s="77"/>
      <c r="J750" s="58"/>
      <c r="K750" s="3"/>
    </row>
    <row r="751" spans="1:11" s="71" customFormat="1">
      <c r="A751" s="87"/>
      <c r="B751" s="30"/>
      <c r="C751" s="70"/>
      <c r="G751" s="30"/>
      <c r="H751" s="77"/>
      <c r="I751" s="77"/>
      <c r="J751" s="58"/>
      <c r="K751" s="3"/>
    </row>
    <row r="752" spans="1:11" s="71" customFormat="1">
      <c r="A752" s="87"/>
      <c r="B752" s="30"/>
      <c r="C752" s="70"/>
      <c r="G752" s="30"/>
      <c r="H752" s="77"/>
      <c r="I752" s="77"/>
      <c r="J752" s="58"/>
      <c r="K752" s="3"/>
    </row>
    <row r="753" spans="1:11" s="71" customFormat="1">
      <c r="A753" s="87"/>
      <c r="B753" s="30"/>
      <c r="C753" s="70"/>
      <c r="G753" s="30"/>
      <c r="H753" s="77"/>
      <c r="I753" s="77"/>
      <c r="J753" s="58"/>
      <c r="K753" s="3"/>
    </row>
    <row r="754" spans="1:11" s="71" customFormat="1">
      <c r="A754" s="87"/>
      <c r="B754" s="30"/>
      <c r="C754" s="70"/>
      <c r="G754" s="30"/>
      <c r="H754" s="77"/>
      <c r="I754" s="77"/>
      <c r="J754" s="58"/>
      <c r="K754" s="3"/>
    </row>
    <row r="755" spans="1:11" s="71" customFormat="1">
      <c r="A755" s="87"/>
      <c r="B755" s="30"/>
      <c r="C755" s="70"/>
      <c r="G755" s="30"/>
      <c r="H755" s="77"/>
      <c r="I755" s="77"/>
      <c r="J755" s="58"/>
      <c r="K755" s="3"/>
    </row>
    <row r="756" spans="1:11" s="71" customFormat="1">
      <c r="A756" s="87"/>
      <c r="B756" s="30"/>
      <c r="C756" s="70"/>
      <c r="G756" s="30"/>
      <c r="H756" s="77"/>
      <c r="I756" s="77"/>
      <c r="J756" s="58"/>
      <c r="K756" s="3"/>
    </row>
    <row r="757" spans="1:11" s="71" customFormat="1">
      <c r="A757" s="87"/>
      <c r="B757" s="30"/>
      <c r="C757" s="70"/>
      <c r="G757" s="30"/>
      <c r="H757" s="77"/>
      <c r="I757" s="77"/>
      <c r="J757" s="58"/>
      <c r="K757" s="3"/>
    </row>
    <row r="758" spans="1:11" s="71" customFormat="1">
      <c r="A758" s="87"/>
      <c r="B758" s="30"/>
      <c r="C758" s="70"/>
      <c r="G758" s="30"/>
      <c r="H758" s="77"/>
      <c r="I758" s="77"/>
      <c r="J758" s="58"/>
      <c r="K758" s="3"/>
    </row>
    <row r="759" spans="1:11" s="71" customFormat="1">
      <c r="A759" s="87"/>
      <c r="B759" s="30"/>
      <c r="C759" s="70"/>
      <c r="G759" s="30"/>
      <c r="H759" s="77"/>
      <c r="I759" s="77"/>
      <c r="J759" s="58"/>
      <c r="K759" s="3"/>
    </row>
    <row r="760" spans="1:11" s="71" customFormat="1">
      <c r="A760" s="87"/>
      <c r="B760" s="30"/>
      <c r="C760" s="70"/>
      <c r="G760" s="30"/>
      <c r="H760" s="77"/>
      <c r="I760" s="77"/>
      <c r="J760" s="58"/>
      <c r="K760" s="3"/>
    </row>
    <row r="761" spans="1:11" s="71" customFormat="1">
      <c r="A761" s="87"/>
      <c r="B761" s="30"/>
      <c r="C761" s="70"/>
      <c r="G761" s="30"/>
      <c r="H761" s="77"/>
      <c r="I761" s="77"/>
      <c r="J761" s="58"/>
      <c r="K761" s="3"/>
    </row>
    <row r="762" spans="1:11" s="71" customFormat="1">
      <c r="A762" s="87"/>
      <c r="B762" s="30"/>
      <c r="C762" s="70"/>
      <c r="G762" s="30"/>
      <c r="H762" s="77"/>
      <c r="I762" s="77"/>
      <c r="J762" s="58"/>
      <c r="K762" s="3"/>
    </row>
    <row r="763" spans="1:11" s="71" customFormat="1">
      <c r="A763" s="87"/>
      <c r="B763" s="30"/>
      <c r="C763" s="70"/>
      <c r="G763" s="30"/>
      <c r="H763" s="77"/>
      <c r="I763" s="77"/>
      <c r="J763" s="58"/>
      <c r="K763" s="3"/>
    </row>
    <row r="764" spans="1:11" s="71" customFormat="1">
      <c r="A764" s="87"/>
      <c r="B764" s="30"/>
      <c r="C764" s="70"/>
      <c r="G764" s="30"/>
      <c r="H764" s="77"/>
      <c r="I764" s="77"/>
      <c r="J764" s="58"/>
      <c r="K764" s="3"/>
    </row>
    <row r="765" spans="1:11" s="71" customFormat="1">
      <c r="A765" s="87"/>
      <c r="B765" s="30"/>
      <c r="C765" s="70"/>
      <c r="G765" s="30"/>
      <c r="H765" s="77"/>
      <c r="I765" s="77"/>
      <c r="J765" s="58"/>
      <c r="K765" s="3"/>
    </row>
    <row r="766" spans="1:11" s="71" customFormat="1">
      <c r="A766" s="87"/>
      <c r="B766" s="30"/>
      <c r="C766" s="70"/>
      <c r="G766" s="30"/>
      <c r="H766" s="77"/>
      <c r="I766" s="77"/>
      <c r="J766" s="58"/>
      <c r="K766" s="3"/>
    </row>
    <row r="767" spans="1:11" s="71" customFormat="1">
      <c r="A767" s="87"/>
      <c r="B767" s="30"/>
      <c r="C767" s="70"/>
      <c r="G767" s="30"/>
      <c r="H767" s="77"/>
      <c r="I767" s="77"/>
      <c r="J767" s="58"/>
      <c r="K767" s="3"/>
    </row>
    <row r="768" spans="1:11" s="71" customFormat="1">
      <c r="A768" s="87"/>
      <c r="B768" s="30"/>
      <c r="C768" s="70"/>
      <c r="G768" s="30"/>
      <c r="H768" s="77"/>
      <c r="I768" s="77"/>
      <c r="J768" s="58"/>
      <c r="K768" s="3"/>
    </row>
    <row r="769" spans="1:11" s="71" customFormat="1">
      <c r="A769" s="87"/>
      <c r="B769" s="30"/>
      <c r="C769" s="70"/>
      <c r="G769" s="30"/>
      <c r="H769" s="77"/>
      <c r="I769" s="77"/>
      <c r="J769" s="58"/>
      <c r="K769" s="3"/>
    </row>
    <row r="770" spans="1:11" s="71" customFormat="1">
      <c r="A770" s="87"/>
      <c r="B770" s="30"/>
      <c r="C770" s="70"/>
      <c r="G770" s="30"/>
      <c r="H770" s="77"/>
      <c r="I770" s="77"/>
      <c r="J770" s="58"/>
      <c r="K770" s="3"/>
    </row>
    <row r="771" spans="1:11" s="71" customFormat="1">
      <c r="A771" s="87"/>
      <c r="B771" s="30"/>
      <c r="C771" s="70"/>
      <c r="G771" s="30"/>
      <c r="H771" s="77"/>
      <c r="I771" s="77"/>
      <c r="J771" s="58"/>
      <c r="K771" s="3"/>
    </row>
    <row r="772" spans="1:11" s="71" customFormat="1">
      <c r="A772" s="87"/>
      <c r="B772" s="30"/>
      <c r="C772" s="70"/>
      <c r="G772" s="30"/>
      <c r="H772" s="77"/>
      <c r="I772" s="77"/>
      <c r="J772" s="58"/>
      <c r="K772" s="3"/>
    </row>
    <row r="773" spans="1:11" s="71" customFormat="1">
      <c r="A773" s="87"/>
      <c r="B773" s="30"/>
      <c r="C773" s="70"/>
      <c r="G773" s="30"/>
      <c r="H773" s="77"/>
      <c r="I773" s="77"/>
      <c r="J773" s="58"/>
      <c r="K773" s="3"/>
    </row>
    <row r="774" spans="1:11" s="71" customFormat="1">
      <c r="A774" s="87"/>
      <c r="B774" s="30"/>
      <c r="C774" s="70"/>
      <c r="G774" s="30"/>
      <c r="H774" s="77"/>
      <c r="I774" s="77"/>
      <c r="J774" s="58"/>
      <c r="K774" s="3"/>
    </row>
    <row r="775" spans="1:11" s="71" customFormat="1">
      <c r="A775" s="87"/>
      <c r="B775" s="30"/>
      <c r="C775" s="70"/>
      <c r="G775" s="30"/>
      <c r="H775" s="77"/>
      <c r="I775" s="77"/>
      <c r="J775" s="58"/>
      <c r="K775" s="3"/>
    </row>
    <row r="776" spans="1:11" s="71" customFormat="1">
      <c r="A776" s="87"/>
      <c r="B776" s="30"/>
      <c r="C776" s="70"/>
      <c r="G776" s="30"/>
      <c r="H776" s="77"/>
      <c r="I776" s="77"/>
      <c r="J776" s="58"/>
      <c r="K776" s="3"/>
    </row>
    <row r="777" spans="1:11" s="71" customFormat="1">
      <c r="A777" s="87"/>
      <c r="B777" s="30"/>
      <c r="C777" s="70"/>
      <c r="G777" s="30"/>
      <c r="H777" s="77"/>
      <c r="I777" s="77"/>
      <c r="J777" s="58"/>
      <c r="K777" s="3"/>
    </row>
    <row r="778" spans="1:11" s="71" customFormat="1">
      <c r="A778" s="87"/>
      <c r="B778" s="30"/>
      <c r="C778" s="70"/>
      <c r="G778" s="30"/>
      <c r="H778" s="77"/>
      <c r="I778" s="77"/>
      <c r="J778" s="58"/>
      <c r="K778" s="3"/>
    </row>
    <row r="779" spans="1:11" s="71" customFormat="1">
      <c r="A779" s="87"/>
      <c r="B779" s="30"/>
      <c r="C779" s="70"/>
      <c r="G779" s="30"/>
      <c r="H779" s="77"/>
      <c r="I779" s="77"/>
      <c r="J779" s="58"/>
      <c r="K779" s="3"/>
    </row>
    <row r="780" spans="1:11" s="71" customFormat="1">
      <c r="A780" s="87"/>
      <c r="B780" s="30"/>
      <c r="C780" s="70"/>
      <c r="G780" s="30"/>
      <c r="H780" s="77"/>
      <c r="I780" s="77"/>
      <c r="J780" s="58"/>
      <c r="K780" s="3"/>
    </row>
    <row r="781" spans="1:11" s="71" customFormat="1">
      <c r="A781" s="87"/>
      <c r="B781" s="30"/>
      <c r="C781" s="70"/>
      <c r="G781" s="30"/>
      <c r="H781" s="77"/>
      <c r="I781" s="77"/>
      <c r="J781" s="58"/>
      <c r="K781" s="3"/>
    </row>
    <row r="782" spans="1:11" s="71" customFormat="1">
      <c r="A782" s="87"/>
      <c r="B782" s="30"/>
      <c r="C782" s="70"/>
      <c r="G782" s="30"/>
      <c r="H782" s="77"/>
      <c r="I782" s="77"/>
      <c r="J782" s="58"/>
      <c r="K782" s="3"/>
    </row>
    <row r="783" spans="1:11" s="71" customFormat="1">
      <c r="A783" s="87"/>
      <c r="B783" s="30"/>
      <c r="C783" s="70"/>
      <c r="G783" s="30"/>
      <c r="H783" s="77"/>
      <c r="I783" s="77"/>
      <c r="J783" s="58"/>
      <c r="K783" s="3"/>
    </row>
    <row r="784" spans="1:11" s="71" customFormat="1">
      <c r="A784" s="87"/>
      <c r="B784" s="30"/>
      <c r="C784" s="70"/>
      <c r="G784" s="30"/>
      <c r="H784" s="77"/>
      <c r="I784" s="77"/>
      <c r="J784" s="58"/>
      <c r="K784" s="3"/>
    </row>
    <row r="785" spans="1:11" s="71" customFormat="1">
      <c r="A785" s="87"/>
      <c r="B785" s="30"/>
      <c r="C785" s="70"/>
      <c r="G785" s="30"/>
      <c r="H785" s="77"/>
      <c r="I785" s="77"/>
      <c r="J785" s="58"/>
      <c r="K785" s="3"/>
    </row>
    <row r="786" spans="1:11" s="71" customFormat="1">
      <c r="A786" s="87"/>
      <c r="B786" s="30"/>
      <c r="C786" s="70"/>
      <c r="G786" s="30"/>
      <c r="H786" s="77"/>
      <c r="I786" s="77"/>
      <c r="J786" s="58"/>
      <c r="K786" s="3"/>
    </row>
    <row r="787" spans="1:11" s="71" customFormat="1">
      <c r="A787" s="87"/>
      <c r="B787" s="30"/>
      <c r="C787" s="70"/>
      <c r="G787" s="30"/>
      <c r="H787" s="77"/>
      <c r="I787" s="77"/>
      <c r="J787" s="58"/>
      <c r="K787" s="3"/>
    </row>
    <row r="788" spans="1:11" s="71" customFormat="1">
      <c r="A788" s="87"/>
      <c r="B788" s="30"/>
      <c r="C788" s="70"/>
      <c r="G788" s="30"/>
      <c r="H788" s="77"/>
      <c r="I788" s="77"/>
      <c r="J788" s="58"/>
      <c r="K788" s="3"/>
    </row>
    <row r="789" spans="1:11" s="71" customFormat="1">
      <c r="A789" s="87"/>
      <c r="B789" s="30"/>
      <c r="C789" s="70"/>
      <c r="G789" s="30"/>
      <c r="H789" s="77"/>
      <c r="I789" s="77"/>
      <c r="J789" s="58"/>
      <c r="K789" s="3"/>
    </row>
    <row r="790" spans="1:11" s="71" customFormat="1">
      <c r="A790" s="87"/>
      <c r="B790" s="30"/>
      <c r="C790" s="70"/>
      <c r="G790" s="30"/>
      <c r="H790" s="77"/>
      <c r="I790" s="77"/>
      <c r="J790" s="58"/>
      <c r="K790" s="3"/>
    </row>
    <row r="791" spans="1:11" s="71" customFormat="1">
      <c r="A791" s="87"/>
      <c r="B791" s="30"/>
      <c r="C791" s="70"/>
      <c r="G791" s="30"/>
      <c r="H791" s="77"/>
      <c r="I791" s="77"/>
      <c r="J791" s="58"/>
      <c r="K791" s="3"/>
    </row>
    <row r="792" spans="1:11" s="71" customFormat="1">
      <c r="A792" s="87"/>
      <c r="B792" s="30"/>
      <c r="C792" s="70"/>
      <c r="G792" s="30"/>
      <c r="H792" s="77"/>
      <c r="I792" s="77"/>
      <c r="J792" s="58"/>
      <c r="K792" s="3"/>
    </row>
    <row r="793" spans="1:11" s="71" customFormat="1">
      <c r="A793" s="87"/>
      <c r="B793" s="30"/>
      <c r="C793" s="70"/>
      <c r="G793" s="30"/>
      <c r="H793" s="77"/>
      <c r="I793" s="77"/>
      <c r="J793" s="58"/>
      <c r="K793" s="3"/>
    </row>
    <row r="794" spans="1:11" s="71" customFormat="1">
      <c r="A794" s="87"/>
      <c r="B794" s="30"/>
      <c r="C794" s="70"/>
      <c r="G794" s="30"/>
      <c r="H794" s="77"/>
      <c r="I794" s="77"/>
      <c r="J794" s="58"/>
      <c r="K794" s="3"/>
    </row>
    <row r="795" spans="1:11" s="71" customFormat="1">
      <c r="A795" s="87"/>
      <c r="B795" s="30"/>
      <c r="C795" s="70"/>
      <c r="G795" s="30"/>
      <c r="H795" s="77"/>
      <c r="I795" s="77"/>
      <c r="J795" s="58"/>
      <c r="K795" s="3"/>
    </row>
    <row r="796" spans="1:11" s="71" customFormat="1">
      <c r="A796" s="87"/>
      <c r="B796" s="30"/>
      <c r="C796" s="70"/>
      <c r="G796" s="30"/>
      <c r="H796" s="77"/>
      <c r="I796" s="77"/>
      <c r="J796" s="58"/>
      <c r="K796" s="3"/>
    </row>
    <row r="797" spans="1:11" s="71" customFormat="1">
      <c r="A797" s="87"/>
      <c r="B797" s="30"/>
      <c r="C797" s="70"/>
      <c r="G797" s="30"/>
      <c r="H797" s="77"/>
      <c r="I797" s="77"/>
      <c r="J797" s="58"/>
      <c r="K797" s="3"/>
    </row>
    <row r="798" spans="1:11" s="71" customFormat="1">
      <c r="A798" s="87"/>
      <c r="B798" s="30"/>
      <c r="C798" s="70"/>
      <c r="G798" s="30"/>
      <c r="H798" s="77"/>
      <c r="I798" s="77"/>
      <c r="J798" s="58"/>
      <c r="K798" s="3"/>
    </row>
    <row r="799" spans="1:11" s="71" customFormat="1">
      <c r="A799" s="87"/>
      <c r="B799" s="30"/>
      <c r="C799" s="70"/>
      <c r="G799" s="30"/>
      <c r="H799" s="77"/>
      <c r="I799" s="77"/>
      <c r="J799" s="58"/>
      <c r="K799" s="3"/>
    </row>
    <row r="800" spans="1:11" s="71" customFormat="1">
      <c r="A800" s="87"/>
      <c r="B800" s="30"/>
      <c r="C800" s="70"/>
      <c r="G800" s="30"/>
      <c r="H800" s="77"/>
      <c r="I800" s="77"/>
      <c r="J800" s="58"/>
      <c r="K800" s="3"/>
    </row>
    <row r="801" spans="1:11" s="71" customFormat="1">
      <c r="A801" s="87"/>
      <c r="B801" s="30"/>
      <c r="C801" s="70"/>
      <c r="G801" s="30"/>
      <c r="H801" s="77"/>
      <c r="I801" s="77"/>
      <c r="J801" s="58"/>
      <c r="K801" s="3"/>
    </row>
    <row r="802" spans="1:11" s="71" customFormat="1">
      <c r="A802" s="87"/>
      <c r="B802" s="30"/>
      <c r="C802" s="70"/>
      <c r="G802" s="30"/>
      <c r="H802" s="77"/>
      <c r="I802" s="77"/>
      <c r="J802" s="58"/>
      <c r="K802" s="3"/>
    </row>
    <row r="803" spans="1:11" s="71" customFormat="1">
      <c r="A803" s="87"/>
      <c r="B803" s="30"/>
      <c r="C803" s="70"/>
      <c r="G803" s="30"/>
      <c r="H803" s="77"/>
      <c r="I803" s="77"/>
      <c r="J803" s="58"/>
      <c r="K803" s="3"/>
    </row>
    <row r="804" spans="1:11" s="71" customFormat="1">
      <c r="A804" s="87"/>
      <c r="B804" s="30"/>
      <c r="C804" s="70"/>
      <c r="G804" s="30"/>
      <c r="H804" s="77"/>
      <c r="I804" s="77"/>
      <c r="J804" s="58"/>
      <c r="K804" s="3"/>
    </row>
    <row r="805" spans="1:11" s="71" customFormat="1">
      <c r="A805" s="87"/>
      <c r="B805" s="30"/>
      <c r="C805" s="70"/>
      <c r="G805" s="30"/>
      <c r="H805" s="77"/>
      <c r="I805" s="77"/>
      <c r="J805" s="58"/>
      <c r="K805" s="3"/>
    </row>
    <row r="806" spans="1:11" s="71" customFormat="1">
      <c r="A806" s="87"/>
      <c r="B806" s="30"/>
      <c r="C806" s="70"/>
      <c r="G806" s="30"/>
      <c r="H806" s="77"/>
      <c r="I806" s="77"/>
      <c r="J806" s="58"/>
      <c r="K806" s="3"/>
    </row>
    <row r="807" spans="1:11" s="71" customFormat="1">
      <c r="A807" s="87"/>
      <c r="B807" s="30"/>
      <c r="C807" s="70"/>
      <c r="G807" s="30"/>
      <c r="H807" s="77"/>
      <c r="I807" s="77"/>
      <c r="J807" s="58"/>
      <c r="K807" s="3"/>
    </row>
    <row r="808" spans="1:11" s="71" customFormat="1">
      <c r="A808" s="87"/>
      <c r="B808" s="30"/>
      <c r="C808" s="70"/>
      <c r="G808" s="30"/>
      <c r="H808" s="77"/>
      <c r="I808" s="77"/>
      <c r="J808" s="58"/>
      <c r="K808" s="3"/>
    </row>
    <row r="809" spans="1:11" s="71" customFormat="1">
      <c r="A809" s="87"/>
      <c r="B809" s="30"/>
      <c r="C809" s="70"/>
      <c r="G809" s="30"/>
      <c r="H809" s="77"/>
      <c r="I809" s="77"/>
      <c r="J809" s="58"/>
      <c r="K809" s="3"/>
    </row>
    <row r="810" spans="1:11" s="71" customFormat="1">
      <c r="A810" s="87"/>
      <c r="B810" s="30"/>
      <c r="C810" s="70"/>
      <c r="G810" s="30"/>
      <c r="H810" s="77"/>
      <c r="I810" s="77"/>
      <c r="J810" s="58"/>
      <c r="K810" s="3"/>
    </row>
    <row r="811" spans="1:11" s="71" customFormat="1">
      <c r="A811" s="87"/>
      <c r="B811" s="30"/>
      <c r="C811" s="70"/>
      <c r="G811" s="30"/>
      <c r="H811" s="77"/>
      <c r="I811" s="77"/>
      <c r="J811" s="58"/>
      <c r="K811" s="3"/>
    </row>
    <row r="812" spans="1:11" s="71" customFormat="1">
      <c r="A812" s="87"/>
      <c r="B812" s="30"/>
      <c r="C812" s="70"/>
      <c r="G812" s="30"/>
      <c r="H812" s="77"/>
      <c r="I812" s="77"/>
      <c r="J812" s="58"/>
      <c r="K812" s="3"/>
    </row>
    <row r="813" spans="1:11" s="71" customFormat="1">
      <c r="A813" s="87"/>
      <c r="B813" s="30"/>
      <c r="C813" s="70"/>
      <c r="G813" s="30"/>
      <c r="H813" s="77"/>
      <c r="I813" s="77"/>
      <c r="J813" s="58"/>
      <c r="K813" s="3"/>
    </row>
    <row r="814" spans="1:11" s="71" customFormat="1">
      <c r="A814" s="87"/>
      <c r="B814" s="30"/>
      <c r="C814" s="70"/>
      <c r="G814" s="30"/>
      <c r="H814" s="77"/>
      <c r="I814" s="77"/>
      <c r="J814" s="58"/>
      <c r="K814" s="3"/>
    </row>
    <row r="815" spans="1:11" s="71" customFormat="1">
      <c r="A815" s="87"/>
      <c r="B815" s="30"/>
      <c r="C815" s="70"/>
      <c r="G815" s="30"/>
      <c r="H815" s="77"/>
      <c r="I815" s="77"/>
      <c r="J815" s="58"/>
      <c r="K815" s="3"/>
    </row>
    <row r="816" spans="1:11" s="71" customFormat="1">
      <c r="A816" s="87"/>
      <c r="B816" s="30"/>
      <c r="C816" s="70"/>
      <c r="G816" s="30"/>
      <c r="H816" s="77"/>
      <c r="I816" s="77"/>
      <c r="J816" s="58"/>
      <c r="K816" s="3"/>
    </row>
    <row r="817" spans="1:11" s="71" customFormat="1">
      <c r="A817" s="87"/>
      <c r="B817" s="30"/>
      <c r="C817" s="70"/>
      <c r="G817" s="30"/>
      <c r="H817" s="77"/>
      <c r="I817" s="77"/>
      <c r="J817" s="58"/>
      <c r="K817" s="3"/>
    </row>
    <row r="818" spans="1:11" s="71" customFormat="1">
      <c r="A818" s="87"/>
      <c r="B818" s="30"/>
      <c r="C818" s="70"/>
      <c r="G818" s="30"/>
      <c r="H818" s="77"/>
      <c r="I818" s="77"/>
      <c r="J818" s="58"/>
      <c r="K818" s="3"/>
    </row>
    <row r="819" spans="1:11" s="71" customFormat="1">
      <c r="A819" s="87"/>
      <c r="B819" s="30"/>
      <c r="C819" s="70"/>
      <c r="G819" s="30"/>
      <c r="H819" s="77"/>
      <c r="I819" s="77"/>
      <c r="J819" s="58"/>
      <c r="K819" s="3"/>
    </row>
    <row r="820" spans="1:11" s="71" customFormat="1">
      <c r="A820" s="87"/>
      <c r="B820" s="30"/>
      <c r="C820" s="70"/>
      <c r="G820" s="30"/>
      <c r="H820" s="77"/>
      <c r="I820" s="77"/>
      <c r="J820" s="58"/>
      <c r="K820" s="3"/>
    </row>
    <row r="821" spans="1:11" s="71" customFormat="1">
      <c r="A821" s="87"/>
      <c r="B821" s="30"/>
      <c r="C821" s="70"/>
      <c r="G821" s="30"/>
      <c r="H821" s="77"/>
      <c r="I821" s="77"/>
      <c r="J821" s="58"/>
      <c r="K821" s="3"/>
    </row>
    <row r="822" spans="1:11" s="71" customFormat="1">
      <c r="A822" s="87"/>
      <c r="B822" s="30"/>
      <c r="C822" s="70"/>
      <c r="G822" s="30"/>
      <c r="H822" s="77"/>
      <c r="I822" s="77"/>
      <c r="J822" s="58"/>
      <c r="K822" s="3"/>
    </row>
    <row r="823" spans="1:11" s="71" customFormat="1">
      <c r="A823" s="87"/>
      <c r="B823" s="30"/>
      <c r="C823" s="70"/>
      <c r="G823" s="30"/>
      <c r="H823" s="77"/>
      <c r="I823" s="77"/>
      <c r="J823" s="58"/>
      <c r="K823" s="3"/>
    </row>
    <row r="824" spans="1:11" s="71" customFormat="1">
      <c r="A824" s="87"/>
      <c r="B824" s="30"/>
      <c r="C824" s="70"/>
      <c r="G824" s="30"/>
      <c r="H824" s="77"/>
      <c r="I824" s="77"/>
      <c r="J824" s="58"/>
      <c r="K824" s="3"/>
    </row>
    <row r="825" spans="1:11" s="71" customFormat="1">
      <c r="A825" s="87"/>
      <c r="B825" s="30"/>
      <c r="C825" s="70"/>
      <c r="G825" s="30"/>
      <c r="H825" s="77"/>
      <c r="I825" s="77"/>
      <c r="J825" s="58"/>
      <c r="K825" s="3"/>
    </row>
    <row r="826" spans="1:11" s="71" customFormat="1">
      <c r="A826" s="87"/>
      <c r="B826" s="30"/>
      <c r="C826" s="70"/>
      <c r="G826" s="30"/>
      <c r="H826" s="77"/>
      <c r="I826" s="77"/>
      <c r="J826" s="58"/>
      <c r="K826" s="3"/>
    </row>
    <row r="827" spans="1:11" s="71" customFormat="1">
      <c r="A827" s="87"/>
      <c r="B827" s="30"/>
      <c r="C827" s="70"/>
      <c r="G827" s="30"/>
      <c r="H827" s="77"/>
      <c r="I827" s="77"/>
      <c r="J827" s="58"/>
      <c r="K827" s="3"/>
    </row>
    <row r="828" spans="1:11" s="71" customFormat="1">
      <c r="A828" s="87"/>
      <c r="B828" s="30"/>
      <c r="C828" s="70"/>
      <c r="G828" s="30"/>
      <c r="H828" s="77"/>
      <c r="I828" s="77"/>
      <c r="J828" s="58"/>
      <c r="K828" s="3"/>
    </row>
    <row r="829" spans="1:11" s="71" customFormat="1">
      <c r="A829" s="87"/>
      <c r="B829" s="30"/>
      <c r="C829" s="70"/>
      <c r="G829" s="30"/>
      <c r="H829" s="77"/>
      <c r="I829" s="77"/>
      <c r="J829" s="58"/>
      <c r="K829" s="3"/>
    </row>
    <row r="830" spans="1:11" s="71" customFormat="1">
      <c r="A830" s="87"/>
      <c r="B830" s="30"/>
      <c r="C830" s="70"/>
      <c r="G830" s="30"/>
      <c r="H830" s="77"/>
      <c r="I830" s="77"/>
      <c r="J830" s="58"/>
      <c r="K830" s="3"/>
    </row>
    <row r="831" spans="1:11" s="71" customFormat="1">
      <c r="A831" s="87"/>
      <c r="B831" s="30"/>
      <c r="C831" s="70"/>
      <c r="G831" s="30"/>
      <c r="H831" s="77"/>
      <c r="I831" s="77"/>
      <c r="J831" s="58"/>
      <c r="K831" s="3"/>
    </row>
    <row r="832" spans="1:11" s="71" customFormat="1">
      <c r="A832" s="87"/>
      <c r="B832" s="30"/>
      <c r="C832" s="70"/>
      <c r="G832" s="30"/>
      <c r="H832" s="77"/>
      <c r="I832" s="77"/>
      <c r="J832" s="58"/>
      <c r="K832" s="3"/>
    </row>
    <row r="833" spans="1:11" s="71" customFormat="1">
      <c r="A833" s="87"/>
      <c r="B833" s="30"/>
      <c r="C833" s="70"/>
      <c r="G833" s="30"/>
      <c r="H833" s="77"/>
      <c r="I833" s="77"/>
      <c r="J833" s="58"/>
      <c r="K833" s="3"/>
    </row>
    <row r="834" spans="1:11" s="71" customFormat="1">
      <c r="A834" s="87"/>
      <c r="B834" s="30"/>
      <c r="C834" s="70"/>
      <c r="G834" s="30"/>
      <c r="H834" s="77"/>
      <c r="I834" s="77"/>
      <c r="J834" s="58"/>
      <c r="K834" s="3"/>
    </row>
    <row r="835" spans="1:11" s="71" customFormat="1">
      <c r="A835" s="87"/>
      <c r="B835" s="30"/>
      <c r="C835" s="70"/>
      <c r="G835" s="30"/>
      <c r="H835" s="77"/>
      <c r="I835" s="77"/>
      <c r="J835" s="58"/>
      <c r="K835" s="3"/>
    </row>
    <row r="836" spans="1:11" s="71" customFormat="1">
      <c r="A836" s="87"/>
      <c r="B836" s="30"/>
      <c r="C836" s="70"/>
      <c r="G836" s="30"/>
      <c r="H836" s="77"/>
      <c r="I836" s="77"/>
      <c r="J836" s="58"/>
      <c r="K836" s="3"/>
    </row>
    <row r="837" spans="1:11" s="71" customFormat="1">
      <c r="A837" s="87"/>
      <c r="B837" s="30"/>
      <c r="C837" s="70"/>
      <c r="G837" s="30"/>
      <c r="H837" s="77"/>
      <c r="I837" s="77"/>
      <c r="J837" s="58"/>
      <c r="K837" s="3"/>
    </row>
    <row r="838" spans="1:11" s="71" customFormat="1">
      <c r="A838" s="87"/>
      <c r="B838" s="30"/>
      <c r="C838" s="70"/>
      <c r="G838" s="30"/>
      <c r="H838" s="77"/>
      <c r="I838" s="77"/>
      <c r="J838" s="58"/>
      <c r="K838" s="3"/>
    </row>
    <row r="839" spans="1:11" s="71" customFormat="1">
      <c r="A839" s="87"/>
      <c r="B839" s="30"/>
      <c r="C839" s="70"/>
      <c r="G839" s="30"/>
      <c r="H839" s="77"/>
      <c r="I839" s="77"/>
      <c r="J839" s="58"/>
      <c r="K839" s="3"/>
    </row>
    <row r="840" spans="1:11" s="71" customFormat="1">
      <c r="A840" s="87"/>
      <c r="B840" s="30"/>
      <c r="C840" s="70"/>
      <c r="G840" s="30"/>
      <c r="H840" s="77"/>
      <c r="I840" s="77"/>
      <c r="J840" s="58"/>
      <c r="K840" s="3"/>
    </row>
    <row r="841" spans="1:11" s="71" customFormat="1">
      <c r="A841" s="87"/>
      <c r="B841" s="30"/>
      <c r="C841" s="70"/>
      <c r="G841" s="30"/>
      <c r="H841" s="77"/>
      <c r="I841" s="77"/>
      <c r="J841" s="58"/>
      <c r="K841" s="3"/>
    </row>
    <row r="842" spans="1:11" s="71" customFormat="1">
      <c r="A842" s="87"/>
      <c r="B842" s="30"/>
      <c r="C842" s="70"/>
      <c r="G842" s="30"/>
      <c r="H842" s="77"/>
      <c r="I842" s="77"/>
      <c r="J842" s="58"/>
      <c r="K842" s="3"/>
    </row>
    <row r="843" spans="1:11" s="71" customFormat="1">
      <c r="A843" s="87"/>
      <c r="B843" s="30"/>
      <c r="C843" s="70"/>
      <c r="G843" s="30"/>
      <c r="H843" s="77"/>
      <c r="I843" s="77"/>
      <c r="J843" s="58"/>
      <c r="K843" s="3"/>
    </row>
    <row r="844" spans="1:11" s="71" customFormat="1">
      <c r="A844" s="87"/>
      <c r="B844" s="30"/>
      <c r="C844" s="70"/>
      <c r="G844" s="30"/>
      <c r="H844" s="77"/>
      <c r="I844" s="77"/>
      <c r="J844" s="58"/>
      <c r="K844" s="3"/>
    </row>
    <row r="845" spans="1:11" s="71" customFormat="1">
      <c r="A845" s="87"/>
      <c r="B845" s="30"/>
      <c r="C845" s="70"/>
      <c r="G845" s="30"/>
      <c r="H845" s="77"/>
      <c r="I845" s="77"/>
      <c r="J845" s="58"/>
      <c r="K845" s="3"/>
    </row>
    <row r="846" spans="1:11" s="71" customFormat="1">
      <c r="A846" s="87"/>
      <c r="B846" s="30"/>
      <c r="C846" s="70"/>
      <c r="G846" s="30"/>
      <c r="H846" s="77"/>
      <c r="I846" s="77"/>
      <c r="J846" s="58"/>
      <c r="K846" s="3"/>
    </row>
    <row r="847" spans="1:11" s="71" customFormat="1">
      <c r="A847" s="87"/>
      <c r="B847" s="30"/>
      <c r="C847" s="70"/>
      <c r="G847" s="30"/>
      <c r="H847" s="77"/>
      <c r="I847" s="77"/>
      <c r="J847" s="58"/>
      <c r="K847" s="3"/>
    </row>
    <row r="848" spans="1:11" s="71" customFormat="1">
      <c r="A848" s="87"/>
      <c r="B848" s="30"/>
      <c r="C848" s="70"/>
      <c r="G848" s="30"/>
      <c r="H848" s="77"/>
      <c r="I848" s="77"/>
      <c r="J848" s="58"/>
      <c r="K848" s="3"/>
    </row>
    <row r="849" spans="1:11" s="71" customFormat="1">
      <c r="A849" s="87"/>
      <c r="B849" s="30"/>
      <c r="C849" s="70"/>
      <c r="G849" s="30"/>
      <c r="H849" s="77"/>
      <c r="I849" s="77"/>
      <c r="J849" s="58"/>
      <c r="K849" s="3"/>
    </row>
    <row r="850" spans="1:11" s="71" customFormat="1">
      <c r="A850" s="87"/>
      <c r="B850" s="30"/>
      <c r="C850" s="70"/>
      <c r="G850" s="30"/>
      <c r="H850" s="77"/>
      <c r="I850" s="77"/>
      <c r="J850" s="58"/>
      <c r="K850" s="3"/>
    </row>
    <row r="851" spans="1:11" s="71" customFormat="1">
      <c r="A851" s="87"/>
      <c r="B851" s="30"/>
      <c r="C851" s="70"/>
      <c r="G851" s="30"/>
      <c r="H851" s="77"/>
      <c r="I851" s="77"/>
      <c r="J851" s="58"/>
      <c r="K851" s="3"/>
    </row>
    <row r="852" spans="1:11" s="71" customFormat="1">
      <c r="A852" s="87"/>
      <c r="B852" s="30"/>
      <c r="C852" s="70"/>
      <c r="G852" s="30"/>
      <c r="H852" s="77"/>
      <c r="I852" s="77"/>
      <c r="J852" s="58"/>
      <c r="K852" s="3"/>
    </row>
    <row r="853" spans="1:11" s="71" customFormat="1">
      <c r="A853" s="87"/>
      <c r="B853" s="30"/>
      <c r="C853" s="70"/>
      <c r="G853" s="30"/>
      <c r="H853" s="77"/>
      <c r="I853" s="77"/>
      <c r="J853" s="58"/>
      <c r="K853" s="3"/>
    </row>
    <row r="854" spans="1:11" s="71" customFormat="1">
      <c r="A854" s="87"/>
      <c r="B854" s="30"/>
      <c r="C854" s="70"/>
      <c r="G854" s="30"/>
      <c r="H854" s="77"/>
      <c r="I854" s="77"/>
      <c r="J854" s="58"/>
      <c r="K854" s="3"/>
    </row>
    <row r="855" spans="1:11" s="71" customFormat="1">
      <c r="A855" s="87"/>
      <c r="B855" s="30"/>
      <c r="C855" s="70"/>
      <c r="G855" s="30"/>
      <c r="H855" s="77"/>
      <c r="I855" s="77"/>
      <c r="J855" s="58"/>
      <c r="K855" s="3"/>
    </row>
    <row r="856" spans="1:11" s="71" customFormat="1">
      <c r="A856" s="87"/>
      <c r="B856" s="30"/>
      <c r="C856" s="70"/>
      <c r="G856" s="30"/>
      <c r="H856" s="77"/>
      <c r="I856" s="77"/>
      <c r="J856" s="58"/>
      <c r="K856" s="3"/>
    </row>
    <row r="857" spans="1:11" s="71" customFormat="1">
      <c r="A857" s="87"/>
      <c r="B857" s="30"/>
      <c r="C857" s="70"/>
      <c r="G857" s="30"/>
      <c r="H857" s="77"/>
      <c r="I857" s="77"/>
      <c r="J857" s="58"/>
      <c r="K857" s="3"/>
    </row>
    <row r="858" spans="1:11" s="71" customFormat="1">
      <c r="A858" s="87"/>
      <c r="B858" s="30"/>
      <c r="C858" s="70"/>
      <c r="G858" s="30"/>
      <c r="H858" s="77"/>
      <c r="I858" s="77"/>
      <c r="J858" s="58"/>
      <c r="K858" s="3"/>
    </row>
    <row r="859" spans="1:11" s="71" customFormat="1">
      <c r="A859" s="87"/>
      <c r="B859" s="30"/>
      <c r="C859" s="70"/>
      <c r="G859" s="30"/>
      <c r="H859" s="77"/>
      <c r="I859" s="77"/>
      <c r="J859" s="58"/>
      <c r="K859" s="3"/>
    </row>
    <row r="860" spans="1:11" s="71" customFormat="1">
      <c r="A860" s="87"/>
      <c r="B860" s="30"/>
      <c r="C860" s="70"/>
      <c r="G860" s="30"/>
      <c r="H860" s="77"/>
      <c r="I860" s="77"/>
      <c r="J860" s="58"/>
      <c r="K860" s="3"/>
    </row>
    <row r="861" spans="1:11" s="71" customFormat="1">
      <c r="A861" s="87"/>
      <c r="B861" s="30"/>
      <c r="C861" s="70"/>
      <c r="G861" s="30"/>
      <c r="H861" s="77"/>
      <c r="I861" s="77"/>
      <c r="J861" s="58"/>
      <c r="K861" s="3"/>
    </row>
    <row r="862" spans="1:11" s="71" customFormat="1">
      <c r="A862" s="87"/>
      <c r="B862" s="30"/>
      <c r="C862" s="70"/>
      <c r="G862" s="30"/>
      <c r="H862" s="77"/>
      <c r="I862" s="77"/>
      <c r="J862" s="58"/>
      <c r="K862" s="3"/>
    </row>
    <row r="863" spans="1:11" s="71" customFormat="1">
      <c r="A863" s="87"/>
      <c r="B863" s="30"/>
      <c r="C863" s="70"/>
      <c r="G863" s="30"/>
      <c r="H863" s="77"/>
      <c r="I863" s="77"/>
      <c r="J863" s="58"/>
      <c r="K863" s="3"/>
    </row>
    <row r="864" spans="1:11" s="71" customFormat="1">
      <c r="A864" s="87"/>
      <c r="B864" s="30"/>
      <c r="C864" s="70"/>
      <c r="G864" s="30"/>
      <c r="H864" s="77"/>
      <c r="I864" s="77"/>
      <c r="J864" s="58"/>
      <c r="K864" s="3"/>
    </row>
    <row r="865" spans="1:11" s="71" customFormat="1">
      <c r="A865" s="87"/>
      <c r="B865" s="30"/>
      <c r="C865" s="70"/>
      <c r="G865" s="30"/>
      <c r="H865" s="77"/>
      <c r="I865" s="77"/>
      <c r="J865" s="58"/>
      <c r="K865" s="3"/>
    </row>
    <row r="866" spans="1:11" s="71" customFormat="1">
      <c r="A866" s="87"/>
      <c r="B866" s="30"/>
      <c r="C866" s="70"/>
      <c r="G866" s="30"/>
      <c r="H866" s="77"/>
      <c r="I866" s="77"/>
      <c r="J866" s="58"/>
      <c r="K866" s="3"/>
    </row>
    <row r="867" spans="1:11" s="71" customFormat="1">
      <c r="A867" s="87"/>
      <c r="B867" s="30"/>
      <c r="C867" s="70"/>
      <c r="G867" s="30"/>
      <c r="H867" s="77"/>
      <c r="I867" s="77"/>
      <c r="J867" s="58"/>
      <c r="K867" s="3"/>
    </row>
    <row r="868" spans="1:11" s="71" customFormat="1">
      <c r="A868" s="87"/>
      <c r="B868" s="30"/>
      <c r="C868" s="70"/>
      <c r="G868" s="30"/>
      <c r="H868" s="77"/>
      <c r="I868" s="77"/>
      <c r="J868" s="58"/>
      <c r="K868" s="3"/>
    </row>
    <row r="869" spans="1:11" s="71" customFormat="1">
      <c r="A869" s="87"/>
      <c r="B869" s="30"/>
      <c r="C869" s="70"/>
      <c r="G869" s="30"/>
      <c r="H869" s="77"/>
      <c r="I869" s="77"/>
      <c r="J869" s="58"/>
      <c r="K869" s="3"/>
    </row>
    <row r="870" spans="1:11" s="71" customFormat="1">
      <c r="A870" s="87"/>
      <c r="B870" s="30"/>
      <c r="C870" s="70"/>
      <c r="G870" s="30"/>
      <c r="H870" s="77"/>
      <c r="I870" s="77"/>
      <c r="J870" s="58"/>
      <c r="K870" s="3"/>
    </row>
    <row r="871" spans="1:11" s="71" customFormat="1">
      <c r="A871" s="87"/>
      <c r="B871" s="30"/>
      <c r="C871" s="70"/>
      <c r="G871" s="30"/>
      <c r="H871" s="77"/>
      <c r="I871" s="77"/>
      <c r="J871" s="58"/>
      <c r="K871" s="3"/>
    </row>
    <row r="872" spans="1:11" s="71" customFormat="1">
      <c r="A872" s="87"/>
      <c r="B872" s="30"/>
      <c r="C872" s="70"/>
      <c r="G872" s="30"/>
      <c r="H872" s="77"/>
      <c r="I872" s="77"/>
      <c r="J872" s="58"/>
      <c r="K872" s="3"/>
    </row>
    <row r="873" spans="1:11" s="71" customFormat="1">
      <c r="A873" s="87"/>
      <c r="B873" s="30"/>
      <c r="C873" s="70"/>
      <c r="G873" s="30"/>
      <c r="H873" s="77"/>
      <c r="I873" s="77"/>
      <c r="J873" s="58"/>
      <c r="K873" s="3"/>
    </row>
    <row r="874" spans="1:11" s="71" customFormat="1">
      <c r="A874" s="87"/>
      <c r="B874" s="30"/>
      <c r="C874" s="70"/>
      <c r="G874" s="30"/>
      <c r="H874" s="77"/>
      <c r="I874" s="77"/>
      <c r="J874" s="58"/>
      <c r="K874" s="3"/>
    </row>
    <row r="875" spans="1:11" s="71" customFormat="1">
      <c r="A875" s="87"/>
      <c r="B875" s="30"/>
      <c r="C875" s="70"/>
      <c r="G875" s="30"/>
      <c r="H875" s="77"/>
      <c r="I875" s="77"/>
      <c r="J875" s="58"/>
      <c r="K875" s="3"/>
    </row>
    <row r="876" spans="1:11" s="71" customFormat="1">
      <c r="A876" s="87"/>
      <c r="B876" s="30"/>
      <c r="C876" s="70"/>
      <c r="G876" s="30"/>
      <c r="H876" s="77"/>
      <c r="I876" s="77"/>
      <c r="J876" s="58"/>
      <c r="K876" s="3"/>
    </row>
    <row r="877" spans="1:11" s="71" customFormat="1">
      <c r="A877" s="87"/>
      <c r="B877" s="30"/>
      <c r="C877" s="70"/>
      <c r="G877" s="30"/>
      <c r="H877" s="77"/>
      <c r="I877" s="77"/>
      <c r="J877" s="58"/>
      <c r="K877" s="3"/>
    </row>
    <row r="878" spans="1:11" s="71" customFormat="1">
      <c r="A878" s="87"/>
      <c r="B878" s="30"/>
      <c r="C878" s="70"/>
      <c r="G878" s="30"/>
      <c r="H878" s="77"/>
      <c r="I878" s="77"/>
      <c r="J878" s="58"/>
      <c r="K878" s="3"/>
    </row>
    <row r="879" spans="1:11" s="71" customFormat="1">
      <c r="A879" s="87"/>
      <c r="B879" s="30"/>
      <c r="C879" s="70"/>
      <c r="G879" s="30"/>
      <c r="H879" s="77"/>
      <c r="I879" s="77"/>
      <c r="J879" s="58"/>
      <c r="K879" s="3"/>
    </row>
    <row r="880" spans="1:11" s="71" customFormat="1">
      <c r="A880" s="87"/>
      <c r="B880" s="30"/>
      <c r="C880" s="70"/>
      <c r="G880" s="30"/>
      <c r="H880" s="77"/>
      <c r="I880" s="77"/>
      <c r="J880" s="58"/>
      <c r="K880" s="3"/>
    </row>
    <row r="881" spans="1:11" s="71" customFormat="1">
      <c r="A881" s="87"/>
      <c r="B881" s="30"/>
      <c r="C881" s="70"/>
      <c r="G881" s="30"/>
      <c r="H881" s="77"/>
      <c r="I881" s="77"/>
      <c r="J881" s="58"/>
      <c r="K881" s="3"/>
    </row>
    <row r="882" spans="1:11" s="71" customFormat="1">
      <c r="A882" s="87"/>
      <c r="B882" s="30"/>
      <c r="C882" s="70"/>
      <c r="G882" s="30"/>
      <c r="H882" s="77"/>
      <c r="I882" s="77"/>
      <c r="J882" s="58"/>
      <c r="K882" s="3"/>
    </row>
    <row r="883" spans="1:11" s="71" customFormat="1">
      <c r="A883" s="87"/>
      <c r="B883" s="30"/>
      <c r="C883" s="70"/>
      <c r="G883" s="30"/>
      <c r="H883" s="77"/>
      <c r="I883" s="77"/>
      <c r="J883" s="58"/>
      <c r="K883" s="3"/>
    </row>
    <row r="884" spans="1:11" s="71" customFormat="1">
      <c r="A884" s="87"/>
      <c r="B884" s="30"/>
      <c r="C884" s="70"/>
      <c r="G884" s="30"/>
      <c r="H884" s="77"/>
      <c r="I884" s="77"/>
      <c r="J884" s="58"/>
      <c r="K884" s="3"/>
    </row>
    <row r="885" spans="1:11" s="71" customFormat="1">
      <c r="A885" s="87"/>
      <c r="B885" s="30"/>
      <c r="C885" s="70"/>
      <c r="G885" s="30"/>
      <c r="H885" s="77"/>
      <c r="I885" s="77"/>
      <c r="J885" s="58"/>
      <c r="K885" s="3"/>
    </row>
    <row r="886" spans="1:11" s="71" customFormat="1">
      <c r="A886" s="87"/>
      <c r="B886" s="30"/>
      <c r="C886" s="70"/>
      <c r="G886" s="30"/>
      <c r="H886" s="77"/>
      <c r="I886" s="77"/>
      <c r="J886" s="58"/>
      <c r="K886" s="3"/>
    </row>
    <row r="887" spans="1:11" s="71" customFormat="1">
      <c r="A887" s="87"/>
      <c r="B887" s="30"/>
      <c r="C887" s="70"/>
      <c r="G887" s="30"/>
      <c r="H887" s="77"/>
      <c r="I887" s="77"/>
      <c r="J887" s="58"/>
      <c r="K887" s="3"/>
    </row>
    <row r="888" spans="1:11" s="71" customFormat="1">
      <c r="A888" s="87"/>
      <c r="B888" s="30"/>
      <c r="C888" s="70"/>
      <c r="G888" s="30"/>
      <c r="H888" s="77"/>
      <c r="I888" s="77"/>
      <c r="J888" s="58"/>
      <c r="K888" s="3"/>
    </row>
    <row r="889" spans="1:11" s="71" customFormat="1">
      <c r="A889" s="87"/>
      <c r="B889" s="30"/>
      <c r="C889" s="70"/>
      <c r="G889" s="30"/>
      <c r="H889" s="77"/>
      <c r="I889" s="77"/>
      <c r="J889" s="58"/>
      <c r="K889" s="3"/>
    </row>
    <row r="890" spans="1:11" s="71" customFormat="1">
      <c r="A890" s="87"/>
      <c r="B890" s="30"/>
      <c r="C890" s="70"/>
      <c r="G890" s="30"/>
      <c r="H890" s="77"/>
      <c r="I890" s="77"/>
      <c r="J890" s="58"/>
      <c r="K890" s="3"/>
    </row>
    <row r="891" spans="1:11" s="71" customFormat="1">
      <c r="A891" s="87"/>
      <c r="B891" s="30"/>
      <c r="C891" s="70"/>
      <c r="G891" s="30"/>
      <c r="H891" s="77"/>
      <c r="I891" s="77"/>
      <c r="J891" s="58"/>
      <c r="K891" s="3"/>
    </row>
    <row r="892" spans="1:11" s="71" customFormat="1">
      <c r="A892" s="87"/>
      <c r="B892" s="30"/>
      <c r="C892" s="70"/>
      <c r="G892" s="30"/>
      <c r="H892" s="77"/>
      <c r="I892" s="77"/>
      <c r="J892" s="58"/>
      <c r="K892" s="3"/>
    </row>
    <row r="893" spans="1:11" s="71" customFormat="1">
      <c r="A893" s="87"/>
      <c r="B893" s="30"/>
      <c r="C893" s="70"/>
      <c r="G893" s="30"/>
      <c r="H893" s="77"/>
      <c r="I893" s="77"/>
      <c r="J893" s="58"/>
      <c r="K893" s="3"/>
    </row>
    <row r="894" spans="1:11" s="71" customFormat="1">
      <c r="A894" s="87"/>
      <c r="B894" s="30"/>
      <c r="C894" s="70"/>
      <c r="G894" s="30"/>
      <c r="H894" s="77"/>
      <c r="I894" s="77"/>
      <c r="J894" s="58"/>
      <c r="K894" s="3"/>
    </row>
    <row r="895" spans="1:11" s="71" customFormat="1">
      <c r="A895" s="87"/>
      <c r="B895" s="30"/>
      <c r="C895" s="70"/>
      <c r="G895" s="30"/>
      <c r="H895" s="77"/>
      <c r="I895" s="77"/>
      <c r="J895" s="58"/>
      <c r="K895" s="3"/>
    </row>
    <row r="896" spans="1:11" s="71" customFormat="1">
      <c r="A896" s="87"/>
      <c r="B896" s="30"/>
      <c r="C896" s="70"/>
      <c r="G896" s="30"/>
      <c r="H896" s="77"/>
      <c r="I896" s="77"/>
      <c r="J896" s="58"/>
      <c r="K896" s="3"/>
    </row>
    <row r="897" spans="1:11" s="71" customFormat="1">
      <c r="A897" s="87"/>
      <c r="B897" s="30"/>
      <c r="C897" s="70"/>
      <c r="G897" s="30"/>
      <c r="H897" s="77"/>
      <c r="I897" s="77"/>
      <c r="J897" s="58"/>
      <c r="K897" s="3"/>
    </row>
    <row r="898" spans="1:11" s="71" customFormat="1">
      <c r="A898" s="87"/>
      <c r="B898" s="30"/>
      <c r="C898" s="70"/>
      <c r="G898" s="30"/>
      <c r="H898" s="77"/>
      <c r="I898" s="77"/>
      <c r="J898" s="58"/>
      <c r="K898" s="3"/>
    </row>
    <row r="899" spans="1:11" s="71" customFormat="1">
      <c r="A899" s="87"/>
      <c r="B899" s="30"/>
      <c r="C899" s="70"/>
      <c r="G899" s="30"/>
      <c r="H899" s="77"/>
      <c r="I899" s="77"/>
      <c r="J899" s="58"/>
      <c r="K899" s="3"/>
    </row>
    <row r="900" spans="1:11" s="71" customFormat="1">
      <c r="A900" s="87"/>
      <c r="B900" s="30"/>
      <c r="C900" s="70"/>
      <c r="G900" s="30"/>
      <c r="H900" s="77"/>
      <c r="I900" s="77"/>
      <c r="J900" s="58"/>
      <c r="K900" s="3"/>
    </row>
    <row r="901" spans="1:11" s="71" customFormat="1">
      <c r="A901" s="87"/>
      <c r="B901" s="30"/>
      <c r="C901" s="70"/>
      <c r="G901" s="30"/>
      <c r="H901" s="77"/>
      <c r="I901" s="77"/>
      <c r="J901" s="58"/>
      <c r="K901" s="3"/>
    </row>
    <row r="902" spans="1:11" s="71" customFormat="1">
      <c r="A902" s="87"/>
      <c r="B902" s="30"/>
      <c r="C902" s="70"/>
      <c r="G902" s="30"/>
      <c r="H902" s="77"/>
      <c r="I902" s="77"/>
      <c r="J902" s="58"/>
      <c r="K902" s="3"/>
    </row>
    <row r="903" spans="1:11" s="71" customFormat="1">
      <c r="A903" s="87"/>
      <c r="B903" s="30"/>
      <c r="C903" s="70"/>
      <c r="G903" s="30"/>
      <c r="H903" s="77"/>
      <c r="I903" s="77"/>
      <c r="J903" s="58"/>
      <c r="K903" s="3"/>
    </row>
    <row r="904" spans="1:11" s="71" customFormat="1">
      <c r="A904" s="87"/>
      <c r="B904" s="30"/>
      <c r="C904" s="70"/>
      <c r="G904" s="30"/>
      <c r="H904" s="77"/>
      <c r="I904" s="77"/>
      <c r="J904" s="58"/>
      <c r="K904" s="3"/>
    </row>
    <row r="905" spans="1:11" s="71" customFormat="1">
      <c r="A905" s="87"/>
      <c r="B905" s="30"/>
      <c r="C905" s="70"/>
      <c r="G905" s="30"/>
      <c r="H905" s="77"/>
      <c r="I905" s="77"/>
      <c r="J905" s="58"/>
      <c r="K905" s="3"/>
    </row>
    <row r="906" spans="1:11" s="71" customFormat="1">
      <c r="A906" s="87"/>
      <c r="B906" s="30"/>
      <c r="C906" s="70"/>
      <c r="G906" s="30"/>
      <c r="H906" s="77"/>
      <c r="I906" s="77"/>
      <c r="J906" s="58"/>
      <c r="K906" s="3"/>
    </row>
    <row r="907" spans="1:11" s="71" customFormat="1">
      <c r="A907" s="87"/>
      <c r="B907" s="30"/>
      <c r="C907" s="70"/>
      <c r="G907" s="30"/>
      <c r="H907" s="77"/>
      <c r="I907" s="77"/>
      <c r="J907" s="58"/>
      <c r="K907" s="3"/>
    </row>
    <row r="908" spans="1:11" s="71" customFormat="1">
      <c r="A908" s="87"/>
      <c r="B908" s="30"/>
      <c r="C908" s="70"/>
      <c r="G908" s="30"/>
      <c r="H908" s="77"/>
      <c r="I908" s="77"/>
      <c r="J908" s="58"/>
      <c r="K908" s="3"/>
    </row>
    <row r="909" spans="1:11" s="71" customFormat="1">
      <c r="A909" s="87"/>
      <c r="B909" s="30"/>
      <c r="C909" s="70"/>
      <c r="G909" s="30"/>
      <c r="H909" s="77"/>
      <c r="I909" s="77"/>
      <c r="J909" s="58"/>
      <c r="K909" s="3"/>
    </row>
    <row r="910" spans="1:11" s="71" customFormat="1">
      <c r="A910" s="87"/>
      <c r="B910" s="30"/>
      <c r="C910" s="70"/>
      <c r="G910" s="30"/>
      <c r="H910" s="77"/>
      <c r="I910" s="77"/>
      <c r="J910" s="58"/>
      <c r="K910" s="3"/>
    </row>
    <row r="911" spans="1:11" s="71" customFormat="1">
      <c r="A911" s="87"/>
      <c r="B911" s="30"/>
      <c r="C911" s="70"/>
      <c r="G911" s="30"/>
      <c r="H911" s="77"/>
      <c r="I911" s="77"/>
      <c r="J911" s="58"/>
      <c r="K911" s="3"/>
    </row>
    <row r="912" spans="1:11" s="71" customFormat="1">
      <c r="A912" s="87"/>
      <c r="B912" s="30"/>
      <c r="C912" s="70"/>
      <c r="G912" s="30"/>
      <c r="H912" s="77"/>
      <c r="I912" s="77"/>
      <c r="J912" s="58"/>
      <c r="K912" s="3"/>
    </row>
    <row r="913" spans="1:11" s="71" customFormat="1">
      <c r="A913" s="87"/>
      <c r="B913" s="30"/>
      <c r="C913" s="70"/>
      <c r="G913" s="30"/>
      <c r="H913" s="77"/>
      <c r="I913" s="77"/>
      <c r="J913" s="58"/>
      <c r="K913" s="3"/>
    </row>
    <row r="914" spans="1:11" s="71" customFormat="1">
      <c r="A914" s="87"/>
      <c r="B914" s="30"/>
      <c r="C914" s="70"/>
      <c r="G914" s="30"/>
      <c r="H914" s="77"/>
      <c r="I914" s="77"/>
      <c r="J914" s="58"/>
      <c r="K914" s="3"/>
    </row>
    <row r="915" spans="1:11" s="71" customFormat="1">
      <c r="A915" s="87"/>
      <c r="B915" s="30"/>
      <c r="C915" s="70"/>
      <c r="G915" s="30"/>
      <c r="H915" s="77"/>
      <c r="I915" s="77"/>
      <c r="J915" s="58"/>
      <c r="K915" s="3"/>
    </row>
    <row r="916" spans="1:11" s="71" customFormat="1">
      <c r="A916" s="87"/>
      <c r="B916" s="30"/>
      <c r="C916" s="70"/>
      <c r="G916" s="30"/>
      <c r="H916" s="77"/>
      <c r="I916" s="77"/>
      <c r="J916" s="58"/>
      <c r="K916" s="3"/>
    </row>
    <row r="917" spans="1:11" s="71" customFormat="1">
      <c r="A917" s="87"/>
      <c r="B917" s="30"/>
      <c r="C917" s="70"/>
      <c r="G917" s="30"/>
      <c r="H917" s="77"/>
      <c r="I917" s="77"/>
      <c r="J917" s="58"/>
      <c r="K917" s="3"/>
    </row>
    <row r="918" spans="1:11" s="71" customFormat="1">
      <c r="A918" s="87"/>
      <c r="B918" s="30"/>
      <c r="C918" s="70"/>
      <c r="G918" s="30"/>
      <c r="H918" s="77"/>
      <c r="I918" s="77"/>
      <c r="J918" s="58"/>
      <c r="K918" s="3"/>
    </row>
    <row r="919" spans="1:11" s="71" customFormat="1">
      <c r="A919" s="87"/>
      <c r="B919" s="30"/>
      <c r="C919" s="70"/>
      <c r="G919" s="30"/>
      <c r="H919" s="77"/>
      <c r="I919" s="77"/>
      <c r="J919" s="58"/>
      <c r="K919" s="3"/>
    </row>
    <row r="920" spans="1:11" s="71" customFormat="1">
      <c r="A920" s="87"/>
      <c r="B920" s="30"/>
      <c r="C920" s="70"/>
      <c r="G920" s="30"/>
      <c r="H920" s="77"/>
      <c r="I920" s="77"/>
      <c r="J920" s="58"/>
      <c r="K920" s="3"/>
    </row>
    <row r="921" spans="1:11" s="71" customFormat="1">
      <c r="A921" s="87"/>
      <c r="B921" s="30"/>
      <c r="C921" s="70"/>
      <c r="G921" s="30"/>
      <c r="H921" s="77"/>
      <c r="I921" s="77"/>
      <c r="J921" s="58"/>
      <c r="K921" s="3"/>
    </row>
    <row r="922" spans="1:11" s="71" customFormat="1">
      <c r="A922" s="87"/>
      <c r="B922" s="30"/>
      <c r="C922" s="70"/>
      <c r="G922" s="30"/>
      <c r="H922" s="77"/>
      <c r="I922" s="77"/>
      <c r="J922" s="58"/>
      <c r="K922" s="3"/>
    </row>
    <row r="923" spans="1:11" s="71" customFormat="1">
      <c r="A923" s="87"/>
      <c r="B923" s="30"/>
      <c r="C923" s="70"/>
      <c r="G923" s="30"/>
      <c r="H923" s="77"/>
      <c r="I923" s="77"/>
      <c r="J923" s="58"/>
      <c r="K923" s="3"/>
    </row>
    <row r="924" spans="1:11" s="71" customFormat="1">
      <c r="A924" s="87"/>
      <c r="B924" s="30"/>
      <c r="C924" s="70"/>
      <c r="G924" s="30"/>
      <c r="H924" s="77"/>
      <c r="I924" s="77"/>
      <c r="J924" s="58"/>
      <c r="K924" s="3"/>
    </row>
    <row r="925" spans="1:11" s="71" customFormat="1">
      <c r="A925" s="87"/>
      <c r="B925" s="30"/>
      <c r="C925" s="70"/>
      <c r="G925" s="30"/>
      <c r="H925" s="77"/>
      <c r="I925" s="77"/>
      <c r="J925" s="58"/>
      <c r="K925" s="3"/>
    </row>
    <row r="926" spans="1:11" s="71" customFormat="1">
      <c r="A926" s="87"/>
      <c r="B926" s="30"/>
      <c r="C926" s="70"/>
      <c r="G926" s="30"/>
      <c r="H926" s="77"/>
      <c r="I926" s="77"/>
      <c r="J926" s="58"/>
      <c r="K926" s="3"/>
    </row>
    <row r="927" spans="1:11" s="71" customFormat="1">
      <c r="A927" s="87"/>
      <c r="B927" s="30"/>
      <c r="C927" s="70"/>
      <c r="G927" s="30"/>
      <c r="H927" s="77"/>
      <c r="I927" s="77"/>
      <c r="J927" s="58"/>
      <c r="K927" s="3"/>
    </row>
    <row r="928" spans="1:11" s="71" customFormat="1">
      <c r="A928" s="87"/>
      <c r="B928" s="30"/>
      <c r="C928" s="70"/>
      <c r="G928" s="30"/>
      <c r="H928" s="77"/>
      <c r="I928" s="77"/>
      <c r="J928" s="58"/>
      <c r="K928" s="3"/>
    </row>
    <row r="929" spans="1:11" s="71" customFormat="1">
      <c r="A929" s="87"/>
      <c r="B929" s="30"/>
      <c r="C929" s="70"/>
      <c r="G929" s="30"/>
      <c r="H929" s="77"/>
      <c r="I929" s="77"/>
      <c r="J929" s="58"/>
      <c r="K929" s="3"/>
    </row>
    <row r="930" spans="1:11" s="71" customFormat="1">
      <c r="A930" s="87"/>
      <c r="B930" s="30"/>
      <c r="C930" s="70"/>
      <c r="G930" s="30"/>
      <c r="H930" s="77"/>
      <c r="I930" s="77"/>
      <c r="J930" s="58"/>
      <c r="K930" s="3"/>
    </row>
    <row r="931" spans="1:11" s="71" customFormat="1">
      <c r="A931" s="87"/>
      <c r="B931" s="30"/>
      <c r="C931" s="70"/>
      <c r="G931" s="30"/>
      <c r="H931" s="77"/>
      <c r="I931" s="77"/>
      <c r="J931" s="58"/>
      <c r="K931" s="3"/>
    </row>
    <row r="932" spans="1:11" s="71" customFormat="1">
      <c r="A932" s="87"/>
      <c r="B932" s="30"/>
      <c r="C932" s="70"/>
      <c r="G932" s="30"/>
      <c r="H932" s="77"/>
      <c r="I932" s="77"/>
      <c r="J932" s="58"/>
      <c r="K932" s="3"/>
    </row>
    <row r="933" spans="1:11" s="71" customFormat="1">
      <c r="A933" s="87"/>
      <c r="B933" s="30"/>
      <c r="C933" s="70"/>
      <c r="G933" s="30"/>
      <c r="H933" s="77"/>
      <c r="I933" s="77"/>
      <c r="J933" s="58"/>
      <c r="K933" s="3"/>
    </row>
    <row r="934" spans="1:11" s="71" customFormat="1">
      <c r="A934" s="87"/>
      <c r="B934" s="30"/>
      <c r="C934" s="70"/>
      <c r="G934" s="30"/>
      <c r="H934" s="77"/>
      <c r="I934" s="77"/>
      <c r="J934" s="58"/>
      <c r="K934" s="3"/>
    </row>
    <row r="935" spans="1:11" s="71" customFormat="1">
      <c r="A935" s="87"/>
      <c r="B935" s="30"/>
      <c r="C935" s="70"/>
      <c r="G935" s="30"/>
      <c r="H935" s="77"/>
      <c r="I935" s="77"/>
      <c r="J935" s="58"/>
      <c r="K935" s="3"/>
    </row>
    <row r="936" spans="1:11" s="71" customFormat="1">
      <c r="A936" s="87"/>
      <c r="B936" s="30"/>
      <c r="C936" s="70"/>
      <c r="G936" s="30"/>
      <c r="H936" s="77"/>
      <c r="I936" s="77"/>
      <c r="J936" s="58"/>
      <c r="K936" s="3"/>
    </row>
    <row r="937" spans="1:11" s="71" customFormat="1">
      <c r="A937" s="87"/>
      <c r="B937" s="30"/>
      <c r="C937" s="70"/>
      <c r="G937" s="30"/>
      <c r="H937" s="77"/>
      <c r="I937" s="77"/>
      <c r="J937" s="58"/>
      <c r="K937" s="3"/>
    </row>
    <row r="938" spans="1:11" s="71" customFormat="1">
      <c r="A938" s="87"/>
      <c r="B938" s="30"/>
      <c r="C938" s="70"/>
      <c r="G938" s="30"/>
      <c r="H938" s="77"/>
      <c r="I938" s="77"/>
      <c r="J938" s="58"/>
      <c r="K938" s="3"/>
    </row>
    <row r="939" spans="1:11" s="71" customFormat="1">
      <c r="A939" s="87"/>
      <c r="B939" s="30"/>
      <c r="C939" s="70"/>
      <c r="G939" s="30"/>
      <c r="H939" s="77"/>
      <c r="I939" s="77"/>
      <c r="J939" s="58"/>
      <c r="K939" s="3"/>
    </row>
    <row r="940" spans="1:11" s="71" customFormat="1">
      <c r="A940" s="87"/>
      <c r="B940" s="30"/>
      <c r="C940" s="70"/>
      <c r="G940" s="30"/>
      <c r="H940" s="77"/>
      <c r="I940" s="77"/>
      <c r="J940" s="58"/>
      <c r="K940" s="3"/>
    </row>
    <row r="941" spans="1:11" s="71" customFormat="1">
      <c r="A941" s="87"/>
      <c r="B941" s="30"/>
      <c r="C941" s="70"/>
      <c r="G941" s="30"/>
      <c r="H941" s="77"/>
      <c r="I941" s="77"/>
      <c r="J941" s="58"/>
      <c r="K941" s="3"/>
    </row>
    <row r="942" spans="1:11" s="71" customFormat="1">
      <c r="A942" s="87"/>
      <c r="B942" s="30"/>
      <c r="C942" s="70"/>
      <c r="G942" s="30"/>
      <c r="H942" s="77"/>
      <c r="I942" s="77"/>
      <c r="J942" s="58"/>
      <c r="K942" s="3"/>
    </row>
    <row r="943" spans="1:11" s="71" customFormat="1">
      <c r="A943" s="87"/>
      <c r="B943" s="30"/>
      <c r="C943" s="70"/>
      <c r="G943" s="30"/>
      <c r="H943" s="77"/>
      <c r="I943" s="77"/>
      <c r="J943" s="58"/>
      <c r="K943" s="3"/>
    </row>
    <row r="944" spans="1:11" s="71" customFormat="1">
      <c r="A944" s="87"/>
      <c r="B944" s="30"/>
      <c r="C944" s="70"/>
      <c r="G944" s="30"/>
      <c r="H944" s="77"/>
      <c r="I944" s="77"/>
      <c r="J944" s="58"/>
      <c r="K944" s="3"/>
    </row>
    <row r="945" spans="1:11" s="71" customFormat="1">
      <c r="A945" s="87"/>
      <c r="B945" s="30"/>
      <c r="C945" s="70"/>
      <c r="G945" s="30"/>
      <c r="H945" s="77"/>
      <c r="I945" s="77"/>
      <c r="J945" s="58"/>
      <c r="K945" s="3"/>
    </row>
    <row r="946" spans="1:11" s="71" customFormat="1">
      <c r="A946" s="87"/>
      <c r="B946" s="30"/>
      <c r="C946" s="70"/>
      <c r="G946" s="30"/>
      <c r="H946" s="77"/>
      <c r="I946" s="77"/>
      <c r="J946" s="58"/>
      <c r="K946" s="3"/>
    </row>
    <row r="947" spans="1:11" s="71" customFormat="1">
      <c r="A947" s="87"/>
      <c r="B947" s="30"/>
      <c r="C947" s="70"/>
      <c r="G947" s="30"/>
      <c r="H947" s="77"/>
      <c r="I947" s="77"/>
      <c r="J947" s="58"/>
      <c r="K947" s="3"/>
    </row>
    <row r="948" spans="1:11" s="71" customFormat="1">
      <c r="A948" s="87"/>
      <c r="B948" s="30"/>
      <c r="C948" s="70"/>
      <c r="G948" s="30"/>
      <c r="H948" s="77"/>
      <c r="I948" s="77"/>
      <c r="J948" s="58"/>
      <c r="K948" s="3"/>
    </row>
    <row r="949" spans="1:11" s="71" customFormat="1">
      <c r="A949" s="87"/>
      <c r="B949" s="30"/>
      <c r="C949" s="70"/>
      <c r="G949" s="30"/>
      <c r="H949" s="77"/>
      <c r="I949" s="77"/>
      <c r="J949" s="58"/>
      <c r="K949" s="3"/>
    </row>
    <row r="950" spans="1:11" s="71" customFormat="1">
      <c r="A950" s="87"/>
      <c r="B950" s="30"/>
      <c r="C950" s="70"/>
      <c r="G950" s="30"/>
      <c r="H950" s="77"/>
      <c r="I950" s="77"/>
      <c r="J950" s="58"/>
      <c r="K950" s="3"/>
    </row>
    <row r="951" spans="1:11" s="71" customFormat="1">
      <c r="A951" s="87"/>
      <c r="B951" s="30"/>
      <c r="C951" s="70"/>
      <c r="G951" s="30"/>
      <c r="H951" s="77"/>
      <c r="I951" s="77"/>
      <c r="J951" s="58"/>
      <c r="K951" s="3"/>
    </row>
    <row r="952" spans="1:11" s="71" customFormat="1">
      <c r="A952" s="87"/>
      <c r="B952" s="30"/>
      <c r="C952" s="70"/>
      <c r="G952" s="30"/>
      <c r="H952" s="77"/>
      <c r="I952" s="77"/>
      <c r="J952" s="58"/>
      <c r="K952" s="3"/>
    </row>
    <row r="953" spans="1:11" s="71" customFormat="1">
      <c r="A953" s="87"/>
      <c r="B953" s="30"/>
      <c r="C953" s="70"/>
      <c r="G953" s="30"/>
      <c r="H953" s="77"/>
      <c r="I953" s="77"/>
      <c r="J953" s="58"/>
      <c r="K953" s="3"/>
    </row>
    <row r="954" spans="1:11" s="71" customFormat="1">
      <c r="A954" s="87"/>
      <c r="B954" s="30"/>
      <c r="C954" s="70"/>
      <c r="G954" s="30"/>
      <c r="H954" s="77"/>
      <c r="I954" s="77"/>
      <c r="J954" s="58"/>
      <c r="K954" s="3"/>
    </row>
    <row r="955" spans="1:11" s="71" customFormat="1">
      <c r="A955" s="87"/>
      <c r="B955" s="30"/>
      <c r="C955" s="70"/>
      <c r="G955" s="30"/>
      <c r="H955" s="77"/>
      <c r="I955" s="77"/>
      <c r="J955" s="58"/>
      <c r="K955" s="3"/>
    </row>
    <row r="956" spans="1:11" s="71" customFormat="1">
      <c r="A956" s="87"/>
      <c r="B956" s="30"/>
      <c r="C956" s="70"/>
      <c r="G956" s="30"/>
      <c r="H956" s="77"/>
      <c r="I956" s="77"/>
      <c r="J956" s="58"/>
      <c r="K956" s="3"/>
    </row>
    <row r="957" spans="1:11" s="71" customFormat="1">
      <c r="A957" s="87"/>
      <c r="B957" s="30"/>
      <c r="C957" s="70"/>
      <c r="G957" s="30"/>
      <c r="H957" s="77"/>
      <c r="I957" s="77"/>
      <c r="J957" s="58"/>
      <c r="K957" s="3"/>
    </row>
    <row r="958" spans="1:11" s="71" customFormat="1">
      <c r="A958" s="87"/>
      <c r="B958" s="30"/>
      <c r="C958" s="70"/>
      <c r="G958" s="30"/>
      <c r="H958" s="77"/>
      <c r="I958" s="77"/>
      <c r="J958" s="58"/>
      <c r="K958" s="3"/>
    </row>
    <row r="959" spans="1:11" s="71" customFormat="1">
      <c r="A959" s="87"/>
      <c r="B959" s="30"/>
      <c r="C959" s="70"/>
      <c r="G959" s="30"/>
      <c r="H959" s="77"/>
      <c r="I959" s="77"/>
      <c r="J959" s="58"/>
      <c r="K959" s="3"/>
    </row>
    <row r="960" spans="1:11" s="71" customFormat="1">
      <c r="A960" s="87"/>
      <c r="B960" s="30"/>
      <c r="C960" s="70"/>
      <c r="G960" s="30"/>
      <c r="H960" s="77"/>
      <c r="I960" s="77"/>
      <c r="J960" s="58"/>
      <c r="K960" s="3"/>
    </row>
    <row r="961" spans="1:11" s="71" customFormat="1">
      <c r="A961" s="87"/>
      <c r="B961" s="30"/>
      <c r="C961" s="70"/>
      <c r="G961" s="30"/>
      <c r="H961" s="77"/>
      <c r="I961" s="77"/>
      <c r="J961" s="58"/>
      <c r="K961" s="3"/>
    </row>
    <row r="962" spans="1:11" s="71" customFormat="1">
      <c r="A962" s="87"/>
      <c r="B962" s="30"/>
      <c r="C962" s="70"/>
      <c r="G962" s="30"/>
      <c r="H962" s="77"/>
      <c r="I962" s="77"/>
      <c r="J962" s="58"/>
      <c r="K962" s="3"/>
    </row>
    <row r="963" spans="1:11" s="71" customFormat="1">
      <c r="A963" s="87"/>
      <c r="B963" s="30"/>
      <c r="C963" s="70"/>
      <c r="G963" s="30"/>
      <c r="H963" s="77"/>
      <c r="I963" s="77"/>
      <c r="J963" s="58"/>
      <c r="K963" s="3"/>
    </row>
    <row r="964" spans="1:11" s="71" customFormat="1">
      <c r="A964" s="87"/>
      <c r="B964" s="30"/>
      <c r="C964" s="70"/>
      <c r="G964" s="30"/>
      <c r="H964" s="77"/>
      <c r="I964" s="77"/>
      <c r="J964" s="58"/>
      <c r="K964" s="3"/>
    </row>
    <row r="965" spans="1:11" s="71" customFormat="1">
      <c r="A965" s="87"/>
      <c r="B965" s="30"/>
      <c r="C965" s="70"/>
      <c r="G965" s="30"/>
      <c r="H965" s="77"/>
      <c r="I965" s="77"/>
      <c r="J965" s="58"/>
      <c r="K965" s="3"/>
    </row>
    <row r="966" spans="1:11" s="71" customFormat="1">
      <c r="A966" s="87"/>
      <c r="B966" s="30"/>
      <c r="C966" s="70"/>
      <c r="G966" s="30"/>
      <c r="H966" s="77"/>
      <c r="I966" s="77"/>
      <c r="J966" s="58"/>
      <c r="K966" s="3"/>
    </row>
    <row r="967" spans="1:11" s="71" customFormat="1">
      <c r="A967" s="87"/>
      <c r="B967" s="30"/>
      <c r="C967" s="70"/>
      <c r="G967" s="30"/>
      <c r="H967" s="77"/>
      <c r="I967" s="77"/>
      <c r="J967" s="58"/>
      <c r="K967" s="3"/>
    </row>
    <row r="968" spans="1:11" s="71" customFormat="1">
      <c r="A968" s="87"/>
      <c r="B968" s="30"/>
      <c r="C968" s="70"/>
      <c r="G968" s="30"/>
      <c r="H968" s="77"/>
      <c r="I968" s="77"/>
      <c r="J968" s="58"/>
      <c r="K968" s="3"/>
    </row>
    <row r="969" spans="1:11" s="71" customFormat="1">
      <c r="A969" s="87"/>
      <c r="B969" s="30"/>
      <c r="C969" s="70"/>
      <c r="G969" s="30"/>
      <c r="H969" s="77"/>
      <c r="I969" s="77"/>
      <c r="J969" s="58"/>
      <c r="K969" s="3"/>
    </row>
    <row r="970" spans="1:11" s="71" customFormat="1">
      <c r="A970" s="87"/>
      <c r="B970" s="30"/>
      <c r="C970" s="70"/>
      <c r="G970" s="30"/>
      <c r="H970" s="77"/>
      <c r="I970" s="77"/>
      <c r="J970" s="58"/>
      <c r="K970" s="3"/>
    </row>
    <row r="971" spans="1:11" s="71" customFormat="1">
      <c r="A971" s="87"/>
      <c r="B971" s="30"/>
      <c r="C971" s="70"/>
      <c r="G971" s="30"/>
      <c r="H971" s="77"/>
      <c r="I971" s="77"/>
      <c r="J971" s="58"/>
      <c r="K971" s="3"/>
    </row>
    <row r="972" spans="1:11" s="71" customFormat="1">
      <c r="A972" s="87"/>
      <c r="B972" s="30"/>
      <c r="C972" s="70"/>
      <c r="G972" s="30"/>
      <c r="H972" s="77"/>
      <c r="I972" s="77"/>
      <c r="J972" s="58"/>
      <c r="K972" s="3"/>
    </row>
    <row r="973" spans="1:11" s="71" customFormat="1">
      <c r="A973" s="87"/>
      <c r="B973" s="30"/>
      <c r="C973" s="70"/>
      <c r="G973" s="30"/>
      <c r="H973" s="77"/>
      <c r="I973" s="77"/>
      <c r="J973" s="58"/>
      <c r="K973" s="3"/>
    </row>
    <row r="974" spans="1:11" s="71" customFormat="1">
      <c r="A974" s="87"/>
      <c r="B974" s="30"/>
      <c r="C974" s="70"/>
      <c r="G974" s="30"/>
      <c r="H974" s="77"/>
      <c r="I974" s="77"/>
      <c r="J974" s="58"/>
      <c r="K974" s="3"/>
    </row>
    <row r="975" spans="1:11" s="71" customFormat="1">
      <c r="A975" s="87"/>
      <c r="B975" s="30"/>
      <c r="C975" s="70"/>
      <c r="G975" s="30"/>
      <c r="H975" s="77"/>
      <c r="I975" s="77"/>
      <c r="J975" s="58"/>
      <c r="K975" s="3"/>
    </row>
    <row r="976" spans="1:11" s="71" customFormat="1">
      <c r="A976" s="87"/>
      <c r="B976" s="30"/>
      <c r="C976" s="70"/>
      <c r="G976" s="30"/>
      <c r="H976" s="77"/>
      <c r="I976" s="77"/>
      <c r="J976" s="58"/>
      <c r="K976" s="3"/>
    </row>
    <row r="977" spans="1:11" s="71" customFormat="1">
      <c r="A977" s="87"/>
      <c r="B977" s="30"/>
      <c r="C977" s="70"/>
      <c r="G977" s="30"/>
      <c r="H977" s="77"/>
      <c r="I977" s="77"/>
      <c r="J977" s="58"/>
      <c r="K977" s="3"/>
    </row>
    <row r="978" spans="1:11" s="71" customFormat="1">
      <c r="A978" s="87"/>
      <c r="B978" s="30"/>
      <c r="C978" s="70"/>
      <c r="G978" s="30"/>
      <c r="H978" s="77"/>
      <c r="I978" s="77"/>
      <c r="J978" s="58"/>
      <c r="K978" s="3"/>
    </row>
    <row r="979" spans="1:11" s="71" customFormat="1">
      <c r="A979" s="87"/>
      <c r="B979" s="30"/>
      <c r="C979" s="70"/>
      <c r="G979" s="30"/>
      <c r="H979" s="77"/>
      <c r="I979" s="77"/>
      <c r="J979" s="58"/>
      <c r="K979" s="3"/>
    </row>
    <row r="980" spans="1:11" s="71" customFormat="1">
      <c r="A980" s="87"/>
      <c r="B980" s="30"/>
      <c r="C980" s="70"/>
      <c r="G980" s="30"/>
      <c r="H980" s="77"/>
      <c r="I980" s="77"/>
      <c r="J980" s="58"/>
      <c r="K980" s="3"/>
    </row>
    <row r="981" spans="1:11" s="71" customFormat="1">
      <c r="A981" s="87"/>
      <c r="B981" s="30"/>
      <c r="C981" s="70"/>
      <c r="G981" s="30"/>
      <c r="H981" s="77"/>
      <c r="I981" s="77"/>
      <c r="J981" s="58"/>
      <c r="K981" s="3"/>
    </row>
    <row r="982" spans="1:11" s="71" customFormat="1">
      <c r="A982" s="87"/>
      <c r="B982" s="30"/>
      <c r="C982" s="70"/>
      <c r="G982" s="30"/>
      <c r="H982" s="77"/>
      <c r="I982" s="77"/>
      <c r="J982" s="58"/>
      <c r="K982" s="3"/>
    </row>
    <row r="983" spans="1:11" s="71" customFormat="1">
      <c r="A983" s="87"/>
      <c r="B983" s="30"/>
      <c r="C983" s="70"/>
      <c r="G983" s="30"/>
      <c r="H983" s="77"/>
      <c r="I983" s="77"/>
      <c r="J983" s="58"/>
      <c r="K983" s="3"/>
    </row>
    <row r="984" spans="1:11" s="71" customFormat="1">
      <c r="A984" s="87"/>
      <c r="B984" s="30"/>
      <c r="C984" s="70"/>
      <c r="G984" s="30"/>
      <c r="H984" s="77"/>
      <c r="I984" s="77"/>
      <c r="J984" s="58"/>
      <c r="K984" s="3"/>
    </row>
    <row r="985" spans="1:11" s="71" customFormat="1">
      <c r="A985" s="87"/>
      <c r="B985" s="30"/>
      <c r="C985" s="70"/>
      <c r="G985" s="30"/>
      <c r="H985" s="77"/>
      <c r="I985" s="77"/>
      <c r="J985" s="58"/>
      <c r="K985" s="3"/>
    </row>
    <row r="986" spans="1:11" s="71" customFormat="1">
      <c r="A986" s="87"/>
      <c r="B986" s="30"/>
      <c r="C986" s="70"/>
      <c r="G986" s="30"/>
      <c r="H986" s="77"/>
      <c r="I986" s="77"/>
      <c r="J986" s="58"/>
      <c r="K986" s="3"/>
    </row>
    <row r="987" spans="1:11" s="71" customFormat="1">
      <c r="A987" s="87"/>
      <c r="B987" s="30"/>
      <c r="C987" s="70"/>
      <c r="G987" s="30"/>
      <c r="H987" s="77"/>
      <c r="I987" s="77"/>
      <c r="J987" s="58"/>
      <c r="K987" s="3"/>
    </row>
    <row r="988" spans="1:11" s="71" customFormat="1">
      <c r="A988" s="87"/>
      <c r="B988" s="30"/>
      <c r="C988" s="70"/>
      <c r="G988" s="30"/>
      <c r="H988" s="77"/>
      <c r="I988" s="77"/>
      <c r="J988" s="58"/>
      <c r="K988" s="3"/>
    </row>
    <row r="989" spans="1:11" s="71" customFormat="1">
      <c r="A989" s="87"/>
      <c r="B989" s="30"/>
      <c r="C989" s="70"/>
      <c r="G989" s="30"/>
      <c r="H989" s="77"/>
      <c r="I989" s="77"/>
      <c r="J989" s="58"/>
      <c r="K989" s="3"/>
    </row>
    <row r="990" spans="1:11" s="71" customFormat="1">
      <c r="A990" s="87"/>
      <c r="B990" s="30"/>
      <c r="C990" s="70"/>
      <c r="G990" s="30"/>
      <c r="H990" s="77"/>
      <c r="I990" s="77"/>
      <c r="J990" s="58"/>
      <c r="K990" s="3"/>
    </row>
    <row r="991" spans="1:11" s="71" customFormat="1">
      <c r="A991" s="87"/>
      <c r="B991" s="30"/>
      <c r="C991" s="70"/>
      <c r="G991" s="30"/>
      <c r="H991" s="77"/>
      <c r="I991" s="77"/>
      <c r="J991" s="58"/>
      <c r="K991" s="3"/>
    </row>
    <row r="992" spans="1:11" s="71" customFormat="1">
      <c r="A992" s="87"/>
      <c r="B992" s="30"/>
      <c r="C992" s="70"/>
      <c r="G992" s="30"/>
      <c r="H992" s="77"/>
      <c r="I992" s="77"/>
      <c r="J992" s="58"/>
      <c r="K992" s="3"/>
    </row>
    <row r="993" spans="1:11" s="71" customFormat="1">
      <c r="A993" s="87"/>
      <c r="B993" s="30"/>
      <c r="C993" s="70"/>
      <c r="G993" s="30"/>
      <c r="H993" s="77"/>
      <c r="I993" s="77"/>
      <c r="J993" s="58"/>
      <c r="K993" s="3"/>
    </row>
    <row r="994" spans="1:11" s="71" customFormat="1">
      <c r="A994" s="87"/>
      <c r="B994" s="30"/>
      <c r="C994" s="70"/>
      <c r="G994" s="30"/>
      <c r="H994" s="77"/>
      <c r="I994" s="77"/>
      <c r="J994" s="58"/>
      <c r="K994" s="3"/>
    </row>
    <row r="995" spans="1:11" s="71" customFormat="1">
      <c r="A995" s="87"/>
      <c r="B995" s="30"/>
      <c r="C995" s="70"/>
      <c r="G995" s="30"/>
      <c r="H995" s="77"/>
      <c r="I995" s="77"/>
      <c r="J995" s="58"/>
      <c r="K995" s="3"/>
    </row>
    <row r="996" spans="1:11" s="71" customFormat="1">
      <c r="A996" s="87"/>
      <c r="B996" s="30"/>
      <c r="C996" s="70"/>
      <c r="G996" s="30"/>
      <c r="H996" s="77"/>
      <c r="I996" s="77"/>
      <c r="J996" s="58"/>
      <c r="K996" s="3"/>
    </row>
    <row r="997" spans="1:11" s="71" customFormat="1">
      <c r="A997" s="87"/>
      <c r="B997" s="30"/>
      <c r="C997" s="70"/>
      <c r="G997" s="30"/>
      <c r="H997" s="77"/>
      <c r="I997" s="77"/>
      <c r="J997" s="58"/>
      <c r="K997" s="3"/>
    </row>
    <row r="998" spans="1:11" s="71" customFormat="1">
      <c r="A998" s="87"/>
      <c r="B998" s="30"/>
      <c r="C998" s="70"/>
      <c r="G998" s="30"/>
      <c r="H998" s="77"/>
      <c r="I998" s="77"/>
      <c r="J998" s="58"/>
      <c r="K998" s="3"/>
    </row>
    <row r="999" spans="1:11" s="71" customFormat="1">
      <c r="A999" s="87"/>
      <c r="B999" s="30"/>
      <c r="C999" s="70"/>
      <c r="G999" s="30"/>
      <c r="H999" s="77"/>
      <c r="I999" s="77"/>
      <c r="J999" s="58"/>
      <c r="K999" s="3"/>
    </row>
    <row r="1000" spans="1:11" s="71" customFormat="1">
      <c r="A1000" s="87"/>
      <c r="B1000" s="30"/>
      <c r="C1000" s="70"/>
      <c r="G1000" s="30"/>
      <c r="H1000" s="77"/>
      <c r="I1000" s="77"/>
      <c r="J1000" s="58"/>
      <c r="K1000" s="3"/>
    </row>
    <row r="1001" spans="1:11" s="71" customFormat="1">
      <c r="A1001" s="87"/>
      <c r="B1001" s="30"/>
      <c r="C1001" s="70"/>
      <c r="G1001" s="30"/>
      <c r="H1001" s="77"/>
      <c r="I1001" s="77"/>
      <c r="J1001" s="58"/>
      <c r="K1001" s="3"/>
    </row>
    <row r="1002" spans="1:11" s="71" customFormat="1">
      <c r="A1002" s="87"/>
      <c r="B1002" s="30"/>
      <c r="C1002" s="70"/>
      <c r="G1002" s="30"/>
      <c r="H1002" s="77"/>
      <c r="I1002" s="77"/>
      <c r="J1002" s="58"/>
      <c r="K1002" s="3"/>
    </row>
    <row r="1003" spans="1:11" s="71" customFormat="1">
      <c r="A1003" s="87"/>
      <c r="B1003" s="30"/>
      <c r="C1003" s="70"/>
      <c r="G1003" s="30"/>
      <c r="H1003" s="77"/>
      <c r="I1003" s="77"/>
      <c r="J1003" s="58"/>
      <c r="K1003" s="3"/>
    </row>
    <row r="1004" spans="1:11" s="71" customFormat="1">
      <c r="A1004" s="87"/>
      <c r="B1004" s="30"/>
      <c r="C1004" s="70"/>
      <c r="G1004" s="30"/>
      <c r="H1004" s="77"/>
      <c r="I1004" s="77"/>
      <c r="J1004" s="58"/>
      <c r="K1004" s="3"/>
    </row>
    <row r="1005" spans="1:11" s="71" customFormat="1">
      <c r="A1005" s="87"/>
      <c r="B1005" s="30"/>
      <c r="C1005" s="70"/>
      <c r="G1005" s="30"/>
      <c r="H1005" s="77"/>
      <c r="I1005" s="77"/>
      <c r="J1005" s="58"/>
      <c r="K1005" s="3"/>
    </row>
    <row r="1006" spans="1:11" s="71" customFormat="1">
      <c r="A1006" s="87"/>
      <c r="B1006" s="30"/>
      <c r="C1006" s="70"/>
      <c r="G1006" s="30"/>
      <c r="H1006" s="77"/>
      <c r="I1006" s="77"/>
      <c r="J1006" s="58"/>
      <c r="K1006" s="3"/>
    </row>
    <row r="1007" spans="1:11" s="71" customFormat="1">
      <c r="A1007" s="87"/>
      <c r="B1007" s="30"/>
      <c r="C1007" s="70"/>
      <c r="G1007" s="30"/>
      <c r="H1007" s="77"/>
      <c r="I1007" s="77"/>
      <c r="J1007" s="58"/>
      <c r="K1007" s="3"/>
    </row>
    <row r="1008" spans="1:11" s="71" customFormat="1">
      <c r="A1008" s="87"/>
      <c r="B1008" s="30"/>
      <c r="C1008" s="70"/>
      <c r="G1008" s="30"/>
      <c r="H1008" s="77"/>
      <c r="I1008" s="77"/>
      <c r="J1008" s="58"/>
      <c r="K1008" s="3"/>
    </row>
    <row r="1009" spans="1:11" s="71" customFormat="1">
      <c r="A1009" s="87"/>
      <c r="B1009" s="30"/>
      <c r="C1009" s="70"/>
      <c r="G1009" s="30"/>
      <c r="H1009" s="77"/>
      <c r="I1009" s="77"/>
      <c r="J1009" s="58"/>
      <c r="K1009" s="3"/>
    </row>
    <row r="1010" spans="1:11" s="71" customFormat="1">
      <c r="A1010" s="87"/>
      <c r="B1010" s="30"/>
      <c r="C1010" s="70"/>
      <c r="G1010" s="30"/>
      <c r="H1010" s="77"/>
      <c r="I1010" s="77"/>
      <c r="J1010" s="58"/>
      <c r="K1010" s="3"/>
    </row>
    <row r="1011" spans="1:11" s="71" customFormat="1">
      <c r="A1011" s="87"/>
      <c r="B1011" s="30"/>
      <c r="C1011" s="70"/>
      <c r="G1011" s="30"/>
      <c r="H1011" s="77"/>
      <c r="I1011" s="77"/>
      <c r="J1011" s="58"/>
      <c r="K1011" s="3"/>
    </row>
    <row r="1012" spans="1:11" s="71" customFormat="1">
      <c r="A1012" s="87"/>
      <c r="B1012" s="30"/>
      <c r="C1012" s="70"/>
      <c r="G1012" s="30"/>
      <c r="H1012" s="77"/>
      <c r="I1012" s="77"/>
      <c r="J1012" s="58"/>
      <c r="K1012" s="3"/>
    </row>
    <row r="1013" spans="1:11" s="71" customFormat="1">
      <c r="A1013" s="87"/>
      <c r="B1013" s="30"/>
      <c r="C1013" s="70"/>
      <c r="G1013" s="30"/>
      <c r="H1013" s="77"/>
      <c r="I1013" s="77"/>
      <c r="J1013" s="58"/>
      <c r="K1013" s="3"/>
    </row>
    <row r="1014" spans="1:11" s="71" customFormat="1">
      <c r="A1014" s="87"/>
      <c r="B1014" s="30"/>
      <c r="C1014" s="70"/>
      <c r="G1014" s="30"/>
      <c r="H1014" s="77"/>
      <c r="I1014" s="77"/>
      <c r="J1014" s="58"/>
      <c r="K1014" s="3"/>
    </row>
    <row r="1015" spans="1:11" s="71" customFormat="1">
      <c r="A1015" s="87"/>
      <c r="B1015" s="30"/>
      <c r="C1015" s="70"/>
      <c r="G1015" s="30"/>
      <c r="H1015" s="77"/>
      <c r="I1015" s="77"/>
      <c r="J1015" s="58"/>
      <c r="K1015" s="3"/>
    </row>
    <row r="1016" spans="1:11" s="71" customFormat="1">
      <c r="A1016" s="87"/>
      <c r="B1016" s="30"/>
      <c r="C1016" s="70"/>
      <c r="G1016" s="30"/>
      <c r="H1016" s="77"/>
      <c r="I1016" s="77"/>
      <c r="J1016" s="58"/>
      <c r="K1016" s="3"/>
    </row>
    <row r="1017" spans="1:11" s="71" customFormat="1">
      <c r="A1017" s="87"/>
      <c r="B1017" s="30"/>
      <c r="C1017" s="70"/>
      <c r="G1017" s="30"/>
      <c r="H1017" s="77"/>
      <c r="I1017" s="77"/>
      <c r="J1017" s="58"/>
      <c r="K1017" s="3"/>
    </row>
    <row r="1018" spans="1:11" s="71" customFormat="1">
      <c r="A1018" s="87"/>
      <c r="B1018" s="30"/>
      <c r="C1018" s="70"/>
      <c r="G1018" s="30"/>
      <c r="H1018" s="77"/>
      <c r="I1018" s="77"/>
      <c r="J1018" s="58"/>
      <c r="K1018" s="3"/>
    </row>
    <row r="1019" spans="1:11" s="71" customFormat="1">
      <c r="A1019" s="87"/>
      <c r="B1019" s="30"/>
      <c r="C1019" s="70"/>
      <c r="G1019" s="30"/>
      <c r="H1019" s="77"/>
      <c r="I1019" s="77"/>
      <c r="J1019" s="58"/>
      <c r="K1019" s="3"/>
    </row>
    <row r="1020" spans="1:11" s="71" customFormat="1">
      <c r="A1020" s="87"/>
      <c r="B1020" s="30"/>
      <c r="C1020" s="70"/>
      <c r="G1020" s="30"/>
      <c r="H1020" s="77"/>
      <c r="I1020" s="77"/>
      <c r="J1020" s="58"/>
      <c r="K1020" s="3"/>
    </row>
    <row r="1021" spans="1:11" s="71" customFormat="1">
      <c r="A1021" s="87"/>
      <c r="B1021" s="30"/>
      <c r="C1021" s="70"/>
      <c r="G1021" s="30"/>
      <c r="H1021" s="77"/>
      <c r="I1021" s="77"/>
      <c r="J1021" s="58"/>
      <c r="K1021" s="3"/>
    </row>
    <row r="1022" spans="1:11" s="71" customFormat="1">
      <c r="A1022" s="87"/>
      <c r="B1022" s="30"/>
      <c r="C1022" s="70"/>
      <c r="G1022" s="30"/>
      <c r="H1022" s="77"/>
      <c r="I1022" s="77"/>
      <c r="J1022" s="58"/>
      <c r="K1022" s="3"/>
    </row>
    <row r="1023" spans="1:11" s="71" customFormat="1">
      <c r="A1023" s="87"/>
      <c r="B1023" s="30"/>
      <c r="C1023" s="70"/>
      <c r="G1023" s="30"/>
      <c r="H1023" s="77"/>
      <c r="I1023" s="77"/>
      <c r="J1023" s="58"/>
      <c r="K1023" s="3"/>
    </row>
    <row r="1024" spans="1:11" s="71" customFormat="1">
      <c r="A1024" s="87"/>
      <c r="B1024" s="30"/>
      <c r="C1024" s="70"/>
      <c r="G1024" s="30"/>
      <c r="H1024" s="77"/>
      <c r="I1024" s="77"/>
      <c r="J1024" s="58"/>
      <c r="K1024" s="3"/>
    </row>
    <row r="1025" spans="1:11" s="71" customFormat="1">
      <c r="A1025" s="87"/>
      <c r="B1025" s="30"/>
      <c r="C1025" s="70"/>
      <c r="G1025" s="30"/>
      <c r="H1025" s="77"/>
      <c r="I1025" s="77"/>
      <c r="J1025" s="58"/>
      <c r="K1025" s="3"/>
    </row>
    <row r="1026" spans="1:11" s="71" customFormat="1">
      <c r="A1026" s="87"/>
      <c r="B1026" s="30"/>
      <c r="C1026" s="70"/>
      <c r="G1026" s="30"/>
      <c r="H1026" s="77"/>
      <c r="I1026" s="77"/>
      <c r="J1026" s="58"/>
      <c r="K1026" s="3"/>
    </row>
    <row r="1027" spans="1:11" s="71" customFormat="1">
      <c r="A1027" s="87"/>
      <c r="B1027" s="30"/>
      <c r="C1027" s="70"/>
      <c r="G1027" s="30"/>
      <c r="H1027" s="77"/>
      <c r="I1027" s="77"/>
      <c r="J1027" s="58"/>
      <c r="K1027" s="3"/>
    </row>
    <row r="1028" spans="1:11" s="71" customFormat="1">
      <c r="A1028" s="87"/>
      <c r="B1028" s="30"/>
      <c r="C1028" s="70"/>
      <c r="G1028" s="30"/>
      <c r="H1028" s="77"/>
      <c r="I1028" s="77"/>
      <c r="J1028" s="58"/>
      <c r="K1028" s="3"/>
    </row>
    <row r="1029" spans="1:11" s="71" customFormat="1">
      <c r="A1029" s="87"/>
      <c r="B1029" s="30"/>
      <c r="C1029" s="70"/>
      <c r="G1029" s="30"/>
      <c r="H1029" s="77"/>
      <c r="I1029" s="77"/>
      <c r="J1029" s="58"/>
      <c r="K1029" s="3"/>
    </row>
    <row r="1030" spans="1:11" s="71" customFormat="1">
      <c r="A1030" s="87"/>
      <c r="B1030" s="30"/>
      <c r="C1030" s="70"/>
      <c r="G1030" s="30"/>
      <c r="H1030" s="77"/>
      <c r="I1030" s="77"/>
      <c r="J1030" s="58"/>
      <c r="K1030" s="3"/>
    </row>
    <row r="1031" spans="1:11" s="71" customFormat="1">
      <c r="A1031" s="87"/>
      <c r="B1031" s="30"/>
      <c r="C1031" s="70"/>
      <c r="G1031" s="30"/>
      <c r="H1031" s="77"/>
      <c r="I1031" s="77"/>
      <c r="J1031" s="58"/>
      <c r="K1031" s="3"/>
    </row>
    <row r="1032" spans="1:11" s="71" customFormat="1">
      <c r="A1032" s="87"/>
      <c r="B1032" s="30"/>
      <c r="C1032" s="70"/>
      <c r="G1032" s="30"/>
      <c r="H1032" s="77"/>
      <c r="I1032" s="77"/>
      <c r="J1032" s="58"/>
      <c r="K1032" s="3"/>
    </row>
    <row r="1033" spans="1:11" s="71" customFormat="1">
      <c r="A1033" s="87"/>
      <c r="B1033" s="30"/>
      <c r="C1033" s="70"/>
      <c r="G1033" s="30"/>
      <c r="H1033" s="77"/>
      <c r="I1033" s="77"/>
      <c r="J1033" s="58"/>
      <c r="K1033" s="3"/>
    </row>
    <row r="1034" spans="1:11" s="71" customFormat="1">
      <c r="A1034" s="87"/>
      <c r="B1034" s="30"/>
      <c r="C1034" s="70"/>
      <c r="G1034" s="30"/>
      <c r="H1034" s="77"/>
      <c r="I1034" s="77"/>
      <c r="J1034" s="58"/>
      <c r="K1034" s="3"/>
    </row>
    <row r="1035" spans="1:11" s="71" customFormat="1">
      <c r="A1035" s="87"/>
      <c r="B1035" s="30"/>
      <c r="C1035" s="70"/>
      <c r="G1035" s="30"/>
      <c r="H1035" s="77"/>
      <c r="I1035" s="77"/>
      <c r="J1035" s="58"/>
      <c r="K1035" s="3"/>
    </row>
    <row r="1036" spans="1:11" s="71" customFormat="1">
      <c r="A1036" s="87"/>
      <c r="B1036" s="30"/>
      <c r="C1036" s="70"/>
      <c r="G1036" s="30"/>
      <c r="H1036" s="77"/>
      <c r="I1036" s="77"/>
      <c r="J1036" s="58"/>
      <c r="K1036" s="3"/>
    </row>
    <row r="1037" spans="1:11" s="71" customFormat="1">
      <c r="A1037" s="87"/>
      <c r="B1037" s="30"/>
      <c r="C1037" s="70"/>
      <c r="G1037" s="30"/>
      <c r="H1037" s="77"/>
      <c r="I1037" s="77"/>
      <c r="J1037" s="58"/>
      <c r="K1037" s="3"/>
    </row>
    <row r="1038" spans="1:11" s="71" customFormat="1">
      <c r="A1038" s="87"/>
      <c r="B1038" s="30"/>
      <c r="C1038" s="70"/>
      <c r="G1038" s="30"/>
      <c r="H1038" s="77"/>
      <c r="I1038" s="77"/>
      <c r="J1038" s="58"/>
      <c r="K1038" s="3"/>
    </row>
    <row r="1039" spans="1:11" s="71" customFormat="1">
      <c r="A1039" s="87"/>
      <c r="B1039" s="30"/>
      <c r="C1039" s="70"/>
      <c r="G1039" s="30"/>
      <c r="H1039" s="77"/>
      <c r="I1039" s="77"/>
      <c r="J1039" s="58"/>
      <c r="K1039" s="3"/>
    </row>
    <row r="1040" spans="1:11" s="71" customFormat="1">
      <c r="A1040" s="87"/>
      <c r="B1040" s="30"/>
      <c r="C1040" s="70"/>
      <c r="G1040" s="30"/>
      <c r="H1040" s="77"/>
      <c r="I1040" s="77"/>
      <c r="J1040" s="58"/>
      <c r="K1040" s="3"/>
    </row>
    <row r="1041" spans="1:11" s="71" customFormat="1">
      <c r="A1041" s="87"/>
      <c r="B1041" s="30"/>
      <c r="C1041" s="70"/>
      <c r="G1041" s="30"/>
      <c r="H1041" s="77"/>
      <c r="I1041" s="77"/>
      <c r="J1041" s="58"/>
      <c r="K1041" s="3"/>
    </row>
    <row r="1042" spans="1:11" s="71" customFormat="1">
      <c r="A1042" s="87"/>
      <c r="B1042" s="30"/>
      <c r="C1042" s="70"/>
      <c r="G1042" s="30"/>
      <c r="H1042" s="77"/>
      <c r="I1042" s="77"/>
      <c r="J1042" s="58"/>
      <c r="K1042" s="3"/>
    </row>
    <row r="1043" spans="1:11" s="71" customFormat="1">
      <c r="A1043" s="87"/>
      <c r="B1043" s="30"/>
      <c r="C1043" s="70"/>
      <c r="G1043" s="30"/>
      <c r="H1043" s="77"/>
      <c r="I1043" s="77"/>
      <c r="J1043" s="58"/>
      <c r="K1043" s="3"/>
    </row>
    <row r="1044" spans="1:11" s="71" customFormat="1">
      <c r="A1044" s="87"/>
      <c r="B1044" s="30"/>
      <c r="C1044" s="70"/>
      <c r="G1044" s="30"/>
      <c r="H1044" s="77"/>
      <c r="I1044" s="77"/>
      <c r="J1044" s="58"/>
      <c r="K1044" s="3"/>
    </row>
    <row r="1045" spans="1:11" s="71" customFormat="1">
      <c r="A1045" s="87"/>
      <c r="B1045" s="30"/>
      <c r="C1045" s="70"/>
      <c r="G1045" s="30"/>
      <c r="H1045" s="77"/>
      <c r="I1045" s="77"/>
      <c r="J1045" s="58"/>
      <c r="K1045" s="3"/>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L1004"/>
  <sheetViews>
    <sheetView showZeros="0" zoomScale="80" zoomScaleNormal="80" workbookViewId="0">
      <selection activeCell="D27" sqref="D27:D112"/>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6.7109375" style="77" customWidth="1"/>
    <col min="10" max="10" width="43.5703125" style="58" customWidth="1"/>
    <col min="11" max="11" width="9.140625" style="58" customWidth="1"/>
    <col min="12" max="16384" width="8.85546875" style="3"/>
  </cols>
  <sheetData>
    <row r="1" spans="2:12" ht="15.75">
      <c r="B1" s="1" t="str">
        <f>'Drawings &amp; Data'!A1</f>
        <v>ESTATE NAME</v>
      </c>
      <c r="C1" s="1"/>
      <c r="D1" s="1"/>
      <c r="E1" s="1"/>
      <c r="F1" s="1"/>
      <c r="G1" s="1"/>
      <c r="H1" s="1"/>
      <c r="I1" s="1"/>
      <c r="J1" s="3"/>
      <c r="K1" s="3"/>
    </row>
    <row r="2" spans="2:12" ht="15.75">
      <c r="B2" s="4" t="str">
        <f>'Drawings &amp; Data'!A2</f>
        <v>STAGE X</v>
      </c>
      <c r="C2" s="1"/>
      <c r="D2" s="1"/>
      <c r="E2" s="1"/>
      <c r="F2" s="1"/>
      <c r="G2" s="1"/>
      <c r="H2" s="1"/>
      <c r="I2" s="1"/>
      <c r="J2" s="3"/>
      <c r="K2" s="3"/>
    </row>
    <row r="3" spans="2:12" ht="15.75">
      <c r="B3" s="1"/>
      <c r="C3" s="1"/>
      <c r="D3" s="1"/>
      <c r="E3" s="1"/>
      <c r="F3" s="1"/>
      <c r="G3" s="1"/>
      <c r="H3" s="1"/>
      <c r="I3" s="1"/>
      <c r="J3" s="3"/>
      <c r="K3" s="3"/>
    </row>
    <row r="4" spans="2:12" ht="15.75">
      <c r="B4" s="5" t="s">
        <v>9</v>
      </c>
      <c r="C4" s="1"/>
      <c r="D4" s="1"/>
      <c r="E4" s="1"/>
      <c r="F4" s="1"/>
      <c r="G4" s="1"/>
      <c r="H4" s="1"/>
      <c r="I4" s="1"/>
      <c r="J4" s="3"/>
      <c r="K4" s="3"/>
    </row>
    <row r="5" spans="2:12" ht="15.75">
      <c r="B5" s="6" t="str">
        <f>'Drawings &amp; Data'!A5</f>
        <v>Name and/or entity</v>
      </c>
      <c r="C5" s="1"/>
      <c r="D5" s="1"/>
      <c r="E5" s="1"/>
      <c r="F5" s="1"/>
      <c r="G5" s="1"/>
      <c r="H5" s="1"/>
      <c r="I5" s="1"/>
      <c r="J5" s="3"/>
      <c r="K5" s="3"/>
    </row>
    <row r="6" spans="2:12" ht="15.75">
      <c r="B6" s="6" t="str">
        <f>'Drawings &amp; Data'!A6</f>
        <v>Address 1</v>
      </c>
      <c r="C6" s="1"/>
      <c r="D6" s="1"/>
      <c r="E6" s="1"/>
      <c r="F6" s="1"/>
      <c r="G6" s="1"/>
      <c r="H6" s="1"/>
      <c r="I6" s="1"/>
      <c r="J6" s="3"/>
      <c r="K6" s="3"/>
    </row>
    <row r="7" spans="2:12" ht="15.75">
      <c r="B7" s="6" t="str">
        <f>'Drawings &amp; Data'!A7</f>
        <v>Address 2</v>
      </c>
      <c r="C7" s="1"/>
      <c r="D7" s="1"/>
      <c r="E7" s="1"/>
      <c r="F7" s="1"/>
      <c r="G7" s="1"/>
      <c r="H7" s="1"/>
      <c r="I7" s="1"/>
      <c r="J7" s="3"/>
      <c r="K7" s="3"/>
    </row>
    <row r="8" spans="2:12">
      <c r="B8" s="6"/>
      <c r="C8" s="6"/>
      <c r="D8" s="6"/>
      <c r="E8" s="6"/>
      <c r="F8" s="6"/>
      <c r="G8" s="6"/>
      <c r="H8" s="6"/>
      <c r="I8" s="6"/>
    </row>
    <row r="9" spans="2:12" ht="15">
      <c r="B9" s="5" t="s">
        <v>10</v>
      </c>
      <c r="C9" s="6"/>
      <c r="D9" s="6"/>
      <c r="E9" s="6"/>
      <c r="F9" s="6"/>
      <c r="G9" s="6"/>
      <c r="H9" s="6"/>
      <c r="I9" s="6"/>
    </row>
    <row r="10" spans="2:12">
      <c r="B10" s="6" t="s">
        <v>282</v>
      </c>
      <c r="C10" s="6"/>
      <c r="D10" s="6"/>
      <c r="E10" s="6"/>
      <c r="F10" s="6"/>
      <c r="G10" s="6"/>
      <c r="H10" s="6"/>
      <c r="I10" s="6"/>
      <c r="L10" s="58"/>
    </row>
    <row r="11" spans="2:12">
      <c r="B11" s="6" t="s">
        <v>530</v>
      </c>
      <c r="C11" s="6"/>
      <c r="D11" s="6"/>
      <c r="E11" s="6"/>
      <c r="F11" s="6"/>
      <c r="G11" s="6"/>
      <c r="H11" s="6"/>
      <c r="I11" s="6"/>
    </row>
    <row r="12" spans="2:12">
      <c r="B12" s="6" t="s">
        <v>529</v>
      </c>
      <c r="C12" s="6"/>
      <c r="D12" s="6"/>
      <c r="E12" s="6"/>
      <c r="F12" s="6"/>
      <c r="G12" s="6"/>
      <c r="H12" s="6"/>
      <c r="I12" s="6"/>
    </row>
    <row r="13" spans="2:12">
      <c r="B13" s="6"/>
      <c r="C13" s="6"/>
      <c r="D13" s="6"/>
      <c r="E13" s="6"/>
      <c r="F13" s="6"/>
      <c r="G13" s="6"/>
      <c r="H13" s="6"/>
      <c r="I13" s="6"/>
    </row>
    <row r="14" spans="2:12" ht="15.75">
      <c r="B14" s="4" t="s">
        <v>348</v>
      </c>
      <c r="C14" s="6"/>
      <c r="D14" s="6"/>
      <c r="E14" s="6"/>
      <c r="F14" s="6"/>
      <c r="G14" s="6"/>
      <c r="H14" s="6"/>
      <c r="I14" s="6"/>
    </row>
    <row r="15" spans="2:12" ht="15.75">
      <c r="B15" s="1" t="s">
        <v>30</v>
      </c>
      <c r="C15" s="6"/>
      <c r="D15" s="6"/>
      <c r="E15" s="6"/>
      <c r="F15" s="6"/>
      <c r="G15" s="6"/>
      <c r="H15" s="6"/>
      <c r="I15" s="6"/>
    </row>
    <row r="16" spans="2:12">
      <c r="B16" s="6"/>
      <c r="C16" s="6"/>
      <c r="D16" s="6"/>
      <c r="E16" s="6"/>
      <c r="F16" s="6"/>
      <c r="G16" s="6"/>
      <c r="H16" s="6"/>
      <c r="I16" s="6"/>
    </row>
    <row r="17" spans="1:11" ht="72"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72.599999999999994"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60.6" customHeight="1">
      <c r="B21" s="110" t="s">
        <v>183</v>
      </c>
      <c r="C21" s="110"/>
      <c r="D21" s="38"/>
      <c r="E21" s="38"/>
      <c r="F21" s="38"/>
      <c r="G21" s="39"/>
      <c r="H21" s="40"/>
      <c r="I21" s="40"/>
    </row>
    <row r="22" spans="1:11" s="41" customFormat="1" ht="15">
      <c r="A22" s="43" t="s">
        <v>513</v>
      </c>
      <c r="B22" s="94"/>
      <c r="C22" s="30"/>
      <c r="D22" s="38"/>
      <c r="E22" s="38"/>
      <c r="F22" s="38"/>
      <c r="G22" s="39"/>
      <c r="H22" s="40"/>
      <c r="I22" s="40"/>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49"/>
    </row>
    <row r="25" spans="1:11" s="41" customFormat="1" ht="15">
      <c r="A25" s="50">
        <v>1</v>
      </c>
      <c r="B25" s="51">
        <f ca="1">IF($A25="","",NumList())</f>
        <v>1</v>
      </c>
      <c r="C25" s="52" t="s">
        <v>75</v>
      </c>
      <c r="D25" s="48"/>
      <c r="E25" s="46"/>
      <c r="F25" s="46"/>
      <c r="G25" s="46"/>
      <c r="H25" s="49"/>
      <c r="I25" s="53">
        <f t="shared" ref="I25:I88" si="0">F25*H25</f>
        <v>0</v>
      </c>
    </row>
    <row r="26" spans="1:11" s="41" customFormat="1" ht="15">
      <c r="A26" s="50">
        <v>2</v>
      </c>
      <c r="B26" s="51" t="str">
        <f ca="1">IF($A26="","",NumList())</f>
        <v>1.1</v>
      </c>
      <c r="C26" s="54" t="s">
        <v>76</v>
      </c>
      <c r="D26" s="55"/>
      <c r="E26" s="51"/>
      <c r="F26" s="51"/>
      <c r="G26" s="46"/>
      <c r="H26" s="49"/>
      <c r="I26" s="53">
        <f t="shared" si="0"/>
        <v>0</v>
      </c>
    </row>
    <row r="27" spans="1:11" s="41" customFormat="1" ht="99.75">
      <c r="A27" s="50">
        <v>3</v>
      </c>
      <c r="B27" s="51" t="str">
        <f ca="1">IF($A27="","",NumList())</f>
        <v>1.1.1</v>
      </c>
      <c r="C27" s="54" t="s">
        <v>349</v>
      </c>
      <c r="D27" s="55">
        <f ca="1">IF(ISTEXT(G27),RANDBETWEEN(1,1),0)</f>
        <v>1</v>
      </c>
      <c r="E27" s="51"/>
      <c r="F27" s="89">
        <f ca="1">IF(ISTEXT(G27),RANDBETWEEN(1,100),0)</f>
        <v>95</v>
      </c>
      <c r="G27" s="51" t="s">
        <v>0</v>
      </c>
      <c r="H27" s="49">
        <f ca="1">IF(ISTEXT(G27),RANDBETWEEN(1,100),0)</f>
        <v>1</v>
      </c>
      <c r="I27" s="53">
        <f t="shared" ca="1" si="0"/>
        <v>95</v>
      </c>
    </row>
    <row r="28" spans="1:11" s="41" customFormat="1" ht="85.5">
      <c r="A28" s="50">
        <v>3</v>
      </c>
      <c r="B28" s="51" t="str">
        <f ca="1">IF($A28="","",NumList())</f>
        <v>1.1.2</v>
      </c>
      <c r="C28" s="54" t="s">
        <v>350</v>
      </c>
      <c r="D28" s="55">
        <f t="shared" ref="D28:D91" ca="1" si="1">IF(ISTEXT(G28),RANDBETWEEN(1,1),0)</f>
        <v>1</v>
      </c>
      <c r="E28" s="51"/>
      <c r="F28" s="89">
        <f t="shared" ref="F28:F91" ca="1" si="2">IF(ISTEXT(G28),RANDBETWEEN(1,100),0)</f>
        <v>80</v>
      </c>
      <c r="G28" s="51" t="s">
        <v>0</v>
      </c>
      <c r="H28" s="49">
        <f t="shared" ref="H28:H91" ca="1" si="3">IF(ISTEXT(G28),RANDBETWEEN(1,100),0)</f>
        <v>40</v>
      </c>
      <c r="I28" s="53">
        <f t="shared" ca="1" si="0"/>
        <v>3200</v>
      </c>
    </row>
    <row r="29" spans="1:11" s="41" customFormat="1" ht="15">
      <c r="A29" s="50">
        <v>3</v>
      </c>
      <c r="B29" s="51" t="str">
        <f ca="1">IF($A29="","",NumList())</f>
        <v>1.1.3</v>
      </c>
      <c r="C29" s="96" t="s">
        <v>351</v>
      </c>
      <c r="D29" s="55">
        <f t="shared" ca="1" si="1"/>
        <v>1</v>
      </c>
      <c r="E29" s="51"/>
      <c r="F29" s="89">
        <f t="shared" ca="1" si="2"/>
        <v>37</v>
      </c>
      <c r="G29" s="51" t="s">
        <v>0</v>
      </c>
      <c r="H29" s="49">
        <f t="shared" ca="1" si="3"/>
        <v>2</v>
      </c>
      <c r="I29" s="53">
        <f t="shared" ca="1" si="0"/>
        <v>74</v>
      </c>
    </row>
    <row r="30" spans="1:11" s="41" customFormat="1" ht="15">
      <c r="A30" s="50">
        <v>3</v>
      </c>
      <c r="B30" s="51" t="str">
        <f ca="1">IF($A30="","",NumList())</f>
        <v>1.1.4</v>
      </c>
      <c r="C30" s="96" t="s">
        <v>352</v>
      </c>
      <c r="D30" s="55">
        <f t="shared" ca="1" si="1"/>
        <v>1</v>
      </c>
      <c r="E30" s="51"/>
      <c r="F30" s="89">
        <f t="shared" ca="1" si="2"/>
        <v>47</v>
      </c>
      <c r="G30" s="51" t="s">
        <v>0</v>
      </c>
      <c r="H30" s="49">
        <f t="shared" ca="1" si="3"/>
        <v>41</v>
      </c>
      <c r="I30" s="53">
        <f t="shared" ca="1" si="0"/>
        <v>1927</v>
      </c>
    </row>
    <row r="31" spans="1:11" s="41" customFormat="1" ht="15">
      <c r="A31" s="50">
        <v>3</v>
      </c>
      <c r="B31" s="51" t="str">
        <f ca="1">IF($A31="","",NumList())</f>
        <v>1.1.5</v>
      </c>
      <c r="C31" s="96" t="s">
        <v>353</v>
      </c>
      <c r="D31" s="55">
        <f t="shared" ca="1" si="1"/>
        <v>1</v>
      </c>
      <c r="E31" s="51"/>
      <c r="F31" s="89">
        <f t="shared" ca="1" si="2"/>
        <v>90</v>
      </c>
      <c r="G31" s="51" t="s">
        <v>0</v>
      </c>
      <c r="H31" s="49">
        <f t="shared" ca="1" si="3"/>
        <v>40</v>
      </c>
      <c r="I31" s="53">
        <f t="shared" ca="1" si="0"/>
        <v>3600</v>
      </c>
    </row>
    <row r="32" spans="1:11" s="41" customFormat="1" ht="15">
      <c r="A32" s="50">
        <v>3</v>
      </c>
      <c r="B32" s="51" t="str">
        <f ca="1">IF($A32="","",NumList())</f>
        <v>1.1.6</v>
      </c>
      <c r="C32" s="96" t="s">
        <v>354</v>
      </c>
      <c r="D32" s="55">
        <f t="shared" ca="1" si="1"/>
        <v>1</v>
      </c>
      <c r="E32" s="51"/>
      <c r="F32" s="89">
        <f t="shared" ca="1" si="2"/>
        <v>78</v>
      </c>
      <c r="G32" s="51" t="s">
        <v>0</v>
      </c>
      <c r="H32" s="49">
        <f t="shared" ca="1" si="3"/>
        <v>37</v>
      </c>
      <c r="I32" s="53">
        <f t="shared" ca="1" si="0"/>
        <v>2886</v>
      </c>
    </row>
    <row r="33" spans="1:10" s="41" customFormat="1" ht="15">
      <c r="A33" s="50" t="s">
        <v>516</v>
      </c>
      <c r="B33" s="51" t="str">
        <f>IF($A33="","",NumList())</f>
        <v/>
      </c>
      <c r="C33" s="47"/>
      <c r="D33" s="55">
        <f t="shared" ca="1" si="1"/>
        <v>0</v>
      </c>
      <c r="E33" s="48"/>
      <c r="F33" s="89">
        <f t="shared" ca="1" si="2"/>
        <v>0</v>
      </c>
      <c r="G33" s="46"/>
      <c r="H33" s="49">
        <f t="shared" ca="1" si="3"/>
        <v>0</v>
      </c>
      <c r="I33" s="53">
        <f t="shared" ca="1" si="0"/>
        <v>0</v>
      </c>
    </row>
    <row r="34" spans="1:10" s="41" customFormat="1" ht="45">
      <c r="A34" s="50">
        <v>1</v>
      </c>
      <c r="B34" s="51">
        <f ca="1">IF($A34="","",NumList())</f>
        <v>2</v>
      </c>
      <c r="C34" s="63" t="s">
        <v>618</v>
      </c>
      <c r="D34" s="55">
        <f t="shared" ca="1" si="1"/>
        <v>0</v>
      </c>
      <c r="E34" s="48"/>
      <c r="F34" s="89">
        <f t="shared" ca="1" si="2"/>
        <v>0</v>
      </c>
      <c r="G34" s="46"/>
      <c r="H34" s="49">
        <f t="shared" ca="1" si="3"/>
        <v>0</v>
      </c>
      <c r="I34" s="53">
        <f t="shared" ca="1" si="0"/>
        <v>0</v>
      </c>
    </row>
    <row r="35" spans="1:10" s="41" customFormat="1" ht="34.5" customHeight="1">
      <c r="A35" s="50" t="s">
        <v>516</v>
      </c>
      <c r="B35" s="51" t="str">
        <f>IF($A35="","",NumList())</f>
        <v/>
      </c>
      <c r="C35" s="63" t="s">
        <v>288</v>
      </c>
      <c r="D35" s="55">
        <f t="shared" ca="1" si="1"/>
        <v>0</v>
      </c>
      <c r="E35" s="48"/>
      <c r="F35" s="89">
        <f t="shared" ca="1" si="2"/>
        <v>0</v>
      </c>
      <c r="G35" s="46"/>
      <c r="H35" s="49">
        <f t="shared" ca="1" si="3"/>
        <v>0</v>
      </c>
      <c r="I35" s="53">
        <f t="shared" ca="1" si="0"/>
        <v>0</v>
      </c>
    </row>
    <row r="36" spans="1:10" s="41" customFormat="1" ht="15">
      <c r="A36" s="50">
        <v>2</v>
      </c>
      <c r="B36" s="51" t="str">
        <f ca="1">IF($A36="","",NumList())</f>
        <v>2.1</v>
      </c>
      <c r="C36" s="61" t="s">
        <v>43</v>
      </c>
      <c r="D36" s="55">
        <f t="shared" ca="1" si="1"/>
        <v>1</v>
      </c>
      <c r="E36" s="55"/>
      <c r="F36" s="89">
        <f t="shared" ca="1" si="2"/>
        <v>35</v>
      </c>
      <c r="G36" s="51" t="s">
        <v>6</v>
      </c>
      <c r="H36" s="49">
        <f t="shared" ca="1" si="3"/>
        <v>43</v>
      </c>
      <c r="I36" s="53">
        <f t="shared" ca="1" si="0"/>
        <v>1505</v>
      </c>
      <c r="J36" s="58"/>
    </row>
    <row r="37" spans="1:10" s="41" customFormat="1" ht="15">
      <c r="A37" s="50">
        <v>2</v>
      </c>
      <c r="B37" s="51" t="str">
        <f ca="1">IF($A37="","",NumList())</f>
        <v>2.2</v>
      </c>
      <c r="C37" s="61" t="s">
        <v>267</v>
      </c>
      <c r="D37" s="55">
        <f t="shared" ca="1" si="1"/>
        <v>1</v>
      </c>
      <c r="E37" s="55"/>
      <c r="F37" s="89">
        <f t="shared" ca="1" si="2"/>
        <v>2</v>
      </c>
      <c r="G37" s="51" t="s">
        <v>6</v>
      </c>
      <c r="H37" s="49">
        <f t="shared" ca="1" si="3"/>
        <v>32</v>
      </c>
      <c r="I37" s="53">
        <f t="shared" ca="1" si="0"/>
        <v>64</v>
      </c>
      <c r="J37" s="58"/>
    </row>
    <row r="38" spans="1:10" s="41" customFormat="1" ht="15">
      <c r="A38" s="50">
        <v>2</v>
      </c>
      <c r="B38" s="51" t="str">
        <f ca="1">IF($A38="","",NumList())</f>
        <v>2.3</v>
      </c>
      <c r="C38" s="61" t="s">
        <v>268</v>
      </c>
      <c r="D38" s="55">
        <f t="shared" ca="1" si="1"/>
        <v>1</v>
      </c>
      <c r="E38" s="55"/>
      <c r="F38" s="89">
        <f t="shared" ca="1" si="2"/>
        <v>68</v>
      </c>
      <c r="G38" s="51" t="s">
        <v>6</v>
      </c>
      <c r="H38" s="49">
        <f t="shared" ca="1" si="3"/>
        <v>68</v>
      </c>
      <c r="I38" s="53">
        <f t="shared" ca="1" si="0"/>
        <v>4624</v>
      </c>
      <c r="J38" s="58"/>
    </row>
    <row r="39" spans="1:10" s="41" customFormat="1" ht="15">
      <c r="A39" s="50">
        <v>2</v>
      </c>
      <c r="B39" s="51" t="str">
        <f ca="1">IF($A39="","",NumList())</f>
        <v>2.4</v>
      </c>
      <c r="C39" s="61" t="s">
        <v>355</v>
      </c>
      <c r="D39" s="55">
        <f t="shared" ca="1" si="1"/>
        <v>1</v>
      </c>
      <c r="E39" s="55"/>
      <c r="F39" s="89">
        <f t="shared" ca="1" si="2"/>
        <v>74</v>
      </c>
      <c r="G39" s="51" t="s">
        <v>6</v>
      </c>
      <c r="H39" s="49">
        <f t="shared" ca="1" si="3"/>
        <v>94</v>
      </c>
      <c r="I39" s="53">
        <f t="shared" ca="1" si="0"/>
        <v>6956</v>
      </c>
      <c r="J39" s="58"/>
    </row>
    <row r="40" spans="1:10" s="41" customFormat="1" ht="15">
      <c r="A40" s="50">
        <v>2</v>
      </c>
      <c r="B40" s="51" t="str">
        <f ca="1">IF($A40="","",NumList())</f>
        <v>2.5</v>
      </c>
      <c r="C40" s="61" t="s">
        <v>502</v>
      </c>
      <c r="D40" s="55">
        <f t="shared" ca="1" si="1"/>
        <v>1</v>
      </c>
      <c r="E40" s="55"/>
      <c r="F40" s="89">
        <f t="shared" ca="1" si="2"/>
        <v>39</v>
      </c>
      <c r="G40" s="51" t="s">
        <v>6</v>
      </c>
      <c r="H40" s="49">
        <f t="shared" ca="1" si="3"/>
        <v>28</v>
      </c>
      <c r="I40" s="53">
        <f t="shared" ca="1" si="0"/>
        <v>1092</v>
      </c>
      <c r="J40" s="58"/>
    </row>
    <row r="41" spans="1:10" s="41" customFormat="1" ht="15">
      <c r="A41" s="50">
        <v>2</v>
      </c>
      <c r="B41" s="51" t="str">
        <f ca="1">IF($A41="","",NumList())</f>
        <v>2.6</v>
      </c>
      <c r="C41" s="61" t="s">
        <v>356</v>
      </c>
      <c r="D41" s="55">
        <f t="shared" ca="1" si="1"/>
        <v>1</v>
      </c>
      <c r="E41" s="55"/>
      <c r="F41" s="89">
        <f t="shared" ca="1" si="2"/>
        <v>24</v>
      </c>
      <c r="G41" s="51" t="s">
        <v>6</v>
      </c>
      <c r="H41" s="49">
        <f t="shared" ca="1" si="3"/>
        <v>48</v>
      </c>
      <c r="I41" s="53">
        <f t="shared" ca="1" si="0"/>
        <v>1152</v>
      </c>
      <c r="J41" s="58"/>
    </row>
    <row r="42" spans="1:10" s="41" customFormat="1" ht="15">
      <c r="A42" s="50">
        <v>2</v>
      </c>
      <c r="B42" s="51" t="str">
        <f ca="1">IF($A42="","",NumList())</f>
        <v>2.7</v>
      </c>
      <c r="C42" s="61" t="s">
        <v>357</v>
      </c>
      <c r="D42" s="55">
        <f t="shared" ca="1" si="1"/>
        <v>1</v>
      </c>
      <c r="E42" s="55"/>
      <c r="F42" s="89">
        <f t="shared" ca="1" si="2"/>
        <v>63</v>
      </c>
      <c r="G42" s="51" t="s">
        <v>6</v>
      </c>
      <c r="H42" s="49">
        <f t="shared" ca="1" si="3"/>
        <v>98</v>
      </c>
      <c r="I42" s="53">
        <f t="shared" ca="1" si="0"/>
        <v>6174</v>
      </c>
      <c r="J42" s="58"/>
    </row>
    <row r="43" spans="1:10" s="41" customFormat="1" ht="15">
      <c r="A43" s="50">
        <v>2</v>
      </c>
      <c r="B43" s="51" t="str">
        <f ca="1">IF($A43="","",NumList())</f>
        <v>2.8</v>
      </c>
      <c r="C43" s="61" t="s">
        <v>358</v>
      </c>
      <c r="D43" s="55">
        <f t="shared" ca="1" si="1"/>
        <v>1</v>
      </c>
      <c r="E43" s="55"/>
      <c r="F43" s="89">
        <f t="shared" ca="1" si="2"/>
        <v>91</v>
      </c>
      <c r="G43" s="51" t="s">
        <v>6</v>
      </c>
      <c r="H43" s="49">
        <f t="shared" ca="1" si="3"/>
        <v>35</v>
      </c>
      <c r="I43" s="53">
        <f t="shared" ca="1" si="0"/>
        <v>3185</v>
      </c>
      <c r="J43" s="58"/>
    </row>
    <row r="44" spans="1:10" s="41" customFormat="1" ht="15">
      <c r="A44" s="50">
        <v>2</v>
      </c>
      <c r="B44" s="51" t="str">
        <f ca="1">IF($A44="","",NumList())</f>
        <v>2.9</v>
      </c>
      <c r="C44" s="61" t="s">
        <v>503</v>
      </c>
      <c r="D44" s="55">
        <f t="shared" ca="1" si="1"/>
        <v>1</v>
      </c>
      <c r="E44" s="55"/>
      <c r="F44" s="89">
        <f t="shared" ca="1" si="2"/>
        <v>77</v>
      </c>
      <c r="G44" s="51" t="s">
        <v>6</v>
      </c>
      <c r="H44" s="49">
        <f t="shared" ca="1" si="3"/>
        <v>9</v>
      </c>
      <c r="I44" s="53">
        <f t="shared" ca="1" si="0"/>
        <v>693</v>
      </c>
      <c r="J44" s="58"/>
    </row>
    <row r="45" spans="1:10" s="41" customFormat="1" ht="15">
      <c r="A45" s="50">
        <v>2</v>
      </c>
      <c r="B45" s="51" t="str">
        <f ca="1">IF($A45="","",NumList())</f>
        <v>2.10</v>
      </c>
      <c r="C45" s="61" t="s">
        <v>344</v>
      </c>
      <c r="D45" s="55">
        <f t="shared" ca="1" si="1"/>
        <v>1</v>
      </c>
      <c r="E45" s="55"/>
      <c r="F45" s="89">
        <f t="shared" ca="1" si="2"/>
        <v>66</v>
      </c>
      <c r="G45" s="51" t="s">
        <v>6</v>
      </c>
      <c r="H45" s="49">
        <f t="shared" ca="1" si="3"/>
        <v>81</v>
      </c>
      <c r="I45" s="53">
        <f t="shared" ca="1" si="0"/>
        <v>5346</v>
      </c>
      <c r="J45" s="58"/>
    </row>
    <row r="46" spans="1:10" s="41" customFormat="1" ht="15">
      <c r="A46" s="50">
        <v>2</v>
      </c>
      <c r="B46" s="51" t="str">
        <f ca="1">IF($A46="","",NumList())</f>
        <v>2.11</v>
      </c>
      <c r="C46" s="61" t="s">
        <v>345</v>
      </c>
      <c r="D46" s="55">
        <f t="shared" ca="1" si="1"/>
        <v>1</v>
      </c>
      <c r="E46" s="55"/>
      <c r="F46" s="89">
        <f t="shared" ca="1" si="2"/>
        <v>93</v>
      </c>
      <c r="G46" s="51" t="s">
        <v>6</v>
      </c>
      <c r="H46" s="49">
        <f t="shared" ca="1" si="3"/>
        <v>33</v>
      </c>
      <c r="I46" s="53">
        <f t="shared" ca="1" si="0"/>
        <v>3069</v>
      </c>
      <c r="J46" s="58"/>
    </row>
    <row r="47" spans="1:10" s="41" customFormat="1" ht="15">
      <c r="A47" s="50">
        <v>2</v>
      </c>
      <c r="B47" s="51" t="str">
        <f ca="1">IF($A47="","",NumList())</f>
        <v>2.12</v>
      </c>
      <c r="C47" s="61" t="s">
        <v>363</v>
      </c>
      <c r="D47" s="55">
        <f t="shared" ca="1" si="1"/>
        <v>1</v>
      </c>
      <c r="E47" s="55"/>
      <c r="F47" s="89">
        <f t="shared" ca="1" si="2"/>
        <v>79</v>
      </c>
      <c r="G47" s="51" t="s">
        <v>6</v>
      </c>
      <c r="H47" s="49">
        <f t="shared" ca="1" si="3"/>
        <v>44</v>
      </c>
      <c r="I47" s="53">
        <f t="shared" ca="1" si="0"/>
        <v>3476</v>
      </c>
      <c r="J47" s="58"/>
    </row>
    <row r="48" spans="1:10" s="41" customFormat="1" ht="15">
      <c r="A48" s="50">
        <v>2</v>
      </c>
      <c r="B48" s="51" t="str">
        <f ca="1">IF($A48="","",NumList())</f>
        <v>2.13</v>
      </c>
      <c r="C48" s="61" t="s">
        <v>504</v>
      </c>
      <c r="D48" s="55">
        <f t="shared" ca="1" si="1"/>
        <v>1</v>
      </c>
      <c r="E48" s="55"/>
      <c r="F48" s="89">
        <f t="shared" ca="1" si="2"/>
        <v>5</v>
      </c>
      <c r="G48" s="51" t="s">
        <v>6</v>
      </c>
      <c r="H48" s="49">
        <f t="shared" ca="1" si="3"/>
        <v>7</v>
      </c>
      <c r="I48" s="53">
        <f t="shared" ca="1" si="0"/>
        <v>35</v>
      </c>
      <c r="J48" s="58"/>
    </row>
    <row r="49" spans="1:10" s="41" customFormat="1" ht="15">
      <c r="A49" s="50">
        <v>2</v>
      </c>
      <c r="B49" s="51" t="str">
        <f ca="1">IF($A49="","",NumList())</f>
        <v>2.14</v>
      </c>
      <c r="C49" s="61" t="s">
        <v>346</v>
      </c>
      <c r="D49" s="55">
        <f t="shared" ca="1" si="1"/>
        <v>1</v>
      </c>
      <c r="E49" s="55"/>
      <c r="F49" s="89">
        <f t="shared" ca="1" si="2"/>
        <v>32</v>
      </c>
      <c r="G49" s="51" t="s">
        <v>6</v>
      </c>
      <c r="H49" s="49">
        <f t="shared" ca="1" si="3"/>
        <v>84</v>
      </c>
      <c r="I49" s="53">
        <f t="shared" ca="1" si="0"/>
        <v>2688</v>
      </c>
      <c r="J49" s="58"/>
    </row>
    <row r="50" spans="1:10" s="41" customFormat="1" ht="15">
      <c r="A50" s="50">
        <v>2</v>
      </c>
      <c r="B50" s="51" t="str">
        <f ca="1">IF($A50="","",NumList())</f>
        <v>2.15</v>
      </c>
      <c r="C50" s="61" t="s">
        <v>347</v>
      </c>
      <c r="D50" s="55">
        <f t="shared" ca="1" si="1"/>
        <v>1</v>
      </c>
      <c r="E50" s="55"/>
      <c r="F50" s="89">
        <f t="shared" ca="1" si="2"/>
        <v>19</v>
      </c>
      <c r="G50" s="51" t="s">
        <v>6</v>
      </c>
      <c r="H50" s="49">
        <f t="shared" ca="1" si="3"/>
        <v>6</v>
      </c>
      <c r="I50" s="53">
        <f t="shared" ca="1" si="0"/>
        <v>114</v>
      </c>
      <c r="J50" s="58"/>
    </row>
    <row r="51" spans="1:10" s="41" customFormat="1" ht="15">
      <c r="A51" s="50">
        <v>2</v>
      </c>
      <c r="B51" s="51" t="str">
        <f ca="1">IF($A51="","",NumList())</f>
        <v>2.16</v>
      </c>
      <c r="C51" s="61" t="s">
        <v>359</v>
      </c>
      <c r="D51" s="55">
        <f t="shared" ca="1" si="1"/>
        <v>1</v>
      </c>
      <c r="E51" s="55"/>
      <c r="F51" s="89">
        <f t="shared" ca="1" si="2"/>
        <v>50</v>
      </c>
      <c r="G51" s="51" t="s">
        <v>6</v>
      </c>
      <c r="H51" s="49">
        <f t="shared" ca="1" si="3"/>
        <v>2</v>
      </c>
      <c r="I51" s="53">
        <f t="shared" ca="1" si="0"/>
        <v>100</v>
      </c>
      <c r="J51" s="58"/>
    </row>
    <row r="52" spans="1:10" s="41" customFormat="1" ht="15">
      <c r="A52" s="50">
        <v>2</v>
      </c>
      <c r="B52" s="51" t="str">
        <f ca="1">IF($A52="","",NumList())</f>
        <v>2.17</v>
      </c>
      <c r="C52" s="61" t="s">
        <v>295</v>
      </c>
      <c r="D52" s="55">
        <f t="shared" ca="1" si="1"/>
        <v>1</v>
      </c>
      <c r="E52" s="55"/>
      <c r="F52" s="89">
        <f t="shared" ca="1" si="2"/>
        <v>64</v>
      </c>
      <c r="G52" s="51" t="s">
        <v>6</v>
      </c>
      <c r="H52" s="49">
        <f t="shared" ca="1" si="3"/>
        <v>41</v>
      </c>
      <c r="I52" s="53">
        <f t="shared" ca="1" si="0"/>
        <v>2624</v>
      </c>
      <c r="J52" s="58"/>
    </row>
    <row r="53" spans="1:10" s="41" customFormat="1" ht="15">
      <c r="A53" s="50">
        <v>2</v>
      </c>
      <c r="B53" s="51" t="str">
        <f ca="1">IF($A53="","",NumList())</f>
        <v>2.18</v>
      </c>
      <c r="C53" s="61" t="s">
        <v>360</v>
      </c>
      <c r="D53" s="55">
        <f t="shared" ca="1" si="1"/>
        <v>1</v>
      </c>
      <c r="E53" s="55"/>
      <c r="F53" s="89">
        <f t="shared" ca="1" si="2"/>
        <v>65</v>
      </c>
      <c r="G53" s="51" t="s">
        <v>6</v>
      </c>
      <c r="H53" s="49">
        <f t="shared" ca="1" si="3"/>
        <v>37</v>
      </c>
      <c r="I53" s="53">
        <f t="shared" ca="1" si="0"/>
        <v>2405</v>
      </c>
      <c r="J53" s="58"/>
    </row>
    <row r="54" spans="1:10" s="41" customFormat="1" ht="15">
      <c r="A54" s="50">
        <v>2</v>
      </c>
      <c r="B54" s="51" t="str">
        <f ca="1">IF($A54="","",NumList())</f>
        <v>2.19</v>
      </c>
      <c r="C54" s="61" t="s">
        <v>361</v>
      </c>
      <c r="D54" s="55">
        <f t="shared" ca="1" si="1"/>
        <v>1</v>
      </c>
      <c r="E54" s="55"/>
      <c r="F54" s="89">
        <f t="shared" ca="1" si="2"/>
        <v>66</v>
      </c>
      <c r="G54" s="51" t="s">
        <v>6</v>
      </c>
      <c r="H54" s="49">
        <f t="shared" ca="1" si="3"/>
        <v>60</v>
      </c>
      <c r="I54" s="53">
        <f t="shared" ca="1" si="0"/>
        <v>3960</v>
      </c>
      <c r="J54" s="58"/>
    </row>
    <row r="55" spans="1:10" s="41" customFormat="1" ht="15">
      <c r="A55" s="50">
        <v>2</v>
      </c>
      <c r="B55" s="51" t="str">
        <f ca="1">IF($A55="","",NumList())</f>
        <v>2.20</v>
      </c>
      <c r="C55" s="61" t="s">
        <v>362</v>
      </c>
      <c r="D55" s="55">
        <f t="shared" ca="1" si="1"/>
        <v>1</v>
      </c>
      <c r="E55" s="55"/>
      <c r="F55" s="89">
        <f t="shared" ca="1" si="2"/>
        <v>54</v>
      </c>
      <c r="G55" s="51" t="s">
        <v>6</v>
      </c>
      <c r="H55" s="49">
        <f t="shared" ca="1" si="3"/>
        <v>53</v>
      </c>
      <c r="I55" s="53">
        <f t="shared" ca="1" si="0"/>
        <v>2862</v>
      </c>
      <c r="J55" s="58"/>
    </row>
    <row r="56" spans="1:10" s="41" customFormat="1" ht="15">
      <c r="A56" s="50" t="s">
        <v>516</v>
      </c>
      <c r="B56" s="51" t="str">
        <f>IF($A56="","",NumList())</f>
        <v/>
      </c>
      <c r="C56" s="61"/>
      <c r="D56" s="55">
        <f t="shared" ca="1" si="1"/>
        <v>0</v>
      </c>
      <c r="E56" s="55"/>
      <c r="F56" s="89">
        <f t="shared" ca="1" si="2"/>
        <v>0</v>
      </c>
      <c r="G56" s="51"/>
      <c r="H56" s="49">
        <f t="shared" ca="1" si="3"/>
        <v>0</v>
      </c>
      <c r="I56" s="53">
        <f t="shared" ca="1" si="0"/>
        <v>0</v>
      </c>
      <c r="J56" s="58"/>
    </row>
    <row r="57" spans="1:10" s="41" customFormat="1" ht="29.25" customHeight="1">
      <c r="A57" s="50">
        <v>1</v>
      </c>
      <c r="B57" s="51">
        <f ca="1">IF($A57="","",NumList())</f>
        <v>3</v>
      </c>
      <c r="C57" s="52" t="s">
        <v>619</v>
      </c>
      <c r="D57" s="55">
        <f t="shared" ca="1" si="1"/>
        <v>0</v>
      </c>
      <c r="E57" s="48"/>
      <c r="F57" s="89">
        <f t="shared" ca="1" si="2"/>
        <v>0</v>
      </c>
      <c r="G57" s="46"/>
      <c r="H57" s="49">
        <f t="shared" ca="1" si="3"/>
        <v>0</v>
      </c>
      <c r="I57" s="53">
        <f t="shared" ca="1" si="0"/>
        <v>0</v>
      </c>
      <c r="J57" s="95" t="s">
        <v>495</v>
      </c>
    </row>
    <row r="58" spans="1:10" s="58" customFormat="1" ht="28.5">
      <c r="A58" s="50">
        <v>2</v>
      </c>
      <c r="B58" s="51" t="str">
        <f ca="1">IF($A58="","",NumList())</f>
        <v>3.1</v>
      </c>
      <c r="C58" s="61" t="s">
        <v>501</v>
      </c>
      <c r="D58" s="55">
        <f t="shared" ca="1" si="1"/>
        <v>0</v>
      </c>
      <c r="E58" s="55"/>
      <c r="F58" s="89">
        <f t="shared" ca="1" si="2"/>
        <v>0</v>
      </c>
      <c r="G58" s="51"/>
      <c r="H58" s="49">
        <f t="shared" ca="1" si="3"/>
        <v>0</v>
      </c>
      <c r="I58" s="53">
        <f t="shared" ca="1" si="0"/>
        <v>0</v>
      </c>
    </row>
    <row r="59" spans="1:10" s="58" customFormat="1" ht="15" customHeight="1">
      <c r="A59" s="50">
        <v>3</v>
      </c>
      <c r="B59" s="51" t="str">
        <f ca="1">IF($A59="","",NumList())</f>
        <v>3.1.1</v>
      </c>
      <c r="C59" s="61" t="s">
        <v>620</v>
      </c>
      <c r="D59" s="55">
        <f t="shared" ca="1" si="1"/>
        <v>1</v>
      </c>
      <c r="E59" s="55"/>
      <c r="F59" s="89">
        <f t="shared" ca="1" si="2"/>
        <v>82</v>
      </c>
      <c r="G59" s="51" t="s">
        <v>8</v>
      </c>
      <c r="H59" s="49">
        <f t="shared" ca="1" si="3"/>
        <v>38</v>
      </c>
      <c r="I59" s="53">
        <f t="shared" ca="1" si="0"/>
        <v>3116</v>
      </c>
    </row>
    <row r="60" spans="1:10" s="58" customFormat="1" ht="15" customHeight="1">
      <c r="A60" s="50">
        <v>3</v>
      </c>
      <c r="B60" s="51" t="str">
        <f ca="1">IF($A60="","",NumList())</f>
        <v>3.1.2</v>
      </c>
      <c r="C60" s="61" t="s">
        <v>621</v>
      </c>
      <c r="D60" s="55">
        <f t="shared" ca="1" si="1"/>
        <v>1</v>
      </c>
      <c r="E60" s="55"/>
      <c r="F60" s="89">
        <f t="shared" ca="1" si="2"/>
        <v>44</v>
      </c>
      <c r="G60" s="51" t="s">
        <v>8</v>
      </c>
      <c r="H60" s="49">
        <f t="shared" ca="1" si="3"/>
        <v>12</v>
      </c>
      <c r="I60" s="53">
        <f t="shared" ca="1" si="0"/>
        <v>528</v>
      </c>
    </row>
    <row r="61" spans="1:10" s="58" customFormat="1" ht="15" customHeight="1">
      <c r="A61" s="50">
        <v>3</v>
      </c>
      <c r="B61" s="51" t="str">
        <f ca="1">IF($A61="","",NumList())</f>
        <v>3.1.3</v>
      </c>
      <c r="C61" s="61" t="s">
        <v>622</v>
      </c>
      <c r="D61" s="55">
        <f t="shared" ca="1" si="1"/>
        <v>1</v>
      </c>
      <c r="E61" s="55"/>
      <c r="F61" s="89">
        <f t="shared" ca="1" si="2"/>
        <v>23</v>
      </c>
      <c r="G61" s="51" t="s">
        <v>8</v>
      </c>
      <c r="H61" s="49">
        <f t="shared" ca="1" si="3"/>
        <v>51</v>
      </c>
      <c r="I61" s="53">
        <f t="shared" ca="1" si="0"/>
        <v>1173</v>
      </c>
    </row>
    <row r="62" spans="1:10" s="58" customFormat="1" ht="15" customHeight="1">
      <c r="A62" s="50">
        <v>3</v>
      </c>
      <c r="B62" s="51" t="str">
        <f ca="1">IF($A62="","",NumList())</f>
        <v>3.1.4</v>
      </c>
      <c r="C62" s="61" t="s">
        <v>623</v>
      </c>
      <c r="D62" s="55">
        <f t="shared" ca="1" si="1"/>
        <v>1</v>
      </c>
      <c r="E62" s="55"/>
      <c r="F62" s="89">
        <f t="shared" ca="1" si="2"/>
        <v>64</v>
      </c>
      <c r="G62" s="51" t="s">
        <v>8</v>
      </c>
      <c r="H62" s="49">
        <f t="shared" ca="1" si="3"/>
        <v>28</v>
      </c>
      <c r="I62" s="53">
        <f t="shared" ca="1" si="0"/>
        <v>1792</v>
      </c>
    </row>
    <row r="63" spans="1:10" s="58" customFormat="1" ht="15" customHeight="1">
      <c r="A63" s="50">
        <v>3</v>
      </c>
      <c r="B63" s="51" t="str">
        <f ca="1">IF($A63="","",NumList())</f>
        <v>3.1.5</v>
      </c>
      <c r="C63" s="62" t="s">
        <v>500</v>
      </c>
      <c r="D63" s="55">
        <f t="shared" ca="1" si="1"/>
        <v>1</v>
      </c>
      <c r="E63" s="55"/>
      <c r="F63" s="89">
        <f t="shared" ca="1" si="2"/>
        <v>13</v>
      </c>
      <c r="G63" s="51" t="s">
        <v>8</v>
      </c>
      <c r="H63" s="49">
        <f t="shared" ca="1" si="3"/>
        <v>91</v>
      </c>
      <c r="I63" s="53">
        <f t="shared" ca="1" si="0"/>
        <v>1183</v>
      </c>
    </row>
    <row r="64" spans="1:10" s="58" customFormat="1" ht="42.75">
      <c r="A64" s="50">
        <v>2</v>
      </c>
      <c r="B64" s="51" t="str">
        <f ca="1">IF($A64="","",NumList())</f>
        <v>3.2</v>
      </c>
      <c r="C64" s="62" t="s">
        <v>509</v>
      </c>
      <c r="D64" s="55">
        <f t="shared" ca="1" si="1"/>
        <v>0</v>
      </c>
      <c r="E64" s="55"/>
      <c r="F64" s="89">
        <f t="shared" ca="1" si="2"/>
        <v>0</v>
      </c>
      <c r="G64" s="51"/>
      <c r="H64" s="49">
        <f t="shared" ca="1" si="3"/>
        <v>0</v>
      </c>
      <c r="I64" s="53">
        <f t="shared" ca="1" si="0"/>
        <v>0</v>
      </c>
    </row>
    <row r="65" spans="1:9" s="58" customFormat="1" ht="15" customHeight="1">
      <c r="A65" s="50">
        <v>3</v>
      </c>
      <c r="B65" s="51" t="str">
        <f ca="1">IF($A65="","",NumList())</f>
        <v>3.2.1</v>
      </c>
      <c r="C65" s="62" t="s">
        <v>505</v>
      </c>
      <c r="D65" s="55">
        <f t="shared" ca="1" si="1"/>
        <v>1</v>
      </c>
      <c r="E65" s="55"/>
      <c r="F65" s="89">
        <f t="shared" ca="1" si="2"/>
        <v>76</v>
      </c>
      <c r="G65" s="51" t="s">
        <v>8</v>
      </c>
      <c r="H65" s="49">
        <f t="shared" ca="1" si="3"/>
        <v>18</v>
      </c>
      <c r="I65" s="53">
        <f t="shared" ca="1" si="0"/>
        <v>1368</v>
      </c>
    </row>
    <row r="66" spans="1:9" s="58" customFormat="1" ht="15" customHeight="1">
      <c r="A66" s="50">
        <v>3</v>
      </c>
      <c r="B66" s="51" t="str">
        <f ca="1">IF($A66="","",NumList())</f>
        <v>3.2.2</v>
      </c>
      <c r="C66" s="62" t="s">
        <v>364</v>
      </c>
      <c r="D66" s="55">
        <f t="shared" ca="1" si="1"/>
        <v>1</v>
      </c>
      <c r="E66" s="55"/>
      <c r="F66" s="89">
        <f t="shared" ca="1" si="2"/>
        <v>32</v>
      </c>
      <c r="G66" s="51" t="s">
        <v>8</v>
      </c>
      <c r="H66" s="49">
        <f t="shared" ca="1" si="3"/>
        <v>90</v>
      </c>
      <c r="I66" s="53">
        <f t="shared" ca="1" si="0"/>
        <v>2880</v>
      </c>
    </row>
    <row r="67" spans="1:9" s="58" customFormat="1" ht="15" customHeight="1">
      <c r="A67" s="50">
        <v>3</v>
      </c>
      <c r="B67" s="51" t="str">
        <f ca="1">IF($A67="","",NumList())</f>
        <v>3.2.3</v>
      </c>
      <c r="C67" s="62" t="s">
        <v>365</v>
      </c>
      <c r="D67" s="55">
        <f t="shared" ca="1" si="1"/>
        <v>1</v>
      </c>
      <c r="E67" s="55"/>
      <c r="F67" s="89">
        <f t="shared" ca="1" si="2"/>
        <v>77</v>
      </c>
      <c r="G67" s="51" t="s">
        <v>8</v>
      </c>
      <c r="H67" s="49">
        <f t="shared" ca="1" si="3"/>
        <v>17</v>
      </c>
      <c r="I67" s="53">
        <f t="shared" ca="1" si="0"/>
        <v>1309</v>
      </c>
    </row>
    <row r="68" spans="1:9" s="58" customFormat="1" ht="15" customHeight="1">
      <c r="A68" s="50">
        <v>3</v>
      </c>
      <c r="B68" s="51" t="str">
        <f ca="1">IF($A68="","",NumList())</f>
        <v>3.2.4</v>
      </c>
      <c r="C68" s="62" t="s">
        <v>366</v>
      </c>
      <c r="D68" s="55">
        <f t="shared" ca="1" si="1"/>
        <v>1</v>
      </c>
      <c r="E68" s="55"/>
      <c r="F68" s="89">
        <f t="shared" ca="1" si="2"/>
        <v>56</v>
      </c>
      <c r="G68" s="51" t="s">
        <v>8</v>
      </c>
      <c r="H68" s="49">
        <f t="shared" ca="1" si="3"/>
        <v>38</v>
      </c>
      <c r="I68" s="53">
        <f t="shared" ca="1" si="0"/>
        <v>2128</v>
      </c>
    </row>
    <row r="69" spans="1:9" s="58" customFormat="1" ht="15" customHeight="1">
      <c r="A69" s="50">
        <v>2</v>
      </c>
      <c r="B69" s="51" t="str">
        <f ca="1">IF($A69="","",NumList())</f>
        <v>3.3</v>
      </c>
      <c r="C69" s="62" t="s">
        <v>508</v>
      </c>
      <c r="D69" s="55">
        <f t="shared" ca="1" si="1"/>
        <v>0</v>
      </c>
      <c r="E69" s="55"/>
      <c r="F69" s="89">
        <f t="shared" ca="1" si="2"/>
        <v>0</v>
      </c>
      <c r="G69" s="51"/>
      <c r="H69" s="49">
        <f t="shared" ca="1" si="3"/>
        <v>0</v>
      </c>
      <c r="I69" s="53">
        <f t="shared" ca="1" si="0"/>
        <v>0</v>
      </c>
    </row>
    <row r="70" spans="1:9" s="58" customFormat="1" ht="15" customHeight="1">
      <c r="A70" s="50">
        <v>3</v>
      </c>
      <c r="B70" s="51" t="str">
        <f ca="1">IF($A70="","",NumList())</f>
        <v>3.3.1</v>
      </c>
      <c r="C70" s="62" t="s">
        <v>505</v>
      </c>
      <c r="D70" s="55">
        <f t="shared" ca="1" si="1"/>
        <v>1</v>
      </c>
      <c r="E70" s="55"/>
      <c r="F70" s="89">
        <f t="shared" ca="1" si="2"/>
        <v>70</v>
      </c>
      <c r="G70" s="51" t="s">
        <v>8</v>
      </c>
      <c r="H70" s="49">
        <f t="shared" ca="1" si="3"/>
        <v>14</v>
      </c>
      <c r="I70" s="53">
        <f t="shared" ca="1" si="0"/>
        <v>980</v>
      </c>
    </row>
    <row r="71" spans="1:9" s="58" customFormat="1" ht="15" customHeight="1">
      <c r="A71" s="50">
        <v>3</v>
      </c>
      <c r="B71" s="51" t="str">
        <f ca="1">IF($A71="","",NumList())</f>
        <v>3.3.2</v>
      </c>
      <c r="C71" s="62" t="s">
        <v>364</v>
      </c>
      <c r="D71" s="55">
        <f t="shared" ca="1" si="1"/>
        <v>1</v>
      </c>
      <c r="E71" s="55"/>
      <c r="F71" s="89">
        <f t="shared" ca="1" si="2"/>
        <v>70</v>
      </c>
      <c r="G71" s="51" t="s">
        <v>8</v>
      </c>
      <c r="H71" s="49">
        <f t="shared" ca="1" si="3"/>
        <v>3</v>
      </c>
      <c r="I71" s="53">
        <f t="shared" ca="1" si="0"/>
        <v>210</v>
      </c>
    </row>
    <row r="72" spans="1:9" s="58" customFormat="1" ht="15" customHeight="1">
      <c r="A72" s="50">
        <v>3</v>
      </c>
      <c r="B72" s="51" t="str">
        <f ca="1">IF($A72="","",NumList())</f>
        <v>3.3.3</v>
      </c>
      <c r="C72" s="62" t="s">
        <v>365</v>
      </c>
      <c r="D72" s="55">
        <f t="shared" ca="1" si="1"/>
        <v>1</v>
      </c>
      <c r="E72" s="55"/>
      <c r="F72" s="89">
        <f t="shared" ca="1" si="2"/>
        <v>96</v>
      </c>
      <c r="G72" s="51" t="s">
        <v>8</v>
      </c>
      <c r="H72" s="49">
        <f t="shared" ca="1" si="3"/>
        <v>71</v>
      </c>
      <c r="I72" s="53">
        <f t="shared" ca="1" si="0"/>
        <v>6816</v>
      </c>
    </row>
    <row r="73" spans="1:9" s="58" customFormat="1" ht="15" customHeight="1">
      <c r="A73" s="50">
        <v>3</v>
      </c>
      <c r="B73" s="51" t="str">
        <f ca="1">IF($A73="","",NumList())</f>
        <v>3.3.4</v>
      </c>
      <c r="C73" s="62" t="s">
        <v>366</v>
      </c>
      <c r="D73" s="55">
        <f t="shared" ca="1" si="1"/>
        <v>1</v>
      </c>
      <c r="E73" s="55"/>
      <c r="F73" s="89">
        <f t="shared" ca="1" si="2"/>
        <v>8</v>
      </c>
      <c r="G73" s="51" t="s">
        <v>8</v>
      </c>
      <c r="H73" s="49">
        <f t="shared" ca="1" si="3"/>
        <v>48</v>
      </c>
      <c r="I73" s="53">
        <f t="shared" ca="1" si="0"/>
        <v>384</v>
      </c>
    </row>
    <row r="74" spans="1:9" s="58" customFormat="1" ht="15" customHeight="1">
      <c r="A74" s="50">
        <v>2</v>
      </c>
      <c r="B74" s="51" t="str">
        <f ca="1">IF($A74="","",NumList())</f>
        <v>3.4</v>
      </c>
      <c r="C74" s="62" t="s">
        <v>507</v>
      </c>
      <c r="D74" s="55">
        <f t="shared" ca="1" si="1"/>
        <v>0</v>
      </c>
      <c r="E74" s="55"/>
      <c r="F74" s="89">
        <f t="shared" ca="1" si="2"/>
        <v>0</v>
      </c>
      <c r="G74" s="51"/>
      <c r="H74" s="49">
        <f t="shared" ca="1" si="3"/>
        <v>0</v>
      </c>
      <c r="I74" s="53">
        <f t="shared" ca="1" si="0"/>
        <v>0</v>
      </c>
    </row>
    <row r="75" spans="1:9" s="58" customFormat="1" ht="15" customHeight="1">
      <c r="A75" s="50">
        <v>3</v>
      </c>
      <c r="B75" s="51" t="str">
        <f ca="1">IF($A75="","",NumList())</f>
        <v>3.4.1</v>
      </c>
      <c r="C75" s="62" t="s">
        <v>505</v>
      </c>
      <c r="D75" s="55">
        <f t="shared" ca="1" si="1"/>
        <v>1</v>
      </c>
      <c r="E75" s="55"/>
      <c r="F75" s="89">
        <f t="shared" ca="1" si="2"/>
        <v>1</v>
      </c>
      <c r="G75" s="51" t="s">
        <v>8</v>
      </c>
      <c r="H75" s="49">
        <f t="shared" ca="1" si="3"/>
        <v>88</v>
      </c>
      <c r="I75" s="53">
        <f t="shared" ca="1" si="0"/>
        <v>88</v>
      </c>
    </row>
    <row r="76" spans="1:9" s="58" customFormat="1" ht="15" customHeight="1">
      <c r="A76" s="50">
        <v>3</v>
      </c>
      <c r="B76" s="51" t="str">
        <f ca="1">IF($A76="","",NumList())</f>
        <v>3.4.2</v>
      </c>
      <c r="C76" s="62" t="s">
        <v>364</v>
      </c>
      <c r="D76" s="55">
        <f t="shared" ca="1" si="1"/>
        <v>1</v>
      </c>
      <c r="E76" s="55"/>
      <c r="F76" s="89">
        <f t="shared" ca="1" si="2"/>
        <v>70</v>
      </c>
      <c r="G76" s="51" t="s">
        <v>8</v>
      </c>
      <c r="H76" s="49">
        <f t="shared" ca="1" si="3"/>
        <v>56</v>
      </c>
      <c r="I76" s="53">
        <f t="shared" ca="1" si="0"/>
        <v>3920</v>
      </c>
    </row>
    <row r="77" spans="1:9" s="58" customFormat="1" ht="15" customHeight="1">
      <c r="A77" s="50">
        <v>3</v>
      </c>
      <c r="B77" s="51" t="str">
        <f ca="1">IF($A77="","",NumList())</f>
        <v>3.4.3</v>
      </c>
      <c r="C77" s="62" t="s">
        <v>365</v>
      </c>
      <c r="D77" s="55">
        <f t="shared" ca="1" si="1"/>
        <v>1</v>
      </c>
      <c r="E77" s="55"/>
      <c r="F77" s="89">
        <f t="shared" ca="1" si="2"/>
        <v>26</v>
      </c>
      <c r="G77" s="51" t="s">
        <v>8</v>
      </c>
      <c r="H77" s="49">
        <f t="shared" ca="1" si="3"/>
        <v>4</v>
      </c>
      <c r="I77" s="53">
        <f t="shared" ca="1" si="0"/>
        <v>104</v>
      </c>
    </row>
    <row r="78" spans="1:9" s="58" customFormat="1" ht="15" customHeight="1">
      <c r="A78" s="50">
        <v>3</v>
      </c>
      <c r="B78" s="51" t="str">
        <f ca="1">IF($A78="","",NumList())</f>
        <v>3.4.4</v>
      </c>
      <c r="C78" s="62" t="s">
        <v>366</v>
      </c>
      <c r="D78" s="55">
        <f t="shared" ca="1" si="1"/>
        <v>1</v>
      </c>
      <c r="E78" s="55"/>
      <c r="F78" s="89">
        <f t="shared" ca="1" si="2"/>
        <v>51</v>
      </c>
      <c r="G78" s="51" t="s">
        <v>8</v>
      </c>
      <c r="H78" s="49">
        <f t="shared" ca="1" si="3"/>
        <v>91</v>
      </c>
      <c r="I78" s="53">
        <f t="shared" ca="1" si="0"/>
        <v>4641</v>
      </c>
    </row>
    <row r="79" spans="1:9" s="58" customFormat="1" ht="15" customHeight="1">
      <c r="A79" s="50">
        <v>2</v>
      </c>
      <c r="B79" s="51" t="str">
        <f ca="1">IF($A79="","",NumList())</f>
        <v>3.5</v>
      </c>
      <c r="C79" s="62" t="s">
        <v>506</v>
      </c>
      <c r="D79" s="55">
        <f t="shared" ca="1" si="1"/>
        <v>0</v>
      </c>
      <c r="E79" s="55"/>
      <c r="F79" s="89">
        <f t="shared" ca="1" si="2"/>
        <v>0</v>
      </c>
      <c r="G79" s="51"/>
      <c r="H79" s="49">
        <f t="shared" ca="1" si="3"/>
        <v>0</v>
      </c>
      <c r="I79" s="53">
        <f t="shared" ca="1" si="0"/>
        <v>0</v>
      </c>
    </row>
    <row r="80" spans="1:9" s="58" customFormat="1" ht="15" customHeight="1">
      <c r="A80" s="50">
        <v>3</v>
      </c>
      <c r="B80" s="51" t="str">
        <f ca="1">IF($A80="","",NumList())</f>
        <v>3.5.1</v>
      </c>
      <c r="C80" s="62" t="s">
        <v>505</v>
      </c>
      <c r="D80" s="55">
        <f t="shared" ca="1" si="1"/>
        <v>1</v>
      </c>
      <c r="E80" s="55"/>
      <c r="F80" s="89">
        <f t="shared" ca="1" si="2"/>
        <v>96</v>
      </c>
      <c r="G80" s="51" t="s">
        <v>8</v>
      </c>
      <c r="H80" s="49">
        <f t="shared" ca="1" si="3"/>
        <v>73</v>
      </c>
      <c r="I80" s="53">
        <f t="shared" ca="1" si="0"/>
        <v>7008</v>
      </c>
    </row>
    <row r="81" spans="1:10" s="58" customFormat="1" ht="15" customHeight="1">
      <c r="A81" s="50">
        <v>3</v>
      </c>
      <c r="B81" s="51" t="str">
        <f ca="1">IF($A81="","",NumList())</f>
        <v>3.5.2</v>
      </c>
      <c r="C81" s="62" t="s">
        <v>364</v>
      </c>
      <c r="D81" s="55">
        <f t="shared" ca="1" si="1"/>
        <v>1</v>
      </c>
      <c r="E81" s="55"/>
      <c r="F81" s="89">
        <f t="shared" ca="1" si="2"/>
        <v>90</v>
      </c>
      <c r="G81" s="51" t="s">
        <v>8</v>
      </c>
      <c r="H81" s="49">
        <f t="shared" ca="1" si="3"/>
        <v>87</v>
      </c>
      <c r="I81" s="53">
        <f t="shared" ca="1" si="0"/>
        <v>7830</v>
      </c>
    </row>
    <row r="82" spans="1:10" s="58" customFormat="1" ht="15" customHeight="1">
      <c r="A82" s="50">
        <v>3</v>
      </c>
      <c r="B82" s="51" t="str">
        <f ca="1">IF($A82="","",NumList())</f>
        <v>3.5.3</v>
      </c>
      <c r="C82" s="62" t="s">
        <v>365</v>
      </c>
      <c r="D82" s="55">
        <f t="shared" ca="1" si="1"/>
        <v>1</v>
      </c>
      <c r="E82" s="55"/>
      <c r="F82" s="89">
        <f t="shared" ca="1" si="2"/>
        <v>56</v>
      </c>
      <c r="G82" s="51" t="s">
        <v>8</v>
      </c>
      <c r="H82" s="49">
        <f t="shared" ca="1" si="3"/>
        <v>91</v>
      </c>
      <c r="I82" s="53">
        <f t="shared" ca="1" si="0"/>
        <v>5096</v>
      </c>
    </row>
    <row r="83" spans="1:10" s="58" customFormat="1" ht="30.75" customHeight="1">
      <c r="A83" s="50">
        <v>2</v>
      </c>
      <c r="B83" s="51" t="str">
        <f ca="1">IF($A83="","",NumList())</f>
        <v>3.6</v>
      </c>
      <c r="C83" s="62" t="s">
        <v>367</v>
      </c>
      <c r="D83" s="55">
        <f t="shared" ca="1" si="1"/>
        <v>1</v>
      </c>
      <c r="E83" s="55"/>
      <c r="F83" s="89">
        <f t="shared" ca="1" si="2"/>
        <v>94</v>
      </c>
      <c r="G83" s="51" t="s">
        <v>8</v>
      </c>
      <c r="H83" s="49">
        <f t="shared" ca="1" si="3"/>
        <v>19</v>
      </c>
      <c r="I83" s="53">
        <f t="shared" ca="1" si="0"/>
        <v>1786</v>
      </c>
    </row>
    <row r="84" spans="1:10" s="58" customFormat="1" ht="15" customHeight="1">
      <c r="A84" s="50" t="s">
        <v>516</v>
      </c>
      <c r="B84" s="51" t="str">
        <f>IF($A84="","",NumList())</f>
        <v/>
      </c>
      <c r="C84" s="61"/>
      <c r="D84" s="55">
        <f t="shared" ca="1" si="1"/>
        <v>0</v>
      </c>
      <c r="E84" s="55"/>
      <c r="F84" s="89">
        <f t="shared" ca="1" si="2"/>
        <v>0</v>
      </c>
      <c r="G84" s="51"/>
      <c r="H84" s="49">
        <f t="shared" ca="1" si="3"/>
        <v>0</v>
      </c>
      <c r="I84" s="53">
        <f t="shared" ca="1" si="0"/>
        <v>0</v>
      </c>
    </row>
    <row r="85" spans="1:10" s="41" customFormat="1" ht="15">
      <c r="A85" s="50">
        <v>1</v>
      </c>
      <c r="B85" s="51">
        <f ca="1">IF($A85="","",NumList())</f>
        <v>4</v>
      </c>
      <c r="C85" s="63" t="s">
        <v>497</v>
      </c>
      <c r="D85" s="55">
        <f t="shared" ca="1" si="1"/>
        <v>0</v>
      </c>
      <c r="E85" s="48"/>
      <c r="F85" s="89">
        <f t="shared" ca="1" si="2"/>
        <v>0</v>
      </c>
      <c r="G85" s="46"/>
      <c r="H85" s="49">
        <f t="shared" ca="1" si="3"/>
        <v>0</v>
      </c>
      <c r="I85" s="53">
        <f t="shared" ca="1" si="0"/>
        <v>0</v>
      </c>
    </row>
    <row r="86" spans="1:10" s="58" customFormat="1" ht="44.25">
      <c r="A86" s="50">
        <v>2</v>
      </c>
      <c r="B86" s="51" t="str">
        <f ca="1">IF($A86="","",NumList())</f>
        <v>4.1</v>
      </c>
      <c r="C86" s="62" t="s">
        <v>612</v>
      </c>
      <c r="D86" s="55">
        <f t="shared" ca="1" si="1"/>
        <v>0</v>
      </c>
      <c r="E86" s="55"/>
      <c r="F86" s="89">
        <f t="shared" ca="1" si="2"/>
        <v>0</v>
      </c>
      <c r="G86" s="51"/>
      <c r="H86" s="49">
        <f t="shared" ca="1" si="3"/>
        <v>0</v>
      </c>
      <c r="I86" s="53">
        <f t="shared" ca="1" si="0"/>
        <v>0</v>
      </c>
      <c r="J86" s="95" t="s">
        <v>494</v>
      </c>
    </row>
    <row r="87" spans="1:10" s="58" customFormat="1" ht="15" customHeight="1">
      <c r="A87" s="50">
        <v>3</v>
      </c>
      <c r="B87" s="51" t="str">
        <f ca="1">IF($A87="","",NumList())</f>
        <v>4.1.1</v>
      </c>
      <c r="C87" s="62" t="s">
        <v>613</v>
      </c>
      <c r="D87" s="55">
        <f t="shared" ca="1" si="1"/>
        <v>1</v>
      </c>
      <c r="E87" s="55"/>
      <c r="F87" s="89">
        <f t="shared" ca="1" si="2"/>
        <v>90</v>
      </c>
      <c r="G87" s="51" t="s">
        <v>8</v>
      </c>
      <c r="H87" s="49">
        <f t="shared" ca="1" si="3"/>
        <v>89</v>
      </c>
      <c r="I87" s="53">
        <f t="shared" ca="1" si="0"/>
        <v>8010</v>
      </c>
    </row>
    <row r="88" spans="1:10" s="58" customFormat="1" ht="15" customHeight="1">
      <c r="A88" s="50">
        <v>3</v>
      </c>
      <c r="B88" s="51" t="str">
        <f ca="1">IF($A88="","",NumList())</f>
        <v>4.1.2</v>
      </c>
      <c r="C88" s="62" t="s">
        <v>614</v>
      </c>
      <c r="D88" s="55">
        <f t="shared" ca="1" si="1"/>
        <v>1</v>
      </c>
      <c r="E88" s="55"/>
      <c r="F88" s="89">
        <f t="shared" ca="1" si="2"/>
        <v>27</v>
      </c>
      <c r="G88" s="51" t="s">
        <v>8</v>
      </c>
      <c r="H88" s="49">
        <f t="shared" ca="1" si="3"/>
        <v>8</v>
      </c>
      <c r="I88" s="53">
        <f t="shared" ca="1" si="0"/>
        <v>216</v>
      </c>
    </row>
    <row r="89" spans="1:10" s="58" customFormat="1" ht="15" customHeight="1">
      <c r="A89" s="50">
        <v>3</v>
      </c>
      <c r="B89" s="51" t="str">
        <f ca="1">IF($A89="","",NumList())</f>
        <v>4.1.3</v>
      </c>
      <c r="C89" s="62" t="s">
        <v>615</v>
      </c>
      <c r="D89" s="55">
        <f t="shared" ca="1" si="1"/>
        <v>1</v>
      </c>
      <c r="E89" s="55"/>
      <c r="F89" s="89">
        <f t="shared" ca="1" si="2"/>
        <v>46</v>
      </c>
      <c r="G89" s="51" t="s">
        <v>8</v>
      </c>
      <c r="H89" s="49">
        <f t="shared" ca="1" si="3"/>
        <v>55</v>
      </c>
      <c r="I89" s="53">
        <f t="shared" ref="I89:I110" ca="1" si="4">F89*H89</f>
        <v>2530</v>
      </c>
    </row>
    <row r="90" spans="1:10" s="58" customFormat="1" ht="15" customHeight="1">
      <c r="A90" s="50" t="s">
        <v>516</v>
      </c>
      <c r="B90" s="51" t="str">
        <f>IF($A90="","",NumList())</f>
        <v/>
      </c>
      <c r="C90" s="62"/>
      <c r="D90" s="55">
        <f t="shared" ca="1" si="1"/>
        <v>0</v>
      </c>
      <c r="E90" s="55"/>
      <c r="F90" s="89">
        <f t="shared" ca="1" si="2"/>
        <v>0</v>
      </c>
      <c r="G90" s="51"/>
      <c r="H90" s="49">
        <f t="shared" ca="1" si="3"/>
        <v>0</v>
      </c>
      <c r="I90" s="53">
        <f t="shared" ca="1" si="4"/>
        <v>0</v>
      </c>
    </row>
    <row r="91" spans="1:10" s="58" customFormat="1" ht="31.5" customHeight="1">
      <c r="A91" s="50">
        <v>2</v>
      </c>
      <c r="B91" s="51" t="str">
        <f ca="1">IF($A91="","",NumList())</f>
        <v>4.2</v>
      </c>
      <c r="C91" s="62" t="s">
        <v>616</v>
      </c>
      <c r="D91" s="55">
        <f t="shared" ca="1" si="1"/>
        <v>1</v>
      </c>
      <c r="E91" s="55"/>
      <c r="F91" s="89">
        <f t="shared" ca="1" si="2"/>
        <v>33</v>
      </c>
      <c r="G91" s="51" t="s">
        <v>8</v>
      </c>
      <c r="H91" s="49">
        <f t="shared" ca="1" si="3"/>
        <v>25</v>
      </c>
      <c r="I91" s="53">
        <f t="shared" ca="1" si="4"/>
        <v>825</v>
      </c>
      <c r="J91" s="95" t="s">
        <v>494</v>
      </c>
    </row>
    <row r="92" spans="1:10" s="58" customFormat="1" ht="15" customHeight="1">
      <c r="A92" s="50">
        <v>3</v>
      </c>
      <c r="B92" s="51" t="str">
        <f ca="1">IF($A92="","",NumList())</f>
        <v>4.2.1</v>
      </c>
      <c r="C92" s="62" t="s">
        <v>613</v>
      </c>
      <c r="D92" s="55">
        <f t="shared" ref="D92:D112" ca="1" si="5">IF(ISTEXT(G92),RANDBETWEEN(1,1),0)</f>
        <v>1</v>
      </c>
      <c r="E92" s="55"/>
      <c r="F92" s="89">
        <f t="shared" ref="F92:F109" ca="1" si="6">IF(ISTEXT(G92),RANDBETWEEN(1,100),0)</f>
        <v>52</v>
      </c>
      <c r="G92" s="51" t="s">
        <v>8</v>
      </c>
      <c r="H92" s="49">
        <f t="shared" ref="H92:H109" ca="1" si="7">IF(ISTEXT(G92),RANDBETWEEN(1,100),0)</f>
        <v>69</v>
      </c>
      <c r="I92" s="53">
        <f t="shared" ca="1" si="4"/>
        <v>3588</v>
      </c>
    </row>
    <row r="93" spans="1:10" s="58" customFormat="1" ht="15" customHeight="1">
      <c r="A93" s="50">
        <v>3</v>
      </c>
      <c r="B93" s="51" t="str">
        <f ca="1">IF($A93="","",NumList())</f>
        <v>4.2.2</v>
      </c>
      <c r="C93" s="62" t="s">
        <v>614</v>
      </c>
      <c r="D93" s="55">
        <f t="shared" ca="1" si="5"/>
        <v>1</v>
      </c>
      <c r="E93" s="55"/>
      <c r="F93" s="89">
        <f t="shared" ca="1" si="6"/>
        <v>64</v>
      </c>
      <c r="G93" s="51" t="s">
        <v>8</v>
      </c>
      <c r="H93" s="49">
        <f t="shared" ca="1" si="7"/>
        <v>94</v>
      </c>
      <c r="I93" s="53">
        <f t="shared" ca="1" si="4"/>
        <v>6016</v>
      </c>
    </row>
    <row r="94" spans="1:10" s="58" customFormat="1" ht="15" customHeight="1">
      <c r="A94" s="50">
        <v>3</v>
      </c>
      <c r="B94" s="51" t="str">
        <f ca="1">IF($A94="","",NumList())</f>
        <v>4.2.3</v>
      </c>
      <c r="C94" s="62" t="s">
        <v>615</v>
      </c>
      <c r="D94" s="55">
        <f t="shared" ca="1" si="5"/>
        <v>1</v>
      </c>
      <c r="E94" s="55"/>
      <c r="F94" s="89">
        <f t="shared" ca="1" si="6"/>
        <v>25</v>
      </c>
      <c r="G94" s="51" t="s">
        <v>8</v>
      </c>
      <c r="H94" s="49">
        <f t="shared" ca="1" si="7"/>
        <v>100</v>
      </c>
      <c r="I94" s="53">
        <f t="shared" ca="1" si="4"/>
        <v>2500</v>
      </c>
    </row>
    <row r="95" spans="1:10" s="58" customFormat="1" ht="15" customHeight="1">
      <c r="A95" s="50" t="s">
        <v>516</v>
      </c>
      <c r="B95" s="51" t="str">
        <f>IF($A95="","",NumList())</f>
        <v/>
      </c>
      <c r="C95" s="61"/>
      <c r="D95" s="55">
        <f t="shared" ca="1" si="5"/>
        <v>0</v>
      </c>
      <c r="E95" s="55"/>
      <c r="F95" s="89">
        <f t="shared" ca="1" si="6"/>
        <v>0</v>
      </c>
      <c r="G95" s="51"/>
      <c r="H95" s="49">
        <f t="shared" ca="1" si="7"/>
        <v>0</v>
      </c>
      <c r="I95" s="53">
        <f t="shared" ca="1" si="4"/>
        <v>0</v>
      </c>
    </row>
    <row r="96" spans="1:10" s="41" customFormat="1" ht="15">
      <c r="A96" s="50">
        <v>1</v>
      </c>
      <c r="B96" s="51">
        <f ca="1">IF($A96="","",NumList())</f>
        <v>5</v>
      </c>
      <c r="C96" s="63" t="s">
        <v>231</v>
      </c>
      <c r="D96" s="55">
        <f t="shared" ca="1" si="5"/>
        <v>0</v>
      </c>
      <c r="E96" s="48"/>
      <c r="F96" s="89">
        <f t="shared" ca="1" si="6"/>
        <v>0</v>
      </c>
      <c r="G96" s="46"/>
      <c r="H96" s="49">
        <f t="shared" ca="1" si="7"/>
        <v>0</v>
      </c>
      <c r="I96" s="53">
        <f t="shared" ca="1" si="4"/>
        <v>0</v>
      </c>
    </row>
    <row r="97" spans="1:11" s="58" customFormat="1" ht="30">
      <c r="A97" s="50">
        <v>2</v>
      </c>
      <c r="B97" s="51" t="str">
        <f ca="1">IF($A97="","",NumList())</f>
        <v>5.1</v>
      </c>
      <c r="C97" s="61" t="s">
        <v>624</v>
      </c>
      <c r="D97" s="55">
        <f t="shared" ca="1" si="5"/>
        <v>1</v>
      </c>
      <c r="E97" s="55"/>
      <c r="F97" s="89">
        <f t="shared" ca="1" si="6"/>
        <v>40</v>
      </c>
      <c r="G97" s="51" t="s">
        <v>8</v>
      </c>
      <c r="H97" s="49">
        <f t="shared" ca="1" si="7"/>
        <v>33</v>
      </c>
      <c r="I97" s="53">
        <f t="shared" ca="1" si="4"/>
        <v>1320</v>
      </c>
    </row>
    <row r="98" spans="1:11" s="41" customFormat="1" ht="15">
      <c r="A98" s="50">
        <v>2</v>
      </c>
      <c r="B98" s="51" t="str">
        <f ca="1">IF($A98="","",NumList())</f>
        <v>5.2</v>
      </c>
      <c r="C98" s="62" t="s">
        <v>47</v>
      </c>
      <c r="D98" s="55">
        <f t="shared" ca="1" si="5"/>
        <v>1</v>
      </c>
      <c r="E98" s="55"/>
      <c r="F98" s="89">
        <f t="shared" ca="1" si="6"/>
        <v>86</v>
      </c>
      <c r="G98" s="51" t="s">
        <v>0</v>
      </c>
      <c r="H98" s="49">
        <f t="shared" ca="1" si="7"/>
        <v>96</v>
      </c>
      <c r="I98" s="53">
        <f t="shared" ca="1" si="4"/>
        <v>8256</v>
      </c>
      <c r="K98" s="58"/>
    </row>
    <row r="99" spans="1:11" s="41" customFormat="1" ht="15">
      <c r="A99" s="50" t="s">
        <v>516</v>
      </c>
      <c r="B99" s="51" t="str">
        <f>IF($A99="","",NumList())</f>
        <v/>
      </c>
      <c r="C99" s="61"/>
      <c r="D99" s="55">
        <f t="shared" ca="1" si="5"/>
        <v>0</v>
      </c>
      <c r="E99" s="55"/>
      <c r="F99" s="89">
        <f t="shared" ca="1" si="6"/>
        <v>0</v>
      </c>
      <c r="G99" s="51"/>
      <c r="H99" s="49">
        <f t="shared" ca="1" si="7"/>
        <v>0</v>
      </c>
      <c r="I99" s="53">
        <f t="shared" ca="1" si="4"/>
        <v>0</v>
      </c>
      <c r="K99" s="58"/>
    </row>
    <row r="100" spans="1:11" s="41" customFormat="1" ht="15">
      <c r="A100" s="50">
        <v>1</v>
      </c>
      <c r="B100" s="51">
        <f ca="1">IF($A100="","",NumList())</f>
        <v>6</v>
      </c>
      <c r="C100" s="69" t="s">
        <v>7</v>
      </c>
      <c r="D100" s="55">
        <f t="shared" ca="1" si="5"/>
        <v>0</v>
      </c>
      <c r="E100" s="48"/>
      <c r="F100" s="89">
        <f t="shared" ca="1" si="6"/>
        <v>0</v>
      </c>
      <c r="G100" s="46"/>
      <c r="H100" s="49">
        <f t="shared" ca="1" si="7"/>
        <v>0</v>
      </c>
      <c r="I100" s="53">
        <f t="shared" ca="1" si="4"/>
        <v>0</v>
      </c>
    </row>
    <row r="101" spans="1:11" s="41" customFormat="1" ht="28.5">
      <c r="A101" s="50">
        <v>2</v>
      </c>
      <c r="B101" s="51" t="str">
        <f ca="1">IF($A101="","",NumList())</f>
        <v>6.1</v>
      </c>
      <c r="C101" s="62" t="s">
        <v>368</v>
      </c>
      <c r="D101" s="55">
        <f t="shared" ca="1" si="5"/>
        <v>1</v>
      </c>
      <c r="E101" s="55"/>
      <c r="F101" s="89">
        <f t="shared" ca="1" si="6"/>
        <v>67</v>
      </c>
      <c r="G101" s="51" t="s">
        <v>0</v>
      </c>
      <c r="H101" s="49">
        <f t="shared" ca="1" si="7"/>
        <v>76</v>
      </c>
      <c r="I101" s="53">
        <f t="shared" ca="1" si="4"/>
        <v>5092</v>
      </c>
      <c r="K101" s="58"/>
    </row>
    <row r="102" spans="1:11" s="41" customFormat="1" ht="15">
      <c r="A102" s="50" t="s">
        <v>516</v>
      </c>
      <c r="B102" s="51" t="str">
        <f>IF($A102="","",NumList())</f>
        <v/>
      </c>
      <c r="C102" s="62"/>
      <c r="D102" s="55">
        <f t="shared" ca="1" si="5"/>
        <v>0</v>
      </c>
      <c r="E102" s="55"/>
      <c r="F102" s="89">
        <f t="shared" ca="1" si="6"/>
        <v>0</v>
      </c>
      <c r="G102" s="51"/>
      <c r="H102" s="49">
        <f t="shared" ca="1" si="7"/>
        <v>0</v>
      </c>
      <c r="I102" s="53">
        <f t="shared" ca="1" si="4"/>
        <v>0</v>
      </c>
      <c r="K102" s="58"/>
    </row>
    <row r="103" spans="1:11" s="41" customFormat="1" ht="30">
      <c r="A103" s="50">
        <v>1</v>
      </c>
      <c r="B103" s="51">
        <f ca="1">IF($A103="","",NumList())</f>
        <v>7</v>
      </c>
      <c r="C103" s="69" t="s">
        <v>339</v>
      </c>
      <c r="D103" s="55">
        <f t="shared" ca="1" si="5"/>
        <v>0</v>
      </c>
      <c r="E103" s="55"/>
      <c r="F103" s="89">
        <f t="shared" ca="1" si="6"/>
        <v>0</v>
      </c>
      <c r="G103" s="51"/>
      <c r="H103" s="49">
        <f t="shared" ca="1" si="7"/>
        <v>0</v>
      </c>
      <c r="I103" s="53">
        <f t="shared" ca="1" si="4"/>
        <v>0</v>
      </c>
      <c r="K103" s="58"/>
    </row>
    <row r="104" spans="1:11" s="41" customFormat="1" ht="15">
      <c r="A104" s="50">
        <v>2</v>
      </c>
      <c r="B104" s="51" t="str">
        <f ca="1">IF($A104="","",NumList())</f>
        <v>7.1</v>
      </c>
      <c r="C104" s="62" t="s">
        <v>369</v>
      </c>
      <c r="D104" s="55">
        <f t="shared" ca="1" si="5"/>
        <v>1</v>
      </c>
      <c r="E104" s="55"/>
      <c r="F104" s="89">
        <f t="shared" ca="1" si="6"/>
        <v>6</v>
      </c>
      <c r="G104" s="51" t="s">
        <v>0</v>
      </c>
      <c r="H104" s="49">
        <f t="shared" ca="1" si="7"/>
        <v>56</v>
      </c>
      <c r="I104" s="53">
        <f t="shared" ca="1" si="4"/>
        <v>336</v>
      </c>
      <c r="K104" s="58"/>
    </row>
    <row r="105" spans="1:11" s="41" customFormat="1" ht="15">
      <c r="A105" s="50">
        <v>2</v>
      </c>
      <c r="B105" s="51" t="str">
        <f ca="1">IF($A105="","",NumList())</f>
        <v>7.2</v>
      </c>
      <c r="C105" s="62" t="s">
        <v>370</v>
      </c>
      <c r="D105" s="55">
        <f t="shared" ca="1" si="5"/>
        <v>1</v>
      </c>
      <c r="E105" s="55"/>
      <c r="F105" s="89">
        <f t="shared" ca="1" si="6"/>
        <v>70</v>
      </c>
      <c r="G105" s="51" t="s">
        <v>0</v>
      </c>
      <c r="H105" s="49">
        <f t="shared" ca="1" si="7"/>
        <v>49</v>
      </c>
      <c r="I105" s="53">
        <f t="shared" ca="1" si="4"/>
        <v>3430</v>
      </c>
      <c r="K105" s="58"/>
    </row>
    <row r="106" spans="1:11" s="41" customFormat="1" ht="15">
      <c r="A106" s="50" t="s">
        <v>516</v>
      </c>
      <c r="B106" s="51" t="str">
        <f>IF($A106="","",NumList())</f>
        <v/>
      </c>
      <c r="C106" s="54"/>
      <c r="D106" s="55">
        <f t="shared" ca="1" si="5"/>
        <v>0</v>
      </c>
      <c r="E106" s="55"/>
      <c r="F106" s="89">
        <f t="shared" ca="1" si="6"/>
        <v>0</v>
      </c>
      <c r="G106" s="51"/>
      <c r="H106" s="49">
        <f t="shared" ca="1" si="7"/>
        <v>0</v>
      </c>
      <c r="I106" s="53">
        <f t="shared" ca="1" si="4"/>
        <v>0</v>
      </c>
      <c r="K106" s="58"/>
    </row>
    <row r="107" spans="1:11" s="41" customFormat="1" ht="15">
      <c r="A107" s="50">
        <v>1</v>
      </c>
      <c r="B107" s="51">
        <f ca="1">IF($A107="","",NumList())</f>
        <v>8</v>
      </c>
      <c r="C107" s="52" t="s">
        <v>11</v>
      </c>
      <c r="D107" s="55">
        <f t="shared" ca="1" si="5"/>
        <v>0</v>
      </c>
      <c r="E107" s="48"/>
      <c r="F107" s="89">
        <f t="shared" ca="1" si="6"/>
        <v>0</v>
      </c>
      <c r="G107" s="46"/>
      <c r="H107" s="49">
        <f t="shared" ca="1" si="7"/>
        <v>0</v>
      </c>
      <c r="I107" s="53">
        <f t="shared" ca="1" si="4"/>
        <v>0</v>
      </c>
      <c r="K107" s="58"/>
    </row>
    <row r="108" spans="1:11" s="41" customFormat="1" ht="57">
      <c r="A108" s="50">
        <v>2</v>
      </c>
      <c r="B108" s="51" t="str">
        <f ca="1">IF($A108="","",NumList())</f>
        <v>8.1</v>
      </c>
      <c r="C108" s="62" t="s">
        <v>276</v>
      </c>
      <c r="D108" s="55">
        <f t="shared" ca="1" si="5"/>
        <v>1</v>
      </c>
      <c r="E108" s="55"/>
      <c r="F108" s="89">
        <f t="shared" ca="1" si="6"/>
        <v>19</v>
      </c>
      <c r="G108" s="51" t="s">
        <v>0</v>
      </c>
      <c r="H108" s="49">
        <f t="shared" ca="1" si="7"/>
        <v>12</v>
      </c>
      <c r="I108" s="53">
        <f t="shared" ca="1" si="4"/>
        <v>228</v>
      </c>
      <c r="K108" s="58"/>
    </row>
    <row r="109" spans="1:11" s="41" customFormat="1" ht="28.5">
      <c r="A109" s="50">
        <v>2</v>
      </c>
      <c r="B109" s="51" t="str">
        <f ca="1">IF($A109="","",NumList())</f>
        <v>8.2</v>
      </c>
      <c r="C109" s="62" t="s">
        <v>48</v>
      </c>
      <c r="D109" s="55">
        <f t="shared" ca="1" si="5"/>
        <v>1</v>
      </c>
      <c r="E109" s="55"/>
      <c r="F109" s="89">
        <f t="shared" ca="1" si="6"/>
        <v>65</v>
      </c>
      <c r="G109" s="51" t="s">
        <v>0</v>
      </c>
      <c r="H109" s="49">
        <f t="shared" ca="1" si="7"/>
        <v>58</v>
      </c>
      <c r="I109" s="53">
        <f t="shared" ca="1" si="4"/>
        <v>3770</v>
      </c>
      <c r="K109" s="58"/>
    </row>
    <row r="110" spans="1:11" s="41" customFormat="1" ht="15">
      <c r="A110" s="50" t="s">
        <v>516</v>
      </c>
      <c r="B110" s="51" t="str">
        <f>IF($A110="","",NumList())</f>
        <v/>
      </c>
      <c r="C110" s="62"/>
      <c r="D110" s="55">
        <f t="shared" ca="1" si="5"/>
        <v>0</v>
      </c>
      <c r="E110" s="55"/>
      <c r="F110" s="55"/>
      <c r="G110" s="51"/>
      <c r="H110" s="78"/>
      <c r="I110" s="53">
        <f t="shared" si="4"/>
        <v>0</v>
      </c>
      <c r="K110" s="58"/>
    </row>
    <row r="111" spans="1:11" s="41" customFormat="1" ht="15">
      <c r="A111" s="50">
        <v>1</v>
      </c>
      <c r="B111" s="51">
        <f ca="1">IF($A111="","",NumList())</f>
        <v>9</v>
      </c>
      <c r="C111" s="52" t="s">
        <v>65</v>
      </c>
      <c r="D111" s="55">
        <f t="shared" ca="1" si="5"/>
        <v>0</v>
      </c>
      <c r="E111" s="55"/>
      <c r="F111" s="55"/>
      <c r="G111" s="51"/>
      <c r="H111" s="78"/>
      <c r="I111" s="53">
        <f>F111*H111</f>
        <v>0</v>
      </c>
      <c r="K111" s="58"/>
    </row>
    <row r="112" spans="1:11" s="41" customFormat="1" ht="28.5">
      <c r="A112" s="50" t="s">
        <v>516</v>
      </c>
      <c r="B112" s="51" t="str">
        <f>IF($A112="","",NumList())</f>
        <v/>
      </c>
      <c r="C112" s="62" t="s">
        <v>283</v>
      </c>
      <c r="D112" s="55">
        <f t="shared" ca="1" si="5"/>
        <v>1</v>
      </c>
      <c r="E112" s="55"/>
      <c r="F112" s="55">
        <v>1</v>
      </c>
      <c r="G112" s="51" t="s">
        <v>0</v>
      </c>
      <c r="H112" s="62" t="s">
        <v>73</v>
      </c>
      <c r="I112" s="53"/>
      <c r="K112" s="58"/>
    </row>
    <row r="113" spans="1:12" s="58" customFormat="1" ht="15" customHeight="1">
      <c r="A113" s="50"/>
      <c r="B113" s="32"/>
      <c r="C113" s="70"/>
      <c r="D113" s="71"/>
      <c r="E113" s="71"/>
      <c r="F113" s="71"/>
      <c r="G113" s="30"/>
      <c r="H113" s="82" t="s">
        <v>274</v>
      </c>
      <c r="I113" s="78">
        <f ca="1">SUM(I25:I112)</f>
        <v>164363</v>
      </c>
    </row>
    <row r="114" spans="1:12" s="58" customFormat="1" ht="14.25" customHeight="1">
      <c r="A114" s="50"/>
      <c r="B114" s="32"/>
      <c r="C114" s="70"/>
      <c r="D114" s="71"/>
      <c r="E114" s="71"/>
      <c r="F114" s="71"/>
      <c r="G114" s="30"/>
      <c r="H114" s="83"/>
      <c r="I114" s="77"/>
    </row>
    <row r="115" spans="1:12" s="58" customFormat="1" ht="14.25" customHeight="1">
      <c r="A115" s="50"/>
      <c r="B115" s="30"/>
      <c r="C115" s="70"/>
      <c r="D115" s="71"/>
      <c r="E115" s="71"/>
      <c r="F115" s="71"/>
      <c r="G115" s="30"/>
      <c r="H115" s="77"/>
      <c r="I115" s="77"/>
    </row>
    <row r="116" spans="1:12" s="58" customFormat="1" ht="14.25" customHeight="1">
      <c r="A116" s="50"/>
      <c r="B116" s="30"/>
      <c r="C116" s="30" t="s">
        <v>18</v>
      </c>
      <c r="D116" s="31"/>
      <c r="E116" s="31"/>
      <c r="F116" s="31"/>
      <c r="G116" s="31"/>
      <c r="H116" s="31"/>
      <c r="I116" s="31"/>
      <c r="J116" s="30"/>
    </row>
    <row r="117" spans="1:12" s="58" customFormat="1" ht="14.25" customHeight="1">
      <c r="A117" s="50"/>
      <c r="B117" s="30"/>
      <c r="C117" s="30"/>
      <c r="D117" s="34"/>
      <c r="E117" s="34"/>
      <c r="F117" s="34"/>
      <c r="G117" s="32"/>
      <c r="H117" s="33"/>
      <c r="I117" s="30"/>
      <c r="J117" s="30"/>
    </row>
    <row r="118" spans="1:12" s="58" customFormat="1" ht="14.25" customHeight="1">
      <c r="A118" s="50"/>
      <c r="B118" s="30"/>
      <c r="C118" s="30" t="s">
        <v>19</v>
      </c>
      <c r="D118" s="31"/>
      <c r="E118" s="31"/>
      <c r="F118" s="31"/>
      <c r="G118" s="31"/>
      <c r="H118" s="31"/>
      <c r="I118" s="31"/>
      <c r="J118" s="30"/>
    </row>
    <row r="119" spans="1:12" s="58" customFormat="1" ht="14.25" customHeight="1">
      <c r="A119" s="50"/>
      <c r="B119" s="30"/>
      <c r="C119" s="30"/>
      <c r="D119" s="34"/>
      <c r="E119" s="34"/>
      <c r="F119" s="34"/>
      <c r="G119" s="32"/>
      <c r="H119" s="33"/>
      <c r="I119" s="30"/>
      <c r="J119" s="30"/>
    </row>
    <row r="120" spans="1:12" ht="67.5">
      <c r="A120" s="50"/>
      <c r="C120" s="74" t="s">
        <v>188</v>
      </c>
    </row>
    <row r="121" spans="1:12">
      <c r="A121" s="50"/>
      <c r="C121" s="70"/>
    </row>
    <row r="122" spans="1:12">
      <c r="A122" s="50"/>
      <c r="C122" s="70"/>
    </row>
    <row r="123" spans="1:12" s="58" customFormat="1">
      <c r="A123" s="50"/>
      <c r="B123" s="30"/>
      <c r="C123" s="70"/>
      <c r="D123" s="71"/>
      <c r="E123" s="71"/>
      <c r="F123" s="71"/>
      <c r="G123" s="30"/>
      <c r="H123" s="77"/>
      <c r="I123" s="77"/>
      <c r="L123" s="3"/>
    </row>
    <row r="124" spans="1:12" s="58" customFormat="1">
      <c r="A124" s="50"/>
      <c r="B124" s="30"/>
      <c r="C124" s="70"/>
      <c r="D124" s="71"/>
      <c r="E124" s="71"/>
      <c r="F124" s="71"/>
      <c r="G124" s="30"/>
      <c r="H124" s="77"/>
      <c r="I124" s="77"/>
      <c r="L124" s="3"/>
    </row>
    <row r="125" spans="1:12" s="58" customFormat="1">
      <c r="A125" s="50"/>
      <c r="B125" s="30"/>
      <c r="C125" s="70"/>
      <c r="D125" s="71"/>
      <c r="E125" s="71"/>
      <c r="F125" s="71"/>
      <c r="G125" s="30"/>
      <c r="H125" s="77"/>
      <c r="I125" s="77"/>
      <c r="L125" s="3"/>
    </row>
    <row r="126" spans="1:12" s="58" customFormat="1">
      <c r="A126" s="50"/>
      <c r="B126" s="30"/>
      <c r="C126" s="70"/>
      <c r="D126" s="71"/>
      <c r="E126" s="71"/>
      <c r="F126" s="71"/>
      <c r="G126" s="30"/>
      <c r="H126" s="77"/>
      <c r="I126" s="77"/>
      <c r="L126" s="3"/>
    </row>
    <row r="127" spans="1:12" s="58" customFormat="1">
      <c r="A127" s="50"/>
      <c r="B127" s="30"/>
      <c r="C127" s="70"/>
      <c r="D127" s="71"/>
      <c r="E127" s="71"/>
      <c r="F127" s="71"/>
      <c r="G127" s="30"/>
      <c r="H127" s="77"/>
      <c r="I127" s="77"/>
      <c r="L127" s="3"/>
    </row>
    <row r="128" spans="1:12" s="58" customFormat="1">
      <c r="A128" s="50"/>
      <c r="B128" s="30"/>
      <c r="C128" s="70"/>
      <c r="D128" s="71"/>
      <c r="E128" s="71"/>
      <c r="F128" s="71"/>
      <c r="G128" s="30"/>
      <c r="H128" s="77"/>
      <c r="I128" s="77"/>
      <c r="L128" s="3"/>
    </row>
    <row r="129" spans="1:12" s="58" customFormat="1">
      <c r="A129" s="50"/>
      <c r="B129" s="30"/>
      <c r="C129" s="70"/>
      <c r="D129" s="71"/>
      <c r="E129" s="71"/>
      <c r="F129" s="71"/>
      <c r="G129" s="30"/>
      <c r="H129" s="77"/>
      <c r="I129" s="77"/>
      <c r="L129" s="3"/>
    </row>
    <row r="130" spans="1:12" s="58" customFormat="1">
      <c r="A130" s="50"/>
      <c r="B130" s="30"/>
      <c r="C130" s="70"/>
      <c r="D130" s="71"/>
      <c r="E130" s="71"/>
      <c r="F130" s="71"/>
      <c r="G130" s="30"/>
      <c r="H130" s="77"/>
      <c r="I130" s="77"/>
      <c r="L130" s="3"/>
    </row>
    <row r="131" spans="1:12" s="58" customFormat="1">
      <c r="A131" s="50"/>
      <c r="B131" s="30"/>
      <c r="C131" s="70"/>
      <c r="D131" s="71"/>
      <c r="E131" s="71"/>
      <c r="F131" s="71"/>
      <c r="G131" s="30"/>
      <c r="H131" s="77"/>
      <c r="I131" s="77"/>
      <c r="L131" s="3"/>
    </row>
    <row r="132" spans="1:12" s="58" customFormat="1">
      <c r="A132" s="50"/>
      <c r="B132" s="30"/>
      <c r="C132" s="70"/>
      <c r="D132" s="71"/>
      <c r="E132" s="71"/>
      <c r="F132" s="71"/>
      <c r="G132" s="30"/>
      <c r="H132" s="77"/>
      <c r="I132" s="77"/>
      <c r="L132" s="3"/>
    </row>
    <row r="133" spans="1:12" s="58" customFormat="1">
      <c r="A133" s="50"/>
      <c r="B133" s="30"/>
      <c r="C133" s="70"/>
      <c r="D133" s="71"/>
      <c r="E133" s="71"/>
      <c r="F133" s="71"/>
      <c r="G133" s="30"/>
      <c r="H133" s="77"/>
      <c r="I133" s="77"/>
      <c r="L133" s="3"/>
    </row>
    <row r="134" spans="1:12" s="58" customFormat="1">
      <c r="A134" s="50"/>
      <c r="B134" s="30"/>
      <c r="C134" s="70"/>
      <c r="D134" s="71"/>
      <c r="E134" s="71"/>
      <c r="F134" s="71"/>
      <c r="G134" s="30"/>
      <c r="H134" s="77"/>
      <c r="I134" s="77"/>
      <c r="L134" s="3"/>
    </row>
    <row r="135" spans="1:12" s="58" customFormat="1">
      <c r="A135" s="50"/>
      <c r="B135" s="30"/>
      <c r="C135" s="70"/>
      <c r="D135" s="71"/>
      <c r="E135" s="71"/>
      <c r="F135" s="71"/>
      <c r="G135" s="30"/>
      <c r="H135" s="77"/>
      <c r="I135" s="77"/>
      <c r="L135" s="3"/>
    </row>
    <row r="136" spans="1:12" s="58" customFormat="1">
      <c r="A136" s="50"/>
      <c r="B136" s="30"/>
      <c r="C136" s="70"/>
      <c r="D136" s="71"/>
      <c r="E136" s="71"/>
      <c r="F136" s="71"/>
      <c r="G136" s="30"/>
      <c r="H136" s="77"/>
      <c r="I136" s="77"/>
      <c r="L136" s="3"/>
    </row>
    <row r="137" spans="1:12" s="58" customFormat="1">
      <c r="A137" s="50"/>
      <c r="B137" s="30"/>
      <c r="C137" s="70"/>
      <c r="D137" s="71"/>
      <c r="E137" s="71"/>
      <c r="F137" s="71"/>
      <c r="G137" s="30"/>
      <c r="H137" s="77"/>
      <c r="I137" s="77"/>
      <c r="L137" s="3"/>
    </row>
    <row r="138" spans="1:12" s="58" customFormat="1">
      <c r="A138" s="50"/>
      <c r="B138" s="30"/>
      <c r="C138" s="70"/>
      <c r="D138" s="71"/>
      <c r="E138" s="71"/>
      <c r="F138" s="71"/>
      <c r="G138" s="30"/>
      <c r="H138" s="77"/>
      <c r="I138" s="77"/>
      <c r="L138" s="3"/>
    </row>
    <row r="139" spans="1:12" s="58" customFormat="1">
      <c r="A139" s="50"/>
      <c r="B139" s="30"/>
      <c r="C139" s="70"/>
      <c r="D139" s="71"/>
      <c r="E139" s="71"/>
      <c r="F139" s="71"/>
      <c r="G139" s="30"/>
      <c r="H139" s="77"/>
      <c r="I139" s="77"/>
      <c r="L139" s="3"/>
    </row>
    <row r="140" spans="1:12" s="58" customFormat="1">
      <c r="A140" s="50"/>
      <c r="B140" s="30"/>
      <c r="C140" s="70"/>
      <c r="D140" s="71"/>
      <c r="E140" s="71"/>
      <c r="F140" s="71"/>
      <c r="G140" s="30"/>
      <c r="H140" s="77"/>
      <c r="I140" s="77"/>
      <c r="L140" s="3"/>
    </row>
    <row r="141" spans="1:12" s="58" customFormat="1">
      <c r="A141" s="50"/>
      <c r="B141" s="30"/>
      <c r="C141" s="70"/>
      <c r="D141" s="71"/>
      <c r="E141" s="71"/>
      <c r="F141" s="71"/>
      <c r="G141" s="30"/>
      <c r="H141" s="77"/>
      <c r="I141" s="77"/>
      <c r="L141" s="3"/>
    </row>
    <row r="142" spans="1:12" s="58" customFormat="1">
      <c r="A142" s="50"/>
      <c r="B142" s="30"/>
      <c r="C142" s="70"/>
      <c r="D142" s="71"/>
      <c r="E142" s="71"/>
      <c r="F142" s="71"/>
      <c r="G142" s="30"/>
      <c r="H142" s="77"/>
      <c r="I142" s="77"/>
      <c r="L142" s="3"/>
    </row>
    <row r="143" spans="1:12" s="58" customFormat="1">
      <c r="A143" s="50"/>
      <c r="B143" s="30"/>
      <c r="C143" s="70"/>
      <c r="D143" s="71"/>
      <c r="E143" s="71"/>
      <c r="F143" s="71"/>
      <c r="G143" s="30"/>
      <c r="H143" s="77"/>
      <c r="I143" s="77"/>
      <c r="L143" s="3"/>
    </row>
    <row r="144" spans="1:12" s="58" customFormat="1">
      <c r="A144" s="50"/>
      <c r="B144" s="30"/>
      <c r="C144" s="70"/>
      <c r="D144" s="71"/>
      <c r="E144" s="71"/>
      <c r="F144" s="71"/>
      <c r="G144" s="30"/>
      <c r="H144" s="77"/>
      <c r="I144" s="77"/>
      <c r="L144" s="3"/>
    </row>
    <row r="145" spans="1:12" s="58" customFormat="1">
      <c r="A145" s="50"/>
      <c r="B145" s="30"/>
      <c r="C145" s="70"/>
      <c r="D145" s="71"/>
      <c r="E145" s="71"/>
      <c r="F145" s="71"/>
      <c r="G145" s="30"/>
      <c r="H145" s="77"/>
      <c r="I145" s="77"/>
      <c r="L145" s="3"/>
    </row>
    <row r="146" spans="1:12" s="58" customFormat="1">
      <c r="A146" s="50"/>
      <c r="B146" s="30"/>
      <c r="C146" s="70"/>
      <c r="D146" s="71"/>
      <c r="E146" s="71"/>
      <c r="F146" s="71"/>
      <c r="G146" s="30"/>
      <c r="H146" s="77"/>
      <c r="I146" s="77"/>
      <c r="L146" s="3"/>
    </row>
    <row r="147" spans="1:12" s="58" customFormat="1">
      <c r="A147" s="50"/>
      <c r="B147" s="30"/>
      <c r="C147" s="70"/>
      <c r="D147" s="71"/>
      <c r="E147" s="71"/>
      <c r="F147" s="71"/>
      <c r="G147" s="30"/>
      <c r="H147" s="77"/>
      <c r="I147" s="77"/>
      <c r="L147" s="3"/>
    </row>
    <row r="148" spans="1:12" s="58" customFormat="1">
      <c r="A148" s="50"/>
      <c r="B148" s="30"/>
      <c r="C148" s="70"/>
      <c r="D148" s="71"/>
      <c r="E148" s="71"/>
      <c r="F148" s="71"/>
      <c r="G148" s="30"/>
      <c r="H148" s="77"/>
      <c r="I148" s="77"/>
      <c r="L148" s="3"/>
    </row>
    <row r="149" spans="1:12" s="58" customFormat="1">
      <c r="A149" s="50"/>
      <c r="B149" s="30"/>
      <c r="C149" s="70"/>
      <c r="D149" s="71"/>
      <c r="E149" s="71"/>
      <c r="F149" s="71"/>
      <c r="G149" s="30"/>
      <c r="H149" s="77"/>
      <c r="I149" s="77"/>
      <c r="L149" s="3"/>
    </row>
    <row r="150" spans="1:12" s="58" customFormat="1">
      <c r="A150" s="50"/>
      <c r="B150" s="30"/>
      <c r="C150" s="70"/>
      <c r="D150" s="71"/>
      <c r="E150" s="71"/>
      <c r="F150" s="71"/>
      <c r="G150" s="30"/>
      <c r="H150" s="77"/>
      <c r="I150" s="77"/>
      <c r="L150" s="3"/>
    </row>
    <row r="151" spans="1:12" s="58" customFormat="1">
      <c r="A151" s="50"/>
      <c r="B151" s="30"/>
      <c r="C151" s="70"/>
      <c r="D151" s="71"/>
      <c r="E151" s="71"/>
      <c r="F151" s="71"/>
      <c r="G151" s="30"/>
      <c r="H151" s="77"/>
      <c r="I151" s="77"/>
      <c r="L151" s="3"/>
    </row>
    <row r="152" spans="1:12" s="58" customFormat="1">
      <c r="A152" s="50"/>
      <c r="B152" s="30"/>
      <c r="C152" s="70"/>
      <c r="D152" s="71"/>
      <c r="E152" s="71"/>
      <c r="F152" s="71"/>
      <c r="G152" s="30"/>
      <c r="H152" s="77"/>
      <c r="I152" s="77"/>
      <c r="L152" s="3"/>
    </row>
    <row r="153" spans="1:12" s="58" customFormat="1">
      <c r="A153" s="50"/>
      <c r="B153" s="30"/>
      <c r="C153" s="70"/>
      <c r="D153" s="71"/>
      <c r="E153" s="71"/>
      <c r="F153" s="71"/>
      <c r="G153" s="30"/>
      <c r="H153" s="77"/>
      <c r="I153" s="77"/>
      <c r="L153" s="3"/>
    </row>
    <row r="154" spans="1:12" s="58" customFormat="1">
      <c r="A154" s="50"/>
      <c r="B154" s="30"/>
      <c r="C154" s="70"/>
      <c r="D154" s="71"/>
      <c r="E154" s="71"/>
      <c r="F154" s="71"/>
      <c r="G154" s="30"/>
      <c r="H154" s="77"/>
      <c r="I154" s="77"/>
      <c r="L154" s="3"/>
    </row>
    <row r="155" spans="1:12" s="58" customFormat="1">
      <c r="A155" s="50"/>
      <c r="B155" s="30"/>
      <c r="C155" s="70"/>
      <c r="D155" s="71"/>
      <c r="E155" s="71"/>
      <c r="F155" s="71"/>
      <c r="G155" s="30"/>
      <c r="H155" s="77"/>
      <c r="I155" s="77"/>
      <c r="L155" s="3"/>
    </row>
    <row r="156" spans="1:12" s="58" customFormat="1">
      <c r="A156" s="50"/>
      <c r="B156" s="30"/>
      <c r="C156" s="70"/>
      <c r="D156" s="71"/>
      <c r="E156" s="71"/>
      <c r="F156" s="71"/>
      <c r="G156" s="30"/>
      <c r="H156" s="77"/>
      <c r="I156" s="77"/>
      <c r="L156" s="3"/>
    </row>
    <row r="157" spans="1:12" s="58" customFormat="1">
      <c r="A157" s="50"/>
      <c r="B157" s="30"/>
      <c r="C157" s="70"/>
      <c r="D157" s="71"/>
      <c r="E157" s="71"/>
      <c r="F157" s="71"/>
      <c r="G157" s="30"/>
      <c r="H157" s="77"/>
      <c r="I157" s="77"/>
      <c r="L157" s="3"/>
    </row>
    <row r="158" spans="1:12" s="58" customFormat="1">
      <c r="A158" s="50"/>
      <c r="B158" s="30"/>
      <c r="C158" s="70"/>
      <c r="D158" s="71"/>
      <c r="E158" s="71"/>
      <c r="F158" s="71"/>
      <c r="G158" s="30"/>
      <c r="H158" s="77"/>
      <c r="I158" s="77"/>
      <c r="L158" s="3"/>
    </row>
    <row r="159" spans="1:12" s="58" customFormat="1">
      <c r="A159" s="50"/>
      <c r="B159" s="30"/>
      <c r="C159" s="70"/>
      <c r="D159" s="71"/>
      <c r="E159" s="71"/>
      <c r="F159" s="71"/>
      <c r="G159" s="30"/>
      <c r="H159" s="77"/>
      <c r="I159" s="77"/>
      <c r="L159" s="3"/>
    </row>
    <row r="160" spans="1:12" s="58" customFormat="1">
      <c r="A160" s="50"/>
      <c r="B160" s="30"/>
      <c r="C160" s="70"/>
      <c r="D160" s="71"/>
      <c r="E160" s="71"/>
      <c r="F160" s="71"/>
      <c r="G160" s="30"/>
      <c r="H160" s="77"/>
      <c r="I160" s="77"/>
      <c r="L160" s="3"/>
    </row>
    <row r="161" spans="1:12" s="58" customFormat="1">
      <c r="A161" s="50"/>
      <c r="B161" s="30"/>
      <c r="C161" s="70"/>
      <c r="D161" s="71"/>
      <c r="E161" s="71"/>
      <c r="F161" s="71"/>
      <c r="G161" s="30"/>
      <c r="H161" s="77"/>
      <c r="I161" s="77"/>
      <c r="L161" s="3"/>
    </row>
    <row r="162" spans="1:12" s="58" customFormat="1">
      <c r="A162" s="50"/>
      <c r="B162" s="30"/>
      <c r="C162" s="70"/>
      <c r="D162" s="71"/>
      <c r="E162" s="71"/>
      <c r="F162" s="71"/>
      <c r="G162" s="30"/>
      <c r="H162" s="77"/>
      <c r="I162" s="77"/>
      <c r="L162" s="3"/>
    </row>
    <row r="163" spans="1:12" s="58" customFormat="1">
      <c r="A163" s="50"/>
      <c r="B163" s="30"/>
      <c r="C163" s="70"/>
      <c r="D163" s="71"/>
      <c r="E163" s="71"/>
      <c r="F163" s="71"/>
      <c r="G163" s="30"/>
      <c r="H163" s="77"/>
      <c r="I163" s="77"/>
      <c r="L163" s="3"/>
    </row>
    <row r="164" spans="1:12" s="58" customFormat="1">
      <c r="A164" s="50"/>
      <c r="B164" s="30"/>
      <c r="C164" s="70"/>
      <c r="D164" s="71"/>
      <c r="E164" s="71"/>
      <c r="F164" s="71"/>
      <c r="G164" s="30"/>
      <c r="H164" s="77"/>
      <c r="I164" s="77"/>
      <c r="L164" s="3"/>
    </row>
    <row r="165" spans="1:12" s="58" customFormat="1">
      <c r="A165" s="50"/>
      <c r="B165" s="30"/>
      <c r="C165" s="70"/>
      <c r="D165" s="71"/>
      <c r="E165" s="71"/>
      <c r="F165" s="71"/>
      <c r="G165" s="30"/>
      <c r="H165" s="77"/>
      <c r="I165" s="77"/>
      <c r="L165" s="3"/>
    </row>
    <row r="166" spans="1:12" s="58" customFormat="1">
      <c r="A166" s="50"/>
      <c r="B166" s="30"/>
      <c r="C166" s="70"/>
      <c r="D166" s="71"/>
      <c r="E166" s="71"/>
      <c r="F166" s="71"/>
      <c r="G166" s="30"/>
      <c r="H166" s="77"/>
      <c r="I166" s="77"/>
      <c r="L166" s="3"/>
    </row>
    <row r="167" spans="1:12" s="58" customFormat="1">
      <c r="A167" s="50"/>
      <c r="B167" s="30"/>
      <c r="C167" s="70"/>
      <c r="D167" s="71"/>
      <c r="E167" s="71"/>
      <c r="F167" s="71"/>
      <c r="G167" s="30"/>
      <c r="H167" s="77"/>
      <c r="I167" s="77"/>
      <c r="L167" s="3"/>
    </row>
    <row r="168" spans="1:12" s="58" customFormat="1">
      <c r="A168" s="50"/>
      <c r="B168" s="30"/>
      <c r="C168" s="70"/>
      <c r="D168" s="71"/>
      <c r="E168" s="71"/>
      <c r="F168" s="71"/>
      <c r="G168" s="30"/>
      <c r="H168" s="77"/>
      <c r="I168" s="77"/>
      <c r="L168" s="3"/>
    </row>
    <row r="169" spans="1:12" s="58" customFormat="1">
      <c r="A169" s="50"/>
      <c r="B169" s="30"/>
      <c r="C169" s="70"/>
      <c r="D169" s="71"/>
      <c r="E169" s="71"/>
      <c r="F169" s="71"/>
      <c r="G169" s="30"/>
      <c r="H169" s="77"/>
      <c r="I169" s="77"/>
      <c r="L169" s="3"/>
    </row>
    <row r="170" spans="1:12" s="58" customFormat="1">
      <c r="A170" s="50"/>
      <c r="B170" s="30"/>
      <c r="C170" s="70"/>
      <c r="D170" s="71"/>
      <c r="E170" s="71"/>
      <c r="F170" s="71"/>
      <c r="G170" s="30"/>
      <c r="H170" s="77"/>
      <c r="I170" s="77"/>
      <c r="L170" s="3"/>
    </row>
    <row r="171" spans="1:12" s="58" customFormat="1">
      <c r="A171" s="50"/>
      <c r="B171" s="30"/>
      <c r="C171" s="70"/>
      <c r="D171" s="71"/>
      <c r="E171" s="71"/>
      <c r="F171" s="71"/>
      <c r="G171" s="30"/>
      <c r="H171" s="77"/>
      <c r="I171" s="77"/>
      <c r="L171" s="3"/>
    </row>
    <row r="172" spans="1:12" s="58" customFormat="1">
      <c r="A172" s="50"/>
      <c r="B172" s="30"/>
      <c r="C172" s="70"/>
      <c r="D172" s="71"/>
      <c r="E172" s="71"/>
      <c r="F172" s="71"/>
      <c r="G172" s="30"/>
      <c r="H172" s="77"/>
      <c r="I172" s="77"/>
      <c r="L172" s="3"/>
    </row>
    <row r="173" spans="1:12" s="58" customFormat="1">
      <c r="A173" s="50"/>
      <c r="B173" s="30"/>
      <c r="C173" s="70"/>
      <c r="D173" s="71"/>
      <c r="E173" s="71"/>
      <c r="F173" s="71"/>
      <c r="G173" s="30"/>
      <c r="H173" s="77"/>
      <c r="I173" s="77"/>
      <c r="L173" s="3"/>
    </row>
    <row r="174" spans="1:12" s="58" customFormat="1">
      <c r="A174" s="50"/>
      <c r="B174" s="30"/>
      <c r="C174" s="70"/>
      <c r="D174" s="71"/>
      <c r="E174" s="71"/>
      <c r="F174" s="71"/>
      <c r="G174" s="30"/>
      <c r="H174" s="77"/>
      <c r="I174" s="77"/>
      <c r="L174" s="3"/>
    </row>
    <row r="175" spans="1:12" s="58" customFormat="1">
      <c r="A175" s="50"/>
      <c r="B175" s="30"/>
      <c r="C175" s="70"/>
      <c r="D175" s="71"/>
      <c r="E175" s="71"/>
      <c r="F175" s="71"/>
      <c r="G175" s="30"/>
      <c r="H175" s="77"/>
      <c r="I175" s="77"/>
      <c r="L175" s="3"/>
    </row>
    <row r="176" spans="1:12" s="58" customFormat="1">
      <c r="A176" s="50"/>
      <c r="B176" s="30"/>
      <c r="C176" s="70"/>
      <c r="D176" s="71"/>
      <c r="E176" s="71"/>
      <c r="F176" s="71"/>
      <c r="G176" s="30"/>
      <c r="H176" s="77"/>
      <c r="I176" s="77"/>
      <c r="L176" s="3"/>
    </row>
    <row r="177" spans="1:12" s="58" customFormat="1">
      <c r="A177" s="50"/>
      <c r="B177" s="30"/>
      <c r="C177" s="70"/>
      <c r="D177" s="71"/>
      <c r="E177" s="71"/>
      <c r="F177" s="71"/>
      <c r="G177" s="30"/>
      <c r="H177" s="77"/>
      <c r="I177" s="77"/>
      <c r="L177" s="3"/>
    </row>
    <row r="178" spans="1:12" s="58" customFormat="1">
      <c r="A178" s="50"/>
      <c r="B178" s="30"/>
      <c r="C178" s="70"/>
      <c r="D178" s="71"/>
      <c r="E178" s="71"/>
      <c r="F178" s="71"/>
      <c r="G178" s="30"/>
      <c r="H178" s="77"/>
      <c r="I178" s="77"/>
      <c r="L178" s="3"/>
    </row>
    <row r="179" spans="1:12" s="58" customFormat="1">
      <c r="A179" s="50"/>
      <c r="B179" s="30"/>
      <c r="C179" s="70"/>
      <c r="D179" s="71"/>
      <c r="E179" s="71"/>
      <c r="F179" s="71"/>
      <c r="G179" s="30"/>
      <c r="H179" s="77"/>
      <c r="I179" s="77"/>
      <c r="L179" s="3"/>
    </row>
    <row r="180" spans="1:12" s="58" customFormat="1">
      <c r="A180" s="50"/>
      <c r="B180" s="30"/>
      <c r="C180" s="70"/>
      <c r="D180" s="71"/>
      <c r="E180" s="71"/>
      <c r="F180" s="71"/>
      <c r="G180" s="30"/>
      <c r="H180" s="77"/>
      <c r="I180" s="77"/>
      <c r="L180" s="3"/>
    </row>
    <row r="181" spans="1:12" s="58" customFormat="1">
      <c r="A181" s="50"/>
      <c r="B181" s="30"/>
      <c r="C181" s="70"/>
      <c r="D181" s="71"/>
      <c r="E181" s="71"/>
      <c r="F181" s="71"/>
      <c r="G181" s="30"/>
      <c r="H181" s="77"/>
      <c r="I181" s="77"/>
      <c r="L181" s="3"/>
    </row>
    <row r="182" spans="1:12" s="58" customFormat="1">
      <c r="A182" s="50"/>
      <c r="B182" s="30"/>
      <c r="C182" s="70"/>
      <c r="D182" s="71"/>
      <c r="E182" s="71"/>
      <c r="F182" s="71"/>
      <c r="G182" s="30"/>
      <c r="H182" s="77"/>
      <c r="I182" s="77"/>
      <c r="L182" s="3"/>
    </row>
    <row r="183" spans="1:12" s="58" customFormat="1">
      <c r="A183" s="50"/>
      <c r="B183" s="30"/>
      <c r="C183" s="70"/>
      <c r="D183" s="71"/>
      <c r="E183" s="71"/>
      <c r="F183" s="71"/>
      <c r="G183" s="30"/>
      <c r="H183" s="77"/>
      <c r="I183" s="77"/>
      <c r="L183" s="3"/>
    </row>
    <row r="184" spans="1:12" s="58" customFormat="1">
      <c r="A184" s="50"/>
      <c r="B184" s="30"/>
      <c r="C184" s="70"/>
      <c r="D184" s="71"/>
      <c r="E184" s="71"/>
      <c r="F184" s="71"/>
      <c r="G184" s="30"/>
      <c r="H184" s="77"/>
      <c r="I184" s="77"/>
      <c r="L184" s="3"/>
    </row>
    <row r="185" spans="1:12" s="58" customFormat="1">
      <c r="A185" s="50"/>
      <c r="B185" s="30"/>
      <c r="C185" s="70"/>
      <c r="D185" s="71"/>
      <c r="E185" s="71"/>
      <c r="F185" s="71"/>
      <c r="G185" s="30"/>
      <c r="H185" s="77"/>
      <c r="I185" s="77"/>
      <c r="L185" s="3"/>
    </row>
    <row r="186" spans="1:12" s="58" customFormat="1">
      <c r="A186" s="50"/>
      <c r="B186" s="30"/>
      <c r="C186" s="70"/>
      <c r="D186" s="71"/>
      <c r="E186" s="71"/>
      <c r="F186" s="71"/>
      <c r="G186" s="30"/>
      <c r="H186" s="77"/>
      <c r="I186" s="77"/>
      <c r="L186" s="3"/>
    </row>
    <row r="187" spans="1:12" s="58" customFormat="1">
      <c r="A187" s="50"/>
      <c r="B187" s="30"/>
      <c r="C187" s="70"/>
      <c r="D187" s="71"/>
      <c r="E187" s="71"/>
      <c r="F187" s="71"/>
      <c r="G187" s="30"/>
      <c r="H187" s="77"/>
      <c r="I187" s="77"/>
      <c r="L187" s="3"/>
    </row>
    <row r="188" spans="1:12" s="58" customFormat="1">
      <c r="A188" s="50"/>
      <c r="B188" s="30"/>
      <c r="C188" s="70"/>
      <c r="D188" s="71"/>
      <c r="E188" s="71"/>
      <c r="F188" s="71"/>
      <c r="G188" s="30"/>
      <c r="H188" s="77"/>
      <c r="I188" s="77"/>
      <c r="L188" s="3"/>
    </row>
    <row r="189" spans="1:12" s="58" customFormat="1">
      <c r="A189" s="50"/>
      <c r="B189" s="30"/>
      <c r="C189" s="70"/>
      <c r="D189" s="71"/>
      <c r="E189" s="71"/>
      <c r="F189" s="71"/>
      <c r="G189" s="30"/>
      <c r="H189" s="77"/>
      <c r="I189" s="77"/>
      <c r="L189" s="3"/>
    </row>
    <row r="190" spans="1:12" s="58" customFormat="1">
      <c r="A190" s="50"/>
      <c r="B190" s="30"/>
      <c r="C190" s="70"/>
      <c r="D190" s="71"/>
      <c r="E190" s="71"/>
      <c r="F190" s="71"/>
      <c r="G190" s="30"/>
      <c r="H190" s="77"/>
      <c r="I190" s="77"/>
      <c r="L190" s="3"/>
    </row>
    <row r="191" spans="1:12" s="58" customFormat="1">
      <c r="A191" s="50"/>
      <c r="B191" s="30"/>
      <c r="C191" s="70"/>
      <c r="D191" s="71"/>
      <c r="E191" s="71"/>
      <c r="F191" s="71"/>
      <c r="G191" s="30"/>
      <c r="H191" s="77"/>
      <c r="I191" s="77"/>
      <c r="L191" s="3"/>
    </row>
    <row r="192" spans="1:12" s="58" customFormat="1">
      <c r="A192" s="50"/>
      <c r="B192" s="30"/>
      <c r="C192" s="70"/>
      <c r="D192" s="71"/>
      <c r="E192" s="71"/>
      <c r="F192" s="71"/>
      <c r="G192" s="30"/>
      <c r="H192" s="77"/>
      <c r="I192" s="77"/>
      <c r="L192" s="3"/>
    </row>
    <row r="193" spans="1:12" s="58" customFormat="1">
      <c r="A193" s="50"/>
      <c r="B193" s="30"/>
      <c r="C193" s="70"/>
      <c r="D193" s="71"/>
      <c r="E193" s="71"/>
      <c r="F193" s="71"/>
      <c r="G193" s="30"/>
      <c r="H193" s="77"/>
      <c r="I193" s="77"/>
      <c r="L193" s="3"/>
    </row>
    <row r="194" spans="1:12" s="58" customFormat="1">
      <c r="A194" s="50"/>
      <c r="B194" s="30"/>
      <c r="C194" s="70"/>
      <c r="D194" s="71"/>
      <c r="E194" s="71"/>
      <c r="F194" s="71"/>
      <c r="G194" s="30"/>
      <c r="H194" s="77"/>
      <c r="I194" s="77"/>
      <c r="L194" s="3"/>
    </row>
    <row r="195" spans="1:12" s="58" customFormat="1">
      <c r="A195" s="50"/>
      <c r="B195" s="30"/>
      <c r="C195" s="70"/>
      <c r="D195" s="71"/>
      <c r="E195" s="71"/>
      <c r="F195" s="71"/>
      <c r="G195" s="30"/>
      <c r="H195" s="77"/>
      <c r="I195" s="77"/>
      <c r="L195" s="3"/>
    </row>
    <row r="196" spans="1:12" s="58" customFormat="1">
      <c r="A196" s="50"/>
      <c r="B196" s="30"/>
      <c r="C196" s="70"/>
      <c r="D196" s="71"/>
      <c r="E196" s="71"/>
      <c r="F196" s="71"/>
      <c r="G196" s="30"/>
      <c r="H196" s="77"/>
      <c r="I196" s="77"/>
      <c r="L196" s="3"/>
    </row>
    <row r="197" spans="1:12" s="58" customFormat="1">
      <c r="A197" s="50"/>
      <c r="B197" s="30"/>
      <c r="C197" s="70"/>
      <c r="D197" s="71"/>
      <c r="E197" s="71"/>
      <c r="F197" s="71"/>
      <c r="G197" s="30"/>
      <c r="H197" s="77"/>
      <c r="I197" s="77"/>
      <c r="L197" s="3"/>
    </row>
    <row r="198" spans="1:12" s="58" customFormat="1">
      <c r="A198" s="50"/>
      <c r="B198" s="30"/>
      <c r="C198" s="70"/>
      <c r="D198" s="71"/>
      <c r="E198" s="71"/>
      <c r="F198" s="71"/>
      <c r="G198" s="30"/>
      <c r="H198" s="77"/>
      <c r="I198" s="77"/>
      <c r="L198" s="3"/>
    </row>
    <row r="199" spans="1:12" s="58" customFormat="1">
      <c r="A199" s="50"/>
      <c r="B199" s="30"/>
      <c r="C199" s="70"/>
      <c r="D199" s="71"/>
      <c r="E199" s="71"/>
      <c r="F199" s="71"/>
      <c r="G199" s="30"/>
      <c r="H199" s="77"/>
      <c r="I199" s="77"/>
      <c r="L199" s="3"/>
    </row>
    <row r="200" spans="1:12" s="58" customFormat="1">
      <c r="A200" s="50"/>
      <c r="B200" s="30"/>
      <c r="C200" s="70"/>
      <c r="D200" s="71"/>
      <c r="E200" s="71"/>
      <c r="F200" s="71"/>
      <c r="G200" s="30"/>
      <c r="H200" s="77"/>
      <c r="I200" s="77"/>
      <c r="L200" s="3"/>
    </row>
    <row r="201" spans="1:12" s="58" customFormat="1">
      <c r="A201" s="50"/>
      <c r="B201" s="30"/>
      <c r="C201" s="70"/>
      <c r="D201" s="71"/>
      <c r="E201" s="71"/>
      <c r="F201" s="71"/>
      <c r="G201" s="30"/>
      <c r="H201" s="77"/>
      <c r="I201" s="77"/>
      <c r="L201" s="3"/>
    </row>
    <row r="202" spans="1:12" s="58" customFormat="1">
      <c r="A202" s="50"/>
      <c r="B202" s="30"/>
      <c r="C202" s="70"/>
      <c r="D202" s="71"/>
      <c r="E202" s="71"/>
      <c r="F202" s="71"/>
      <c r="G202" s="30"/>
      <c r="H202" s="77"/>
      <c r="I202" s="77"/>
      <c r="L202" s="3"/>
    </row>
    <row r="203" spans="1:12" s="58" customFormat="1">
      <c r="A203" s="50"/>
      <c r="B203" s="30"/>
      <c r="C203" s="70"/>
      <c r="D203" s="71"/>
      <c r="E203" s="71"/>
      <c r="F203" s="71"/>
      <c r="G203" s="30"/>
      <c r="H203" s="77"/>
      <c r="I203" s="77"/>
      <c r="L203" s="3"/>
    </row>
    <row r="204" spans="1:12" s="58" customFormat="1">
      <c r="A204" s="50"/>
      <c r="B204" s="30"/>
      <c r="C204" s="70"/>
      <c r="D204" s="71"/>
      <c r="E204" s="71"/>
      <c r="F204" s="71"/>
      <c r="G204" s="30"/>
      <c r="H204" s="77"/>
      <c r="I204" s="77"/>
      <c r="L204" s="3"/>
    </row>
    <row r="205" spans="1:12" s="58" customFormat="1">
      <c r="A205" s="50"/>
      <c r="B205" s="30"/>
      <c r="C205" s="70"/>
      <c r="D205" s="71"/>
      <c r="E205" s="71"/>
      <c r="F205" s="71"/>
      <c r="G205" s="30"/>
      <c r="H205" s="77"/>
      <c r="I205" s="77"/>
      <c r="L205" s="3"/>
    </row>
    <row r="206" spans="1:12" s="58" customFormat="1">
      <c r="A206" s="50"/>
      <c r="B206" s="30"/>
      <c r="C206" s="70"/>
      <c r="D206" s="71"/>
      <c r="E206" s="71"/>
      <c r="F206" s="71"/>
      <c r="G206" s="30"/>
      <c r="H206" s="77"/>
      <c r="I206" s="77"/>
      <c r="L206" s="3"/>
    </row>
    <row r="207" spans="1:12" s="58" customFormat="1">
      <c r="A207" s="50"/>
      <c r="B207" s="30"/>
      <c r="C207" s="70"/>
      <c r="D207" s="71"/>
      <c r="E207" s="71"/>
      <c r="F207" s="71"/>
      <c r="G207" s="30"/>
      <c r="H207" s="77"/>
      <c r="I207" s="77"/>
      <c r="L207" s="3"/>
    </row>
    <row r="208" spans="1:12" s="58" customFormat="1">
      <c r="A208" s="50"/>
      <c r="B208" s="30"/>
      <c r="C208" s="70"/>
      <c r="D208" s="71"/>
      <c r="E208" s="71"/>
      <c r="F208" s="71"/>
      <c r="G208" s="30"/>
      <c r="H208" s="77"/>
      <c r="I208" s="77"/>
      <c r="L208" s="3"/>
    </row>
    <row r="209" spans="1:12" s="58" customFormat="1">
      <c r="A209" s="50"/>
      <c r="B209" s="30"/>
      <c r="C209" s="70"/>
      <c r="D209" s="71"/>
      <c r="E209" s="71"/>
      <c r="F209" s="71"/>
      <c r="G209" s="30"/>
      <c r="H209" s="77"/>
      <c r="I209" s="77"/>
      <c r="L209" s="3"/>
    </row>
    <row r="210" spans="1:12" s="58" customFormat="1">
      <c r="A210" s="50"/>
      <c r="B210" s="30"/>
      <c r="C210" s="70"/>
      <c r="D210" s="71"/>
      <c r="E210" s="71"/>
      <c r="F210" s="71"/>
      <c r="G210" s="30"/>
      <c r="H210" s="77"/>
      <c r="I210" s="77"/>
      <c r="L210" s="3"/>
    </row>
    <row r="211" spans="1:12" s="58" customFormat="1">
      <c r="A211" s="50"/>
      <c r="B211" s="30"/>
      <c r="C211" s="70"/>
      <c r="D211" s="71"/>
      <c r="E211" s="71"/>
      <c r="F211" s="71"/>
      <c r="G211" s="30"/>
      <c r="H211" s="77"/>
      <c r="I211" s="77"/>
      <c r="L211" s="3"/>
    </row>
    <row r="212" spans="1:12" s="58" customFormat="1">
      <c r="A212" s="50"/>
      <c r="B212" s="30"/>
      <c r="C212" s="70"/>
      <c r="D212" s="71"/>
      <c r="E212" s="71"/>
      <c r="F212" s="71"/>
      <c r="G212" s="30"/>
      <c r="H212" s="77"/>
      <c r="I212" s="77"/>
      <c r="L212" s="3"/>
    </row>
    <row r="213" spans="1:12" s="58" customFormat="1">
      <c r="A213" s="50"/>
      <c r="B213" s="30"/>
      <c r="C213" s="70"/>
      <c r="D213" s="71"/>
      <c r="E213" s="71"/>
      <c r="F213" s="71"/>
      <c r="G213" s="30"/>
      <c r="H213" s="77"/>
      <c r="I213" s="77"/>
      <c r="L213" s="3"/>
    </row>
    <row r="214" spans="1:12" s="58" customFormat="1">
      <c r="A214" s="50"/>
      <c r="B214" s="30"/>
      <c r="C214" s="70"/>
      <c r="D214" s="71"/>
      <c r="E214" s="71"/>
      <c r="F214" s="71"/>
      <c r="G214" s="30"/>
      <c r="H214" s="77"/>
      <c r="I214" s="77"/>
      <c r="L214" s="3"/>
    </row>
    <row r="215" spans="1:12" s="58" customFormat="1">
      <c r="A215" s="50"/>
      <c r="B215" s="30"/>
      <c r="C215" s="70"/>
      <c r="D215" s="71"/>
      <c r="E215" s="71"/>
      <c r="F215" s="71"/>
      <c r="G215" s="30"/>
      <c r="H215" s="77"/>
      <c r="I215" s="77"/>
      <c r="L215" s="3"/>
    </row>
    <row r="216" spans="1:12" s="58" customFormat="1">
      <c r="A216" s="50"/>
      <c r="B216" s="30"/>
      <c r="C216" s="70"/>
      <c r="D216" s="71"/>
      <c r="E216" s="71"/>
      <c r="F216" s="71"/>
      <c r="G216" s="30"/>
      <c r="H216" s="77"/>
      <c r="I216" s="77"/>
      <c r="L216" s="3"/>
    </row>
    <row r="217" spans="1:12" s="58" customFormat="1">
      <c r="A217" s="50"/>
      <c r="B217" s="30"/>
      <c r="C217" s="70"/>
      <c r="D217" s="71"/>
      <c r="E217" s="71"/>
      <c r="F217" s="71"/>
      <c r="G217" s="30"/>
      <c r="H217" s="77"/>
      <c r="I217" s="77"/>
      <c r="L217" s="3"/>
    </row>
    <row r="218" spans="1:12" s="58" customFormat="1">
      <c r="A218" s="50"/>
      <c r="B218" s="30"/>
      <c r="C218" s="70"/>
      <c r="D218" s="71"/>
      <c r="E218" s="71"/>
      <c r="F218" s="71"/>
      <c r="G218" s="30"/>
      <c r="H218" s="77"/>
      <c r="I218" s="77"/>
      <c r="L218" s="3"/>
    </row>
    <row r="219" spans="1:12" s="71" customFormat="1">
      <c r="A219" s="50"/>
      <c r="B219" s="30"/>
      <c r="C219" s="70"/>
      <c r="G219" s="30"/>
      <c r="H219" s="77"/>
      <c r="I219" s="77"/>
      <c r="J219" s="58"/>
      <c r="K219" s="58"/>
      <c r="L219" s="3"/>
    </row>
    <row r="220" spans="1:12" s="71" customFormat="1">
      <c r="A220" s="50"/>
      <c r="B220" s="30"/>
      <c r="C220" s="70"/>
      <c r="G220" s="30"/>
      <c r="H220" s="77"/>
      <c r="I220" s="77"/>
      <c r="J220" s="58"/>
      <c r="K220" s="58"/>
      <c r="L220" s="3"/>
    </row>
    <row r="221" spans="1:12" s="71" customFormat="1">
      <c r="A221" s="50"/>
      <c r="B221" s="30"/>
      <c r="C221" s="70"/>
      <c r="G221" s="30"/>
      <c r="H221" s="77"/>
      <c r="I221" s="77"/>
      <c r="J221" s="58"/>
      <c r="K221" s="58"/>
      <c r="L221" s="3"/>
    </row>
    <row r="222" spans="1:12" s="71" customFormat="1">
      <c r="A222" s="50"/>
      <c r="B222" s="30"/>
      <c r="C222" s="70"/>
      <c r="G222" s="30"/>
      <c r="H222" s="77"/>
      <c r="I222" s="77"/>
      <c r="J222" s="58"/>
      <c r="K222" s="58"/>
      <c r="L222" s="3"/>
    </row>
    <row r="223" spans="1:12" s="71" customFormat="1">
      <c r="A223" s="50"/>
      <c r="B223" s="30"/>
      <c r="C223" s="70"/>
      <c r="G223" s="30"/>
      <c r="H223" s="77"/>
      <c r="I223" s="77"/>
      <c r="J223" s="58"/>
      <c r="K223" s="58"/>
      <c r="L223" s="3"/>
    </row>
    <row r="224" spans="1:12" s="71" customFormat="1">
      <c r="A224" s="50"/>
      <c r="B224" s="30"/>
      <c r="C224" s="70"/>
      <c r="G224" s="30"/>
      <c r="H224" s="77"/>
      <c r="I224" s="77"/>
      <c r="J224" s="58"/>
      <c r="K224" s="58"/>
      <c r="L224" s="3"/>
    </row>
    <row r="225" spans="1:12" s="71" customFormat="1">
      <c r="A225" s="50"/>
      <c r="B225" s="30"/>
      <c r="C225" s="70"/>
      <c r="G225" s="30"/>
      <c r="H225" s="77"/>
      <c r="I225" s="77"/>
      <c r="J225" s="58"/>
      <c r="K225" s="58"/>
      <c r="L225" s="3"/>
    </row>
    <row r="226" spans="1:12" s="71" customFormat="1">
      <c r="A226" s="50"/>
      <c r="B226" s="30"/>
      <c r="C226" s="70"/>
      <c r="G226" s="30"/>
      <c r="H226" s="77"/>
      <c r="I226" s="77"/>
      <c r="J226" s="58"/>
      <c r="K226" s="58"/>
      <c r="L226" s="3"/>
    </row>
    <row r="227" spans="1:12" s="71" customFormat="1">
      <c r="A227" s="50"/>
      <c r="B227" s="30"/>
      <c r="C227" s="70"/>
      <c r="G227" s="30"/>
      <c r="H227" s="77"/>
      <c r="I227" s="77"/>
      <c r="J227" s="58"/>
      <c r="K227" s="58"/>
      <c r="L227" s="3"/>
    </row>
    <row r="228" spans="1:12" s="71" customFormat="1">
      <c r="A228" s="50"/>
      <c r="B228" s="30"/>
      <c r="C228" s="70"/>
      <c r="G228" s="30"/>
      <c r="H228" s="77"/>
      <c r="I228" s="77"/>
      <c r="J228" s="58"/>
      <c r="K228" s="58"/>
      <c r="L228" s="3"/>
    </row>
    <row r="229" spans="1:12" s="71" customFormat="1">
      <c r="A229" s="50"/>
      <c r="B229" s="30"/>
      <c r="C229" s="70"/>
      <c r="G229" s="30"/>
      <c r="H229" s="77"/>
      <c r="I229" s="77"/>
      <c r="J229" s="58"/>
      <c r="K229" s="58"/>
      <c r="L229" s="3"/>
    </row>
    <row r="230" spans="1:12" s="71" customFormat="1">
      <c r="A230" s="50"/>
      <c r="B230" s="30"/>
      <c r="C230" s="70"/>
      <c r="G230" s="30"/>
      <c r="H230" s="77"/>
      <c r="I230" s="77"/>
      <c r="J230" s="58"/>
      <c r="K230" s="58"/>
      <c r="L230" s="3"/>
    </row>
    <row r="231" spans="1:12" s="71" customFormat="1">
      <c r="A231" s="50"/>
      <c r="B231" s="30"/>
      <c r="C231" s="70"/>
      <c r="G231" s="30"/>
      <c r="H231" s="77"/>
      <c r="I231" s="77"/>
      <c r="J231" s="58"/>
      <c r="K231" s="58"/>
      <c r="L231" s="3"/>
    </row>
    <row r="232" spans="1:12" s="71" customFormat="1">
      <c r="A232" s="50"/>
      <c r="B232" s="30"/>
      <c r="C232" s="70"/>
      <c r="G232" s="30"/>
      <c r="H232" s="77"/>
      <c r="I232" s="77"/>
      <c r="J232" s="58"/>
      <c r="K232" s="58"/>
      <c r="L232" s="3"/>
    </row>
    <row r="233" spans="1:12" s="71" customFormat="1">
      <c r="A233" s="50"/>
      <c r="B233" s="30"/>
      <c r="C233" s="70"/>
      <c r="G233" s="30"/>
      <c r="H233" s="77"/>
      <c r="I233" s="77"/>
      <c r="J233" s="58"/>
      <c r="K233" s="58"/>
      <c r="L233" s="3"/>
    </row>
    <row r="234" spans="1:12" s="71" customFormat="1">
      <c r="A234" s="50"/>
      <c r="B234" s="30"/>
      <c r="C234" s="70"/>
      <c r="G234" s="30"/>
      <c r="H234" s="77"/>
      <c r="I234" s="77"/>
      <c r="J234" s="58"/>
      <c r="K234" s="58"/>
      <c r="L234" s="3"/>
    </row>
    <row r="235" spans="1:12" s="71" customFormat="1">
      <c r="A235" s="50"/>
      <c r="B235" s="30"/>
      <c r="C235" s="70"/>
      <c r="G235" s="30"/>
      <c r="H235" s="77"/>
      <c r="I235" s="77"/>
      <c r="J235" s="58"/>
      <c r="K235" s="58"/>
      <c r="L235" s="3"/>
    </row>
    <row r="236" spans="1:12" s="71" customFormat="1">
      <c r="A236" s="50"/>
      <c r="B236" s="30"/>
      <c r="C236" s="70"/>
      <c r="G236" s="30"/>
      <c r="H236" s="77"/>
      <c r="I236" s="77"/>
      <c r="J236" s="58"/>
      <c r="K236" s="58"/>
      <c r="L236" s="3"/>
    </row>
    <row r="237" spans="1:12" s="71" customFormat="1">
      <c r="A237" s="50"/>
      <c r="B237" s="30"/>
      <c r="C237" s="70"/>
      <c r="G237" s="30"/>
      <c r="H237" s="77"/>
      <c r="I237" s="77"/>
      <c r="J237" s="58"/>
      <c r="K237" s="58"/>
      <c r="L237" s="3"/>
    </row>
    <row r="238" spans="1:12" s="71" customFormat="1">
      <c r="A238" s="50"/>
      <c r="B238" s="30"/>
      <c r="C238" s="70"/>
      <c r="G238" s="30"/>
      <c r="H238" s="77"/>
      <c r="I238" s="77"/>
      <c r="J238" s="58"/>
      <c r="K238" s="58"/>
      <c r="L238" s="3"/>
    </row>
    <row r="239" spans="1:12" s="71" customFormat="1">
      <c r="A239" s="50"/>
      <c r="B239" s="30"/>
      <c r="C239" s="70"/>
      <c r="G239" s="30"/>
      <c r="H239" s="77"/>
      <c r="I239" s="77"/>
      <c r="J239" s="58"/>
      <c r="K239" s="58"/>
      <c r="L239" s="3"/>
    </row>
    <row r="240" spans="1:12" s="71" customFormat="1">
      <c r="A240" s="50"/>
      <c r="B240" s="30"/>
      <c r="C240" s="70"/>
      <c r="G240" s="30"/>
      <c r="H240" s="77"/>
      <c r="I240" s="77"/>
      <c r="J240" s="58"/>
      <c r="K240" s="58"/>
      <c r="L240" s="3"/>
    </row>
    <row r="241" spans="1:12" s="71" customFormat="1">
      <c r="A241" s="50"/>
      <c r="B241" s="30"/>
      <c r="C241" s="70"/>
      <c r="G241" s="30"/>
      <c r="H241" s="77"/>
      <c r="I241" s="77"/>
      <c r="J241" s="58"/>
      <c r="K241" s="58"/>
      <c r="L241" s="3"/>
    </row>
    <row r="242" spans="1:12" s="71" customFormat="1">
      <c r="A242" s="50"/>
      <c r="B242" s="30"/>
      <c r="C242" s="70"/>
      <c r="G242" s="30"/>
      <c r="H242" s="77"/>
      <c r="I242" s="77"/>
      <c r="J242" s="58"/>
      <c r="K242" s="58"/>
      <c r="L242" s="3"/>
    </row>
    <row r="243" spans="1:12" s="71" customFormat="1">
      <c r="A243" s="50"/>
      <c r="B243" s="30"/>
      <c r="C243" s="70"/>
      <c r="G243" s="30"/>
      <c r="H243" s="77"/>
      <c r="I243" s="77"/>
      <c r="J243" s="58"/>
      <c r="K243" s="58"/>
      <c r="L243" s="3"/>
    </row>
    <row r="244" spans="1:12" s="71" customFormat="1">
      <c r="A244" s="50"/>
      <c r="B244" s="30"/>
      <c r="C244" s="70"/>
      <c r="G244" s="30"/>
      <c r="H244" s="77"/>
      <c r="I244" s="77"/>
      <c r="J244" s="58"/>
      <c r="K244" s="58"/>
      <c r="L244" s="3"/>
    </row>
    <row r="245" spans="1:12" s="71" customFormat="1">
      <c r="A245" s="50"/>
      <c r="B245" s="30"/>
      <c r="C245" s="70"/>
      <c r="G245" s="30"/>
      <c r="H245" s="77"/>
      <c r="I245" s="77"/>
      <c r="J245" s="58"/>
      <c r="K245" s="58"/>
      <c r="L245" s="3"/>
    </row>
    <row r="246" spans="1:12" s="71" customFormat="1">
      <c r="A246" s="50"/>
      <c r="B246" s="30"/>
      <c r="C246" s="70"/>
      <c r="G246" s="30"/>
      <c r="H246" s="77"/>
      <c r="I246" s="77"/>
      <c r="J246" s="58"/>
      <c r="K246" s="58"/>
      <c r="L246" s="3"/>
    </row>
    <row r="247" spans="1:12" s="71" customFormat="1">
      <c r="A247" s="50"/>
      <c r="B247" s="30"/>
      <c r="C247" s="70"/>
      <c r="G247" s="30"/>
      <c r="H247" s="77"/>
      <c r="I247" s="77"/>
      <c r="J247" s="58"/>
      <c r="K247" s="58"/>
      <c r="L247" s="3"/>
    </row>
    <row r="248" spans="1:12" s="71" customFormat="1">
      <c r="A248" s="50"/>
      <c r="B248" s="30"/>
      <c r="C248" s="70"/>
      <c r="G248" s="30"/>
      <c r="H248" s="77"/>
      <c r="I248" s="77"/>
      <c r="J248" s="58"/>
      <c r="K248" s="58"/>
      <c r="L248" s="3"/>
    </row>
    <row r="249" spans="1:12" s="71" customFormat="1">
      <c r="A249" s="50"/>
      <c r="B249" s="30"/>
      <c r="C249" s="70"/>
      <c r="G249" s="30"/>
      <c r="H249" s="77"/>
      <c r="I249" s="77"/>
      <c r="J249" s="58"/>
      <c r="K249" s="58"/>
      <c r="L249" s="3"/>
    </row>
    <row r="250" spans="1:12" s="71" customFormat="1">
      <c r="A250" s="50"/>
      <c r="B250" s="30"/>
      <c r="C250" s="70"/>
      <c r="G250" s="30"/>
      <c r="H250" s="77"/>
      <c r="I250" s="77"/>
      <c r="J250" s="58"/>
      <c r="K250" s="58"/>
      <c r="L250" s="3"/>
    </row>
    <row r="251" spans="1:12" s="71" customFormat="1">
      <c r="A251" s="50"/>
      <c r="B251" s="30"/>
      <c r="C251" s="70"/>
      <c r="G251" s="30"/>
      <c r="H251" s="77"/>
      <c r="I251" s="77"/>
      <c r="J251" s="58"/>
      <c r="K251" s="58"/>
      <c r="L251" s="3"/>
    </row>
    <row r="252" spans="1:12" s="71" customFormat="1">
      <c r="A252" s="50"/>
      <c r="B252" s="30"/>
      <c r="C252" s="70"/>
      <c r="G252" s="30"/>
      <c r="H252" s="77"/>
      <c r="I252" s="77"/>
      <c r="J252" s="58"/>
      <c r="K252" s="58"/>
      <c r="L252" s="3"/>
    </row>
    <row r="253" spans="1:12" s="71" customFormat="1">
      <c r="A253" s="50"/>
      <c r="B253" s="30"/>
      <c r="C253" s="70"/>
      <c r="G253" s="30"/>
      <c r="H253" s="77"/>
      <c r="I253" s="77"/>
      <c r="J253" s="58"/>
      <c r="K253" s="58"/>
      <c r="L253" s="3"/>
    </row>
    <row r="254" spans="1:12" s="71" customFormat="1">
      <c r="A254" s="50"/>
      <c r="B254" s="30"/>
      <c r="C254" s="70"/>
      <c r="G254" s="30"/>
      <c r="H254" s="77"/>
      <c r="I254" s="77"/>
      <c r="J254" s="58"/>
      <c r="K254" s="58"/>
      <c r="L254" s="3"/>
    </row>
    <row r="255" spans="1:12" s="71" customFormat="1">
      <c r="A255" s="50"/>
      <c r="B255" s="30"/>
      <c r="C255" s="70"/>
      <c r="G255" s="30"/>
      <c r="H255" s="77"/>
      <c r="I255" s="77"/>
      <c r="J255" s="58"/>
      <c r="K255" s="58"/>
      <c r="L255" s="3"/>
    </row>
    <row r="256" spans="1:12" s="71" customFormat="1">
      <c r="A256" s="50"/>
      <c r="B256" s="30"/>
      <c r="C256" s="70"/>
      <c r="G256" s="30"/>
      <c r="H256" s="77"/>
      <c r="I256" s="77"/>
      <c r="J256" s="58"/>
      <c r="K256" s="58"/>
      <c r="L256" s="3"/>
    </row>
    <row r="257" spans="1:12" s="71" customFormat="1">
      <c r="A257" s="50"/>
      <c r="B257" s="30"/>
      <c r="C257" s="70"/>
      <c r="G257" s="30"/>
      <c r="H257" s="77"/>
      <c r="I257" s="77"/>
      <c r="J257" s="58"/>
      <c r="K257" s="58"/>
      <c r="L257" s="3"/>
    </row>
    <row r="258" spans="1:12" s="71" customFormat="1">
      <c r="A258" s="50"/>
      <c r="B258" s="30"/>
      <c r="C258" s="70"/>
      <c r="G258" s="30"/>
      <c r="H258" s="77"/>
      <c r="I258" s="77"/>
      <c r="J258" s="58"/>
      <c r="K258" s="58"/>
      <c r="L258" s="3"/>
    </row>
    <row r="259" spans="1:12" s="71" customFormat="1">
      <c r="A259" s="50"/>
      <c r="B259" s="30"/>
      <c r="C259" s="70"/>
      <c r="G259" s="30"/>
      <c r="H259" s="77"/>
      <c r="I259" s="77"/>
      <c r="J259" s="58"/>
      <c r="K259" s="58"/>
      <c r="L259" s="3"/>
    </row>
    <row r="260" spans="1:12" s="71" customFormat="1">
      <c r="A260" s="50"/>
      <c r="B260" s="30"/>
      <c r="C260" s="70"/>
      <c r="G260" s="30"/>
      <c r="H260" s="77"/>
      <c r="I260" s="77"/>
      <c r="J260" s="58"/>
      <c r="K260" s="58"/>
      <c r="L260" s="3"/>
    </row>
    <row r="261" spans="1:12" s="71" customFormat="1">
      <c r="A261" s="50"/>
      <c r="B261" s="30"/>
      <c r="C261" s="70"/>
      <c r="G261" s="30"/>
      <c r="H261" s="77"/>
      <c r="I261" s="77"/>
      <c r="J261" s="58"/>
      <c r="K261" s="58"/>
      <c r="L261" s="3"/>
    </row>
    <row r="262" spans="1:12" s="71" customFormat="1">
      <c r="A262" s="50"/>
      <c r="B262" s="30"/>
      <c r="C262" s="70"/>
      <c r="G262" s="30"/>
      <c r="H262" s="77"/>
      <c r="I262" s="77"/>
      <c r="J262" s="58"/>
      <c r="K262" s="58"/>
      <c r="L262" s="3"/>
    </row>
    <row r="263" spans="1:12" s="71" customFormat="1">
      <c r="A263" s="50"/>
      <c r="B263" s="30"/>
      <c r="C263" s="70"/>
      <c r="G263" s="30"/>
      <c r="H263" s="77"/>
      <c r="I263" s="77"/>
      <c r="J263" s="58"/>
      <c r="K263" s="58"/>
      <c r="L263" s="3"/>
    </row>
    <row r="264" spans="1:12" s="71" customFormat="1">
      <c r="A264" s="50"/>
      <c r="B264" s="30"/>
      <c r="C264" s="70"/>
      <c r="G264" s="30"/>
      <c r="H264" s="77"/>
      <c r="I264" s="77"/>
      <c r="J264" s="58"/>
      <c r="K264" s="58"/>
      <c r="L264" s="3"/>
    </row>
    <row r="265" spans="1:12" s="71" customFormat="1">
      <c r="A265" s="50"/>
      <c r="B265" s="30"/>
      <c r="C265" s="70"/>
      <c r="G265" s="30"/>
      <c r="H265" s="77"/>
      <c r="I265" s="77"/>
      <c r="J265" s="58"/>
      <c r="K265" s="58"/>
      <c r="L265" s="3"/>
    </row>
    <row r="266" spans="1:12" s="71" customFormat="1">
      <c r="A266" s="50"/>
      <c r="B266" s="30"/>
      <c r="C266" s="70"/>
      <c r="G266" s="30"/>
      <c r="H266" s="77"/>
      <c r="I266" s="77"/>
      <c r="J266" s="58"/>
      <c r="K266" s="58"/>
      <c r="L266" s="3"/>
    </row>
    <row r="267" spans="1:12" s="71" customFormat="1">
      <c r="A267" s="50"/>
      <c r="B267" s="30"/>
      <c r="C267" s="70"/>
      <c r="G267" s="30"/>
      <c r="H267" s="77"/>
      <c r="I267" s="77"/>
      <c r="J267" s="58"/>
      <c r="K267" s="58"/>
      <c r="L267" s="3"/>
    </row>
    <row r="268" spans="1:12" s="71" customFormat="1">
      <c r="A268" s="50"/>
      <c r="B268" s="30"/>
      <c r="C268" s="70"/>
      <c r="G268" s="30"/>
      <c r="H268" s="77"/>
      <c r="I268" s="77"/>
      <c r="J268" s="58"/>
      <c r="K268" s="58"/>
      <c r="L268" s="3"/>
    </row>
    <row r="269" spans="1:12" s="71" customFormat="1">
      <c r="A269" s="50"/>
      <c r="B269" s="30"/>
      <c r="C269" s="70"/>
      <c r="G269" s="30"/>
      <c r="H269" s="77"/>
      <c r="I269" s="77"/>
      <c r="J269" s="58"/>
      <c r="K269" s="58"/>
      <c r="L269" s="3"/>
    </row>
    <row r="270" spans="1:12" s="71" customFormat="1">
      <c r="A270" s="50"/>
      <c r="B270" s="30"/>
      <c r="C270" s="70"/>
      <c r="G270" s="30"/>
      <c r="H270" s="77"/>
      <c r="I270" s="77"/>
      <c r="J270" s="58"/>
      <c r="K270" s="58"/>
      <c r="L270" s="3"/>
    </row>
    <row r="271" spans="1:12" s="71" customFormat="1">
      <c r="A271" s="50"/>
      <c r="B271" s="30"/>
      <c r="C271" s="70"/>
      <c r="G271" s="30"/>
      <c r="H271" s="77"/>
      <c r="I271" s="77"/>
      <c r="J271" s="58"/>
      <c r="K271" s="58"/>
      <c r="L271" s="3"/>
    </row>
    <row r="272" spans="1:12" s="71" customFormat="1">
      <c r="A272" s="50"/>
      <c r="B272" s="30"/>
      <c r="C272" s="70"/>
      <c r="G272" s="30"/>
      <c r="H272" s="77"/>
      <c r="I272" s="77"/>
      <c r="J272" s="58"/>
      <c r="K272" s="58"/>
      <c r="L272" s="3"/>
    </row>
    <row r="273" spans="1:12" s="71" customFormat="1">
      <c r="A273" s="50"/>
      <c r="B273" s="30"/>
      <c r="C273" s="70"/>
      <c r="G273" s="30"/>
      <c r="H273" s="77"/>
      <c r="I273" s="77"/>
      <c r="J273" s="58"/>
      <c r="K273" s="58"/>
      <c r="L273" s="3"/>
    </row>
    <row r="274" spans="1:12" s="71" customFormat="1">
      <c r="A274" s="50"/>
      <c r="B274" s="30"/>
      <c r="C274" s="70"/>
      <c r="G274" s="30"/>
      <c r="H274" s="77"/>
      <c r="I274" s="77"/>
      <c r="J274" s="58"/>
      <c r="K274" s="58"/>
      <c r="L274" s="3"/>
    </row>
    <row r="275" spans="1:12" s="71" customFormat="1">
      <c r="A275" s="50"/>
      <c r="B275" s="30"/>
      <c r="C275" s="70"/>
      <c r="G275" s="30"/>
      <c r="H275" s="77"/>
      <c r="I275" s="77"/>
      <c r="J275" s="58"/>
      <c r="K275" s="58"/>
      <c r="L275" s="3"/>
    </row>
    <row r="276" spans="1:12" s="71" customFormat="1">
      <c r="A276" s="50"/>
      <c r="B276" s="30"/>
      <c r="C276" s="70"/>
      <c r="G276" s="30"/>
      <c r="H276" s="77"/>
      <c r="I276" s="77"/>
      <c r="J276" s="58"/>
      <c r="K276" s="58"/>
      <c r="L276" s="3"/>
    </row>
    <row r="277" spans="1:12" s="71" customFormat="1">
      <c r="A277" s="50"/>
      <c r="B277" s="30"/>
      <c r="C277" s="70"/>
      <c r="G277" s="30"/>
      <c r="H277" s="77"/>
      <c r="I277" s="77"/>
      <c r="J277" s="58"/>
      <c r="K277" s="58"/>
      <c r="L277" s="3"/>
    </row>
    <row r="278" spans="1:12" s="71" customFormat="1">
      <c r="A278" s="50"/>
      <c r="B278" s="30"/>
      <c r="C278" s="70"/>
      <c r="G278" s="30"/>
      <c r="H278" s="77"/>
      <c r="I278" s="77"/>
      <c r="J278" s="58"/>
      <c r="K278" s="58"/>
      <c r="L278" s="3"/>
    </row>
    <row r="279" spans="1:12" s="71" customFormat="1">
      <c r="A279" s="50"/>
      <c r="B279" s="30"/>
      <c r="C279" s="70"/>
      <c r="G279" s="30"/>
      <c r="H279" s="77"/>
      <c r="I279" s="77"/>
      <c r="J279" s="58"/>
      <c r="K279" s="58"/>
      <c r="L279" s="3"/>
    </row>
    <row r="280" spans="1:12" s="71" customFormat="1">
      <c r="A280" s="50"/>
      <c r="B280" s="30"/>
      <c r="C280" s="70"/>
      <c r="G280" s="30"/>
      <c r="H280" s="77"/>
      <c r="I280" s="77"/>
      <c r="J280" s="58"/>
      <c r="K280" s="58"/>
      <c r="L280" s="3"/>
    </row>
    <row r="281" spans="1:12" s="71" customFormat="1">
      <c r="A281" s="50"/>
      <c r="B281" s="30"/>
      <c r="C281" s="70"/>
      <c r="G281" s="30"/>
      <c r="H281" s="77"/>
      <c r="I281" s="77"/>
      <c r="J281" s="58"/>
      <c r="K281" s="58"/>
      <c r="L281" s="3"/>
    </row>
    <row r="282" spans="1:12" s="71" customFormat="1">
      <c r="A282" s="50"/>
      <c r="B282" s="30"/>
      <c r="C282" s="70"/>
      <c r="G282" s="30"/>
      <c r="H282" s="77"/>
      <c r="I282" s="77"/>
      <c r="J282" s="58"/>
      <c r="K282" s="58"/>
      <c r="L282" s="3"/>
    </row>
    <row r="283" spans="1:12" s="71" customFormat="1">
      <c r="A283" s="50"/>
      <c r="B283" s="30"/>
      <c r="C283" s="70"/>
      <c r="G283" s="30"/>
      <c r="H283" s="77"/>
      <c r="I283" s="77"/>
      <c r="J283" s="58"/>
      <c r="K283" s="58"/>
      <c r="L283" s="3"/>
    </row>
    <row r="284" spans="1:12" s="71" customFormat="1">
      <c r="A284" s="50"/>
      <c r="B284" s="30"/>
      <c r="C284" s="70"/>
      <c r="G284" s="30"/>
      <c r="H284" s="77"/>
      <c r="I284" s="77"/>
      <c r="J284" s="58"/>
      <c r="K284" s="58"/>
      <c r="L284" s="3"/>
    </row>
    <row r="285" spans="1:12" s="71" customFormat="1">
      <c r="A285" s="50"/>
      <c r="B285" s="30"/>
      <c r="C285" s="70"/>
      <c r="G285" s="30"/>
      <c r="H285" s="77"/>
      <c r="I285" s="77"/>
      <c r="J285" s="58"/>
      <c r="K285" s="58"/>
      <c r="L285" s="3"/>
    </row>
    <row r="286" spans="1:12" s="71" customFormat="1">
      <c r="A286" s="50"/>
      <c r="B286" s="30"/>
      <c r="C286" s="70"/>
      <c r="G286" s="30"/>
      <c r="H286" s="77"/>
      <c r="I286" s="77"/>
      <c r="J286" s="58"/>
      <c r="K286" s="58"/>
      <c r="L286" s="3"/>
    </row>
    <row r="287" spans="1:12" s="71" customFormat="1">
      <c r="A287" s="50"/>
      <c r="B287" s="30"/>
      <c r="C287" s="70"/>
      <c r="G287" s="30"/>
      <c r="H287" s="77"/>
      <c r="I287" s="77"/>
      <c r="J287" s="58"/>
      <c r="K287" s="58"/>
      <c r="L287" s="3"/>
    </row>
    <row r="288" spans="1:12" s="71" customFormat="1">
      <c r="A288" s="50"/>
      <c r="B288" s="30"/>
      <c r="C288" s="70"/>
      <c r="G288" s="30"/>
      <c r="H288" s="77"/>
      <c r="I288" s="77"/>
      <c r="J288" s="58"/>
      <c r="K288" s="58"/>
      <c r="L288" s="3"/>
    </row>
    <row r="289" spans="1:12" s="71" customFormat="1">
      <c r="A289" s="50"/>
      <c r="B289" s="30"/>
      <c r="C289" s="70"/>
      <c r="G289" s="30"/>
      <c r="H289" s="77"/>
      <c r="I289" s="77"/>
      <c r="J289" s="58"/>
      <c r="K289" s="58"/>
      <c r="L289" s="3"/>
    </row>
    <row r="290" spans="1:12" s="71" customFormat="1">
      <c r="A290" s="50"/>
      <c r="B290" s="30"/>
      <c r="C290" s="70"/>
      <c r="G290" s="30"/>
      <c r="H290" s="77"/>
      <c r="I290" s="77"/>
      <c r="J290" s="58"/>
      <c r="K290" s="58"/>
      <c r="L290" s="3"/>
    </row>
    <row r="291" spans="1:12" s="71" customFormat="1">
      <c r="A291" s="50"/>
      <c r="B291" s="30"/>
      <c r="C291" s="70"/>
      <c r="G291" s="30"/>
      <c r="H291" s="77"/>
      <c r="I291" s="77"/>
      <c r="J291" s="58"/>
      <c r="K291" s="58"/>
      <c r="L291" s="3"/>
    </row>
    <row r="292" spans="1:12" s="71" customFormat="1">
      <c r="A292" s="50"/>
      <c r="B292" s="30"/>
      <c r="C292" s="70"/>
      <c r="G292" s="30"/>
      <c r="H292" s="77"/>
      <c r="I292" s="77"/>
      <c r="J292" s="58"/>
      <c r="K292" s="58"/>
      <c r="L292" s="3"/>
    </row>
    <row r="293" spans="1:12" s="71" customFormat="1">
      <c r="A293" s="50"/>
      <c r="B293" s="30"/>
      <c r="C293" s="70"/>
      <c r="G293" s="30"/>
      <c r="H293" s="77"/>
      <c r="I293" s="77"/>
      <c r="J293" s="58"/>
      <c r="K293" s="58"/>
      <c r="L293" s="3"/>
    </row>
    <row r="294" spans="1:12" s="71" customFormat="1">
      <c r="A294" s="50"/>
      <c r="B294" s="30"/>
      <c r="C294" s="70"/>
      <c r="G294" s="30"/>
      <c r="H294" s="77"/>
      <c r="I294" s="77"/>
      <c r="J294" s="58"/>
      <c r="K294" s="58"/>
      <c r="L294" s="3"/>
    </row>
    <row r="295" spans="1:12" s="71" customFormat="1">
      <c r="A295" s="50"/>
      <c r="B295" s="30"/>
      <c r="C295" s="70"/>
      <c r="G295" s="30"/>
      <c r="H295" s="77"/>
      <c r="I295" s="77"/>
      <c r="J295" s="58"/>
      <c r="K295" s="58"/>
      <c r="L295" s="3"/>
    </row>
    <row r="296" spans="1:12" s="71" customFormat="1">
      <c r="A296" s="50"/>
      <c r="B296" s="30"/>
      <c r="C296" s="70"/>
      <c r="G296" s="30"/>
      <c r="H296" s="77"/>
      <c r="I296" s="77"/>
      <c r="J296" s="58"/>
      <c r="K296" s="58"/>
      <c r="L296" s="3"/>
    </row>
    <row r="297" spans="1:12" s="71" customFormat="1">
      <c r="A297" s="50"/>
      <c r="B297" s="30"/>
      <c r="C297" s="70"/>
      <c r="G297" s="30"/>
      <c r="H297" s="77"/>
      <c r="I297" s="77"/>
      <c r="J297" s="58"/>
      <c r="K297" s="58"/>
      <c r="L297" s="3"/>
    </row>
    <row r="298" spans="1:12" s="71" customFormat="1">
      <c r="A298" s="50"/>
      <c r="B298" s="30"/>
      <c r="C298" s="70"/>
      <c r="G298" s="30"/>
      <c r="H298" s="77"/>
      <c r="I298" s="77"/>
      <c r="J298" s="58"/>
      <c r="K298" s="58"/>
      <c r="L298" s="3"/>
    </row>
    <row r="299" spans="1:12" s="71" customFormat="1">
      <c r="A299" s="50"/>
      <c r="B299" s="30"/>
      <c r="C299" s="70"/>
      <c r="G299" s="30"/>
      <c r="H299" s="77"/>
      <c r="I299" s="77"/>
      <c r="J299" s="58"/>
      <c r="K299" s="58"/>
      <c r="L299" s="3"/>
    </row>
    <row r="300" spans="1:12" s="71" customFormat="1">
      <c r="A300" s="50"/>
      <c r="B300" s="30"/>
      <c r="C300" s="70"/>
      <c r="G300" s="30"/>
      <c r="H300" s="77"/>
      <c r="I300" s="77"/>
      <c r="J300" s="58"/>
      <c r="K300" s="58"/>
      <c r="L300" s="3"/>
    </row>
    <row r="301" spans="1:12" s="71" customFormat="1">
      <c r="A301" s="50"/>
      <c r="B301" s="30"/>
      <c r="C301" s="70"/>
      <c r="G301" s="30"/>
      <c r="H301" s="77"/>
      <c r="I301" s="77"/>
      <c r="J301" s="58"/>
      <c r="K301" s="58"/>
      <c r="L301" s="3"/>
    </row>
    <row r="302" spans="1:12" s="71" customFormat="1">
      <c r="A302" s="50"/>
      <c r="B302" s="30"/>
      <c r="C302" s="70"/>
      <c r="G302" s="30"/>
      <c r="H302" s="77"/>
      <c r="I302" s="77"/>
      <c r="J302" s="58"/>
      <c r="K302" s="58"/>
      <c r="L302" s="3"/>
    </row>
    <row r="303" spans="1:12" s="71" customFormat="1">
      <c r="A303" s="50"/>
      <c r="B303" s="30"/>
      <c r="C303" s="70"/>
      <c r="G303" s="30"/>
      <c r="H303" s="77"/>
      <c r="I303" s="77"/>
      <c r="J303" s="58"/>
      <c r="K303" s="58"/>
      <c r="L303" s="3"/>
    </row>
    <row r="304" spans="1:12" s="71" customFormat="1">
      <c r="A304" s="50"/>
      <c r="B304" s="30"/>
      <c r="C304" s="70"/>
      <c r="G304" s="30"/>
      <c r="H304" s="77"/>
      <c r="I304" s="77"/>
      <c r="J304" s="58"/>
      <c r="K304" s="58"/>
      <c r="L304" s="3"/>
    </row>
    <row r="305" spans="1:12" s="71" customFormat="1">
      <c r="A305" s="50"/>
      <c r="B305" s="30"/>
      <c r="C305" s="70"/>
      <c r="G305" s="30"/>
      <c r="H305" s="77"/>
      <c r="I305" s="77"/>
      <c r="J305" s="58"/>
      <c r="K305" s="58"/>
      <c r="L305" s="3"/>
    </row>
    <row r="306" spans="1:12" s="71" customFormat="1">
      <c r="A306" s="50"/>
      <c r="B306" s="30"/>
      <c r="C306" s="70"/>
      <c r="G306" s="30"/>
      <c r="H306" s="77"/>
      <c r="I306" s="77"/>
      <c r="J306" s="58"/>
      <c r="K306" s="58"/>
      <c r="L306" s="3"/>
    </row>
    <row r="307" spans="1:12" s="71" customFormat="1">
      <c r="A307" s="50"/>
      <c r="B307" s="30"/>
      <c r="C307" s="70"/>
      <c r="G307" s="30"/>
      <c r="H307" s="77"/>
      <c r="I307" s="77"/>
      <c r="J307" s="58"/>
      <c r="K307" s="58"/>
      <c r="L307" s="3"/>
    </row>
    <row r="308" spans="1:12" s="71" customFormat="1">
      <c r="A308" s="50"/>
      <c r="B308" s="30"/>
      <c r="C308" s="70"/>
      <c r="G308" s="30"/>
      <c r="H308" s="77"/>
      <c r="I308" s="77"/>
      <c r="J308" s="58"/>
      <c r="K308" s="58"/>
      <c r="L308" s="3"/>
    </row>
    <row r="309" spans="1:12" s="71" customFormat="1">
      <c r="A309" s="50"/>
      <c r="B309" s="30"/>
      <c r="C309" s="70"/>
      <c r="G309" s="30"/>
      <c r="H309" s="77"/>
      <c r="I309" s="77"/>
      <c r="J309" s="58"/>
      <c r="K309" s="58"/>
      <c r="L309" s="3"/>
    </row>
    <row r="310" spans="1:12" s="71" customFormat="1">
      <c r="A310" s="50"/>
      <c r="B310" s="30"/>
      <c r="C310" s="70"/>
      <c r="G310" s="30"/>
      <c r="H310" s="77"/>
      <c r="I310" s="77"/>
      <c r="J310" s="58"/>
      <c r="K310" s="58"/>
      <c r="L310" s="3"/>
    </row>
    <row r="311" spans="1:12" s="71" customFormat="1">
      <c r="A311" s="50"/>
      <c r="B311" s="30"/>
      <c r="C311" s="70"/>
      <c r="G311" s="30"/>
      <c r="H311" s="77"/>
      <c r="I311" s="77"/>
      <c r="J311" s="58"/>
      <c r="K311" s="58"/>
      <c r="L311" s="3"/>
    </row>
    <row r="312" spans="1:12" s="71" customFormat="1">
      <c r="A312" s="50"/>
      <c r="B312" s="30"/>
      <c r="C312" s="70"/>
      <c r="G312" s="30"/>
      <c r="H312" s="77"/>
      <c r="I312" s="77"/>
      <c r="J312" s="58"/>
      <c r="K312" s="58"/>
      <c r="L312" s="3"/>
    </row>
    <row r="313" spans="1:12" s="71" customFormat="1">
      <c r="A313" s="50"/>
      <c r="B313" s="30"/>
      <c r="C313" s="70"/>
      <c r="G313" s="30"/>
      <c r="H313" s="77"/>
      <c r="I313" s="77"/>
      <c r="J313" s="58"/>
      <c r="K313" s="58"/>
      <c r="L313" s="3"/>
    </row>
    <row r="314" spans="1:12" s="71" customFormat="1">
      <c r="A314" s="50"/>
      <c r="B314" s="30"/>
      <c r="C314" s="70"/>
      <c r="G314" s="30"/>
      <c r="H314" s="77"/>
      <c r="I314" s="77"/>
      <c r="J314" s="58"/>
      <c r="K314" s="58"/>
      <c r="L314" s="3"/>
    </row>
    <row r="315" spans="1:12" s="71" customFormat="1">
      <c r="A315" s="50"/>
      <c r="B315" s="30"/>
      <c r="C315" s="70"/>
      <c r="G315" s="30"/>
      <c r="H315" s="77"/>
      <c r="I315" s="77"/>
      <c r="J315" s="58"/>
      <c r="K315" s="58"/>
      <c r="L315" s="3"/>
    </row>
    <row r="316" spans="1:12" s="71" customFormat="1">
      <c r="A316" s="50"/>
      <c r="B316" s="30"/>
      <c r="C316" s="70"/>
      <c r="G316" s="30"/>
      <c r="H316" s="77"/>
      <c r="I316" s="77"/>
      <c r="J316" s="58"/>
      <c r="K316" s="58"/>
      <c r="L316" s="3"/>
    </row>
    <row r="317" spans="1:12" s="71" customFormat="1">
      <c r="A317" s="50"/>
      <c r="B317" s="30"/>
      <c r="C317" s="70"/>
      <c r="G317" s="30"/>
      <c r="H317" s="77"/>
      <c r="I317" s="77"/>
      <c r="J317" s="58"/>
      <c r="K317" s="58"/>
      <c r="L317" s="3"/>
    </row>
    <row r="318" spans="1:12" s="71" customFormat="1">
      <c r="A318" s="50"/>
      <c r="B318" s="30"/>
      <c r="C318" s="70"/>
      <c r="G318" s="30"/>
      <c r="H318" s="77"/>
      <c r="I318" s="77"/>
      <c r="J318" s="58"/>
      <c r="K318" s="58"/>
      <c r="L318" s="3"/>
    </row>
    <row r="319" spans="1:12" s="71" customFormat="1">
      <c r="A319" s="50"/>
      <c r="B319" s="30"/>
      <c r="C319" s="70"/>
      <c r="G319" s="30"/>
      <c r="H319" s="77"/>
      <c r="I319" s="77"/>
      <c r="J319" s="58"/>
      <c r="K319" s="58"/>
      <c r="L319" s="3"/>
    </row>
    <row r="320" spans="1:12" s="71" customFormat="1">
      <c r="A320" s="50"/>
      <c r="B320" s="30"/>
      <c r="C320" s="70"/>
      <c r="G320" s="30"/>
      <c r="H320" s="77"/>
      <c r="I320" s="77"/>
      <c r="J320" s="58"/>
      <c r="K320" s="58"/>
      <c r="L320" s="3"/>
    </row>
    <row r="321" spans="1:12" s="71" customFormat="1">
      <c r="A321" s="50"/>
      <c r="B321" s="30"/>
      <c r="C321" s="70"/>
      <c r="G321" s="30"/>
      <c r="H321" s="77"/>
      <c r="I321" s="77"/>
      <c r="J321" s="58"/>
      <c r="K321" s="58"/>
      <c r="L321" s="3"/>
    </row>
    <row r="322" spans="1:12" s="71" customFormat="1">
      <c r="A322" s="50"/>
      <c r="B322" s="30"/>
      <c r="C322" s="70"/>
      <c r="G322" s="30"/>
      <c r="H322" s="77"/>
      <c r="I322" s="77"/>
      <c r="J322" s="58"/>
      <c r="K322" s="58"/>
      <c r="L322" s="3"/>
    </row>
    <row r="323" spans="1:12" s="71" customFormat="1">
      <c r="A323" s="50"/>
      <c r="B323" s="30"/>
      <c r="C323" s="70"/>
      <c r="G323" s="30"/>
      <c r="H323" s="77"/>
      <c r="I323" s="77"/>
      <c r="J323" s="58"/>
      <c r="K323" s="58"/>
      <c r="L323" s="3"/>
    </row>
    <row r="324" spans="1:12" s="71" customFormat="1">
      <c r="A324" s="50"/>
      <c r="B324" s="30"/>
      <c r="C324" s="70"/>
      <c r="G324" s="30"/>
      <c r="H324" s="77"/>
      <c r="I324" s="77"/>
      <c r="J324" s="58"/>
      <c r="K324" s="58"/>
      <c r="L324" s="3"/>
    </row>
    <row r="325" spans="1:12" s="71" customFormat="1">
      <c r="A325" s="50"/>
      <c r="B325" s="30"/>
      <c r="C325" s="70"/>
      <c r="G325" s="30"/>
      <c r="H325" s="77"/>
      <c r="I325" s="77"/>
      <c r="J325" s="58"/>
      <c r="K325" s="58"/>
      <c r="L325" s="3"/>
    </row>
    <row r="326" spans="1:12" s="71" customFormat="1">
      <c r="A326" s="50"/>
      <c r="B326" s="30"/>
      <c r="C326" s="70"/>
      <c r="G326" s="30"/>
      <c r="H326" s="77"/>
      <c r="I326" s="77"/>
      <c r="J326" s="58"/>
      <c r="K326" s="58"/>
      <c r="L326" s="3"/>
    </row>
    <row r="327" spans="1:12" s="71" customFormat="1">
      <c r="A327" s="50"/>
      <c r="B327" s="30"/>
      <c r="C327" s="70"/>
      <c r="G327" s="30"/>
      <c r="H327" s="77"/>
      <c r="I327" s="77"/>
      <c r="J327" s="58"/>
      <c r="K327" s="58"/>
      <c r="L327" s="3"/>
    </row>
    <row r="328" spans="1:12" s="71" customFormat="1">
      <c r="A328" s="50"/>
      <c r="B328" s="30"/>
      <c r="C328" s="70"/>
      <c r="G328" s="30"/>
      <c r="H328" s="77"/>
      <c r="I328" s="77"/>
      <c r="J328" s="58"/>
      <c r="K328" s="58"/>
      <c r="L328" s="3"/>
    </row>
    <row r="329" spans="1:12" s="71" customFormat="1">
      <c r="A329" s="50"/>
      <c r="B329" s="30"/>
      <c r="C329" s="70"/>
      <c r="G329" s="30"/>
      <c r="H329" s="77"/>
      <c r="I329" s="77"/>
      <c r="J329" s="58"/>
      <c r="K329" s="58"/>
      <c r="L329" s="3"/>
    </row>
    <row r="330" spans="1:12" s="71" customFormat="1">
      <c r="A330" s="50"/>
      <c r="B330" s="30"/>
      <c r="C330" s="70"/>
      <c r="G330" s="30"/>
      <c r="H330" s="77"/>
      <c r="I330" s="77"/>
      <c r="J330" s="58"/>
      <c r="K330" s="58"/>
      <c r="L330" s="3"/>
    </row>
    <row r="331" spans="1:12" s="71" customFormat="1">
      <c r="A331" s="50"/>
      <c r="B331" s="30"/>
      <c r="C331" s="70"/>
      <c r="G331" s="30"/>
      <c r="H331" s="77"/>
      <c r="I331" s="77"/>
      <c r="J331" s="58"/>
      <c r="K331" s="58"/>
      <c r="L331" s="3"/>
    </row>
    <row r="332" spans="1:12" s="71" customFormat="1">
      <c r="A332" s="50"/>
      <c r="B332" s="30"/>
      <c r="C332" s="70"/>
      <c r="G332" s="30"/>
      <c r="H332" s="77"/>
      <c r="I332" s="77"/>
      <c r="J332" s="58"/>
      <c r="K332" s="58"/>
      <c r="L332" s="3"/>
    </row>
    <row r="333" spans="1:12" s="71" customFormat="1">
      <c r="A333" s="50"/>
      <c r="B333" s="30"/>
      <c r="C333" s="70"/>
      <c r="G333" s="30"/>
      <c r="H333" s="77"/>
      <c r="I333" s="77"/>
      <c r="J333" s="58"/>
      <c r="K333" s="58"/>
      <c r="L333" s="3"/>
    </row>
    <row r="334" spans="1:12" s="71" customFormat="1">
      <c r="A334" s="50"/>
      <c r="B334" s="30"/>
      <c r="C334" s="70"/>
      <c r="G334" s="30"/>
      <c r="H334" s="77"/>
      <c r="I334" s="77"/>
      <c r="J334" s="58"/>
      <c r="K334" s="58"/>
      <c r="L334" s="3"/>
    </row>
    <row r="335" spans="1:12" s="71" customFormat="1">
      <c r="A335" s="50"/>
      <c r="B335" s="30"/>
      <c r="C335" s="70"/>
      <c r="G335" s="30"/>
      <c r="H335" s="77"/>
      <c r="I335" s="77"/>
      <c r="J335" s="58"/>
      <c r="K335" s="58"/>
      <c r="L335" s="3"/>
    </row>
    <row r="336" spans="1:12" s="71" customFormat="1">
      <c r="A336" s="50"/>
      <c r="B336" s="30"/>
      <c r="C336" s="70"/>
      <c r="G336" s="30"/>
      <c r="H336" s="77"/>
      <c r="I336" s="77"/>
      <c r="J336" s="58"/>
      <c r="K336" s="58"/>
      <c r="L336" s="3"/>
    </row>
    <row r="337" spans="1:12" s="71" customFormat="1">
      <c r="A337" s="50"/>
      <c r="B337" s="30"/>
      <c r="C337" s="70"/>
      <c r="G337" s="30"/>
      <c r="H337" s="77"/>
      <c r="I337" s="77"/>
      <c r="J337" s="58"/>
      <c r="K337" s="58"/>
      <c r="L337" s="3"/>
    </row>
    <row r="338" spans="1:12" s="71" customFormat="1">
      <c r="A338" s="50"/>
      <c r="B338" s="30"/>
      <c r="C338" s="70"/>
      <c r="G338" s="30"/>
      <c r="H338" s="77"/>
      <c r="I338" s="77"/>
      <c r="J338" s="58"/>
      <c r="K338" s="58"/>
      <c r="L338" s="3"/>
    </row>
    <row r="339" spans="1:12" s="71" customFormat="1">
      <c r="A339" s="50"/>
      <c r="B339" s="30"/>
      <c r="C339" s="70"/>
      <c r="G339" s="30"/>
      <c r="H339" s="77"/>
      <c r="I339" s="77"/>
      <c r="J339" s="58"/>
      <c r="K339" s="58"/>
      <c r="L339" s="3"/>
    </row>
    <row r="340" spans="1:12" s="71" customFormat="1">
      <c r="A340" s="50"/>
      <c r="B340" s="30"/>
      <c r="C340" s="70"/>
      <c r="G340" s="30"/>
      <c r="H340" s="77"/>
      <c r="I340" s="77"/>
      <c r="J340" s="58"/>
      <c r="K340" s="58"/>
      <c r="L340" s="3"/>
    </row>
    <row r="341" spans="1:12" s="71" customFormat="1">
      <c r="A341" s="50"/>
      <c r="B341" s="30"/>
      <c r="C341" s="70"/>
      <c r="G341" s="30"/>
      <c r="H341" s="77"/>
      <c r="I341" s="77"/>
      <c r="J341" s="58"/>
      <c r="K341" s="58"/>
      <c r="L341" s="3"/>
    </row>
    <row r="342" spans="1:12" s="71" customFormat="1">
      <c r="A342" s="50"/>
      <c r="B342" s="30"/>
      <c r="C342" s="70"/>
      <c r="G342" s="30"/>
      <c r="H342" s="77"/>
      <c r="I342" s="77"/>
      <c r="J342" s="58"/>
      <c r="K342" s="58"/>
      <c r="L342" s="3"/>
    </row>
    <row r="343" spans="1:12" s="71" customFormat="1">
      <c r="A343" s="50"/>
      <c r="B343" s="30"/>
      <c r="C343" s="70"/>
      <c r="G343" s="30"/>
      <c r="H343" s="77"/>
      <c r="I343" s="77"/>
      <c r="J343" s="58"/>
      <c r="K343" s="58"/>
      <c r="L343" s="3"/>
    </row>
    <row r="344" spans="1:12" s="71" customFormat="1">
      <c r="A344" s="50"/>
      <c r="B344" s="30"/>
      <c r="C344" s="70"/>
      <c r="G344" s="30"/>
      <c r="H344" s="77"/>
      <c r="I344" s="77"/>
      <c r="J344" s="58"/>
      <c r="K344" s="58"/>
      <c r="L344" s="3"/>
    </row>
    <row r="345" spans="1:12" s="71" customFormat="1">
      <c r="A345" s="50"/>
      <c r="B345" s="30"/>
      <c r="C345" s="70"/>
      <c r="G345" s="30"/>
      <c r="H345" s="77"/>
      <c r="I345" s="77"/>
      <c r="J345" s="58"/>
      <c r="K345" s="58"/>
      <c r="L345" s="3"/>
    </row>
    <row r="346" spans="1:12" s="71" customFormat="1">
      <c r="A346" s="50"/>
      <c r="B346" s="30"/>
      <c r="C346" s="70"/>
      <c r="G346" s="30"/>
      <c r="H346" s="77"/>
      <c r="I346" s="77"/>
      <c r="J346" s="58"/>
      <c r="K346" s="58"/>
      <c r="L346" s="3"/>
    </row>
    <row r="347" spans="1:12" s="71" customFormat="1">
      <c r="A347" s="50"/>
      <c r="B347" s="30"/>
      <c r="C347" s="70"/>
      <c r="G347" s="30"/>
      <c r="H347" s="77"/>
      <c r="I347" s="77"/>
      <c r="J347" s="58"/>
      <c r="K347" s="58"/>
      <c r="L347" s="3"/>
    </row>
    <row r="348" spans="1:12" s="71" customFormat="1">
      <c r="A348" s="50"/>
      <c r="B348" s="30"/>
      <c r="C348" s="70"/>
      <c r="G348" s="30"/>
      <c r="H348" s="77"/>
      <c r="I348" s="77"/>
      <c r="J348" s="58"/>
      <c r="K348" s="58"/>
      <c r="L348" s="3"/>
    </row>
    <row r="349" spans="1:12" s="71" customFormat="1">
      <c r="A349" s="50"/>
      <c r="B349" s="30"/>
      <c r="C349" s="70"/>
      <c r="G349" s="30"/>
      <c r="H349" s="77"/>
      <c r="I349" s="77"/>
      <c r="J349" s="58"/>
      <c r="K349" s="58"/>
      <c r="L349" s="3"/>
    </row>
    <row r="350" spans="1:12" s="71" customFormat="1">
      <c r="A350" s="50"/>
      <c r="B350" s="30"/>
      <c r="C350" s="70"/>
      <c r="G350" s="30"/>
      <c r="H350" s="77"/>
      <c r="I350" s="77"/>
      <c r="J350" s="58"/>
      <c r="K350" s="58"/>
      <c r="L350" s="3"/>
    </row>
    <row r="351" spans="1:12" s="71" customFormat="1">
      <c r="A351" s="50"/>
      <c r="B351" s="30"/>
      <c r="C351" s="70"/>
      <c r="G351" s="30"/>
      <c r="H351" s="77"/>
      <c r="I351" s="77"/>
      <c r="J351" s="58"/>
      <c r="K351" s="58"/>
      <c r="L351" s="3"/>
    </row>
    <row r="352" spans="1:12" s="71" customFormat="1">
      <c r="A352" s="50"/>
      <c r="B352" s="30"/>
      <c r="C352" s="70"/>
      <c r="G352" s="30"/>
      <c r="H352" s="77"/>
      <c r="I352" s="77"/>
      <c r="J352" s="58"/>
      <c r="K352" s="58"/>
      <c r="L352" s="3"/>
    </row>
    <row r="353" spans="1:12" s="71" customFormat="1">
      <c r="A353" s="50"/>
      <c r="B353" s="30"/>
      <c r="C353" s="70"/>
      <c r="G353" s="30"/>
      <c r="H353" s="77"/>
      <c r="I353" s="77"/>
      <c r="J353" s="58"/>
      <c r="K353" s="58"/>
      <c r="L353" s="3"/>
    </row>
    <row r="354" spans="1:12" s="71" customFormat="1">
      <c r="A354" s="50"/>
      <c r="B354" s="30"/>
      <c r="C354" s="70"/>
      <c r="G354" s="30"/>
      <c r="H354" s="77"/>
      <c r="I354" s="77"/>
      <c r="J354" s="58"/>
      <c r="K354" s="58"/>
      <c r="L354" s="3"/>
    </row>
    <row r="355" spans="1:12" s="71" customFormat="1">
      <c r="A355" s="50"/>
      <c r="B355" s="30"/>
      <c r="C355" s="70"/>
      <c r="G355" s="30"/>
      <c r="H355" s="77"/>
      <c r="I355" s="77"/>
      <c r="J355" s="58"/>
      <c r="K355" s="58"/>
      <c r="L355" s="3"/>
    </row>
    <row r="356" spans="1:12" s="71" customFormat="1">
      <c r="A356" s="50"/>
      <c r="B356" s="30"/>
      <c r="C356" s="70"/>
      <c r="G356" s="30"/>
      <c r="H356" s="77"/>
      <c r="I356" s="77"/>
      <c r="J356" s="58"/>
      <c r="K356" s="58"/>
      <c r="L356" s="3"/>
    </row>
    <row r="357" spans="1:12" s="71" customFormat="1">
      <c r="A357" s="50"/>
      <c r="B357" s="30"/>
      <c r="C357" s="70"/>
      <c r="G357" s="30"/>
      <c r="H357" s="77"/>
      <c r="I357" s="77"/>
      <c r="J357" s="58"/>
      <c r="K357" s="58"/>
      <c r="L357" s="3"/>
    </row>
    <row r="358" spans="1:12" s="71" customFormat="1">
      <c r="A358" s="50"/>
      <c r="B358" s="30"/>
      <c r="C358" s="70"/>
      <c r="G358" s="30"/>
      <c r="H358" s="77"/>
      <c r="I358" s="77"/>
      <c r="J358" s="58"/>
      <c r="K358" s="58"/>
      <c r="L358" s="3"/>
    </row>
    <row r="359" spans="1:12" s="71" customFormat="1">
      <c r="A359" s="50"/>
      <c r="B359" s="30"/>
      <c r="C359" s="70"/>
      <c r="G359" s="30"/>
      <c r="H359" s="77"/>
      <c r="I359" s="77"/>
      <c r="J359" s="58"/>
      <c r="K359" s="58"/>
      <c r="L359" s="3"/>
    </row>
    <row r="360" spans="1:12" s="71" customFormat="1">
      <c r="A360" s="50"/>
      <c r="B360" s="30"/>
      <c r="C360" s="70"/>
      <c r="G360" s="30"/>
      <c r="H360" s="77"/>
      <c r="I360" s="77"/>
      <c r="J360" s="58"/>
      <c r="K360" s="58"/>
      <c r="L360" s="3"/>
    </row>
    <row r="361" spans="1:12" s="71" customFormat="1">
      <c r="A361" s="50"/>
      <c r="B361" s="30"/>
      <c r="C361" s="70"/>
      <c r="G361" s="30"/>
      <c r="H361" s="77"/>
      <c r="I361" s="77"/>
      <c r="J361" s="58"/>
      <c r="K361" s="58"/>
      <c r="L361" s="3"/>
    </row>
    <row r="362" spans="1:12" s="71" customFormat="1">
      <c r="A362" s="50"/>
      <c r="B362" s="30"/>
      <c r="C362" s="70"/>
      <c r="G362" s="30"/>
      <c r="H362" s="77"/>
      <c r="I362" s="77"/>
      <c r="J362" s="58"/>
      <c r="K362" s="58"/>
      <c r="L362" s="3"/>
    </row>
    <row r="363" spans="1:12" s="71" customFormat="1">
      <c r="A363" s="50"/>
      <c r="B363" s="30"/>
      <c r="C363" s="70"/>
      <c r="G363" s="30"/>
      <c r="H363" s="77"/>
      <c r="I363" s="77"/>
      <c r="J363" s="58"/>
      <c r="K363" s="58"/>
      <c r="L363" s="3"/>
    </row>
    <row r="364" spans="1:12" s="71" customFormat="1">
      <c r="A364" s="50"/>
      <c r="B364" s="30"/>
      <c r="C364" s="70"/>
      <c r="G364" s="30"/>
      <c r="H364" s="77"/>
      <c r="I364" s="77"/>
      <c r="J364" s="58"/>
      <c r="K364" s="58"/>
      <c r="L364" s="3"/>
    </row>
    <row r="365" spans="1:12" s="71" customFormat="1">
      <c r="A365" s="50"/>
      <c r="B365" s="30"/>
      <c r="C365" s="70"/>
      <c r="G365" s="30"/>
      <c r="H365" s="77"/>
      <c r="I365" s="77"/>
      <c r="J365" s="58"/>
      <c r="K365" s="58"/>
      <c r="L365" s="3"/>
    </row>
    <row r="366" spans="1:12" s="71" customFormat="1">
      <c r="A366" s="50"/>
      <c r="B366" s="30"/>
      <c r="C366" s="70"/>
      <c r="G366" s="30"/>
      <c r="H366" s="77"/>
      <c r="I366" s="77"/>
      <c r="J366" s="58"/>
      <c r="K366" s="58"/>
      <c r="L366" s="3"/>
    </row>
    <row r="367" spans="1:12" s="71" customFormat="1">
      <c r="A367" s="50"/>
      <c r="B367" s="30"/>
      <c r="C367" s="70"/>
      <c r="G367" s="30"/>
      <c r="H367" s="77"/>
      <c r="I367" s="77"/>
      <c r="J367" s="58"/>
      <c r="K367" s="58"/>
      <c r="L367" s="3"/>
    </row>
    <row r="368" spans="1:12" s="71" customFormat="1">
      <c r="A368" s="50"/>
      <c r="B368" s="30"/>
      <c r="C368" s="70"/>
      <c r="G368" s="30"/>
      <c r="H368" s="77"/>
      <c r="I368" s="77"/>
      <c r="J368" s="58"/>
      <c r="K368" s="58"/>
      <c r="L368" s="3"/>
    </row>
    <row r="369" spans="1:12" s="71" customFormat="1">
      <c r="A369" s="50"/>
      <c r="B369" s="30"/>
      <c r="C369" s="70"/>
      <c r="G369" s="30"/>
      <c r="H369" s="77"/>
      <c r="I369" s="77"/>
      <c r="J369" s="58"/>
      <c r="K369" s="58"/>
      <c r="L369" s="3"/>
    </row>
    <row r="370" spans="1:12" s="71" customFormat="1">
      <c r="A370" s="50"/>
      <c r="B370" s="30"/>
      <c r="C370" s="70"/>
      <c r="G370" s="30"/>
      <c r="H370" s="77"/>
      <c r="I370" s="77"/>
      <c r="J370" s="58"/>
      <c r="K370" s="58"/>
      <c r="L370" s="3"/>
    </row>
    <row r="371" spans="1:12" s="71" customFormat="1">
      <c r="A371" s="50"/>
      <c r="B371" s="30"/>
      <c r="C371" s="70"/>
      <c r="G371" s="30"/>
      <c r="H371" s="77"/>
      <c r="I371" s="77"/>
      <c r="J371" s="58"/>
      <c r="K371" s="58"/>
      <c r="L371" s="3"/>
    </row>
    <row r="372" spans="1:12" s="71" customFormat="1">
      <c r="A372" s="50"/>
      <c r="B372" s="30"/>
      <c r="C372" s="70"/>
      <c r="G372" s="30"/>
      <c r="H372" s="77"/>
      <c r="I372" s="77"/>
      <c r="J372" s="58"/>
      <c r="K372" s="58"/>
      <c r="L372" s="3"/>
    </row>
    <row r="373" spans="1:12" s="71" customFormat="1">
      <c r="A373" s="50"/>
      <c r="B373" s="30"/>
      <c r="C373" s="70"/>
      <c r="G373" s="30"/>
      <c r="H373" s="77"/>
      <c r="I373" s="77"/>
      <c r="J373" s="58"/>
      <c r="K373" s="58"/>
      <c r="L373" s="3"/>
    </row>
    <row r="374" spans="1:12" s="71" customFormat="1">
      <c r="A374" s="50"/>
      <c r="B374" s="30"/>
      <c r="C374" s="70"/>
      <c r="G374" s="30"/>
      <c r="H374" s="77"/>
      <c r="I374" s="77"/>
      <c r="J374" s="58"/>
      <c r="K374" s="58"/>
      <c r="L374" s="3"/>
    </row>
    <row r="375" spans="1:12" s="71" customFormat="1">
      <c r="A375" s="50"/>
      <c r="B375" s="30"/>
      <c r="C375" s="70"/>
      <c r="G375" s="30"/>
      <c r="H375" s="77"/>
      <c r="I375" s="77"/>
      <c r="J375" s="58"/>
      <c r="K375" s="58"/>
      <c r="L375" s="3"/>
    </row>
    <row r="376" spans="1:12" s="71" customFormat="1">
      <c r="A376" s="50"/>
      <c r="B376" s="30"/>
      <c r="C376" s="70"/>
      <c r="G376" s="30"/>
      <c r="H376" s="77"/>
      <c r="I376" s="77"/>
      <c r="J376" s="58"/>
      <c r="K376" s="58"/>
      <c r="L376" s="3"/>
    </row>
    <row r="377" spans="1:12" s="71" customFormat="1">
      <c r="A377" s="50"/>
      <c r="B377" s="30"/>
      <c r="C377" s="70"/>
      <c r="G377" s="30"/>
      <c r="H377" s="77"/>
      <c r="I377" s="77"/>
      <c r="J377" s="58"/>
      <c r="K377" s="58"/>
      <c r="L377" s="3"/>
    </row>
    <row r="378" spans="1:12" s="71" customFormat="1">
      <c r="A378" s="50"/>
      <c r="B378" s="30"/>
      <c r="C378" s="70"/>
      <c r="G378" s="30"/>
      <c r="H378" s="77"/>
      <c r="I378" s="77"/>
      <c r="J378" s="58"/>
      <c r="K378" s="58"/>
      <c r="L378" s="3"/>
    </row>
    <row r="379" spans="1:12" s="71" customFormat="1">
      <c r="A379" s="50"/>
      <c r="B379" s="30"/>
      <c r="C379" s="70"/>
      <c r="G379" s="30"/>
      <c r="H379" s="77"/>
      <c r="I379" s="77"/>
      <c r="J379" s="58"/>
      <c r="K379" s="58"/>
      <c r="L379" s="3"/>
    </row>
    <row r="380" spans="1:12" s="71" customFormat="1">
      <c r="A380" s="50"/>
      <c r="B380" s="30"/>
      <c r="C380" s="70"/>
      <c r="G380" s="30"/>
      <c r="H380" s="77"/>
      <c r="I380" s="77"/>
      <c r="J380" s="58"/>
      <c r="K380" s="58"/>
      <c r="L380" s="3"/>
    </row>
    <row r="381" spans="1:12" s="71" customFormat="1">
      <c r="A381" s="50"/>
      <c r="B381" s="30"/>
      <c r="C381" s="70"/>
      <c r="G381" s="30"/>
      <c r="H381" s="77"/>
      <c r="I381" s="77"/>
      <c r="J381" s="58"/>
      <c r="K381" s="58"/>
      <c r="L381" s="3"/>
    </row>
    <row r="382" spans="1:12" s="71" customFormat="1">
      <c r="A382" s="50"/>
      <c r="B382" s="30"/>
      <c r="C382" s="70"/>
      <c r="G382" s="30"/>
      <c r="H382" s="77"/>
      <c r="I382" s="77"/>
      <c r="J382" s="58"/>
      <c r="K382" s="58"/>
      <c r="L382" s="3"/>
    </row>
    <row r="383" spans="1:12" s="71" customFormat="1">
      <c r="A383" s="50"/>
      <c r="B383" s="30"/>
      <c r="C383" s="70"/>
      <c r="G383" s="30"/>
      <c r="H383" s="77"/>
      <c r="I383" s="77"/>
      <c r="J383" s="58"/>
      <c r="K383" s="58"/>
      <c r="L383" s="3"/>
    </row>
    <row r="384" spans="1:12" s="71" customFormat="1">
      <c r="A384" s="50"/>
      <c r="B384" s="30"/>
      <c r="C384" s="70"/>
      <c r="G384" s="30"/>
      <c r="H384" s="77"/>
      <c r="I384" s="77"/>
      <c r="J384" s="58"/>
      <c r="K384" s="58"/>
      <c r="L384" s="3"/>
    </row>
    <row r="385" spans="1:12" s="71" customFormat="1">
      <c r="A385" s="50"/>
      <c r="B385" s="30"/>
      <c r="C385" s="70"/>
      <c r="G385" s="30"/>
      <c r="H385" s="77"/>
      <c r="I385" s="77"/>
      <c r="J385" s="58"/>
      <c r="K385" s="58"/>
      <c r="L385" s="3"/>
    </row>
    <row r="386" spans="1:12" s="71" customFormat="1">
      <c r="A386" s="50"/>
      <c r="B386" s="30"/>
      <c r="C386" s="70"/>
      <c r="G386" s="30"/>
      <c r="H386" s="77"/>
      <c r="I386" s="77"/>
      <c r="J386" s="58"/>
      <c r="K386" s="58"/>
      <c r="L386" s="3"/>
    </row>
    <row r="387" spans="1:12" s="71" customFormat="1">
      <c r="A387" s="50"/>
      <c r="B387" s="30"/>
      <c r="C387" s="70"/>
      <c r="G387" s="30"/>
      <c r="H387" s="77"/>
      <c r="I387" s="77"/>
      <c r="J387" s="58"/>
      <c r="K387" s="58"/>
      <c r="L387" s="3"/>
    </row>
    <row r="388" spans="1:12" s="71" customFormat="1">
      <c r="A388" s="50"/>
      <c r="B388" s="30"/>
      <c r="C388" s="70"/>
      <c r="G388" s="30"/>
      <c r="H388" s="77"/>
      <c r="I388" s="77"/>
      <c r="J388" s="58"/>
      <c r="K388" s="58"/>
      <c r="L388" s="3"/>
    </row>
    <row r="389" spans="1:12" s="71" customFormat="1">
      <c r="A389" s="50"/>
      <c r="B389" s="30"/>
      <c r="C389" s="70"/>
      <c r="G389" s="30"/>
      <c r="H389" s="77"/>
      <c r="I389" s="77"/>
      <c r="J389" s="58"/>
      <c r="K389" s="58"/>
      <c r="L389" s="3"/>
    </row>
    <row r="390" spans="1:12" s="71" customFormat="1">
      <c r="A390" s="50"/>
      <c r="B390" s="30"/>
      <c r="C390" s="70"/>
      <c r="G390" s="30"/>
      <c r="H390" s="77"/>
      <c r="I390" s="77"/>
      <c r="J390" s="58"/>
      <c r="K390" s="58"/>
      <c r="L390" s="3"/>
    </row>
    <row r="391" spans="1:12" s="71" customFormat="1">
      <c r="A391" s="50"/>
      <c r="B391" s="30"/>
      <c r="C391" s="70"/>
      <c r="G391" s="30"/>
      <c r="H391" s="77"/>
      <c r="I391" s="77"/>
      <c r="J391" s="58"/>
      <c r="K391" s="58"/>
      <c r="L391" s="3"/>
    </row>
    <row r="392" spans="1:12" s="71" customFormat="1">
      <c r="A392" s="50"/>
      <c r="B392" s="30"/>
      <c r="C392" s="70"/>
      <c r="G392" s="30"/>
      <c r="H392" s="77"/>
      <c r="I392" s="77"/>
      <c r="J392" s="58"/>
      <c r="K392" s="58"/>
      <c r="L392" s="3"/>
    </row>
    <row r="393" spans="1:12" s="71" customFormat="1">
      <c r="A393" s="50"/>
      <c r="B393" s="30"/>
      <c r="C393" s="70"/>
      <c r="G393" s="30"/>
      <c r="H393" s="77"/>
      <c r="I393" s="77"/>
      <c r="J393" s="58"/>
      <c r="K393" s="58"/>
      <c r="L393" s="3"/>
    </row>
    <row r="394" spans="1:12" s="71" customFormat="1">
      <c r="A394" s="50"/>
      <c r="B394" s="30"/>
      <c r="C394" s="70"/>
      <c r="G394" s="30"/>
      <c r="H394" s="77"/>
      <c r="I394" s="77"/>
      <c r="J394" s="58"/>
      <c r="K394" s="58"/>
      <c r="L394" s="3"/>
    </row>
    <row r="395" spans="1:12" s="71" customFormat="1">
      <c r="A395" s="50"/>
      <c r="B395" s="30"/>
      <c r="C395" s="70"/>
      <c r="G395" s="30"/>
      <c r="H395" s="77"/>
      <c r="I395" s="77"/>
      <c r="J395" s="58"/>
      <c r="K395" s="58"/>
      <c r="L395" s="3"/>
    </row>
    <row r="396" spans="1:12" s="71" customFormat="1">
      <c r="A396" s="50"/>
      <c r="B396" s="30"/>
      <c r="C396" s="70"/>
      <c r="G396" s="30"/>
      <c r="H396" s="77"/>
      <c r="I396" s="77"/>
      <c r="J396" s="58"/>
      <c r="K396" s="58"/>
      <c r="L396" s="3"/>
    </row>
    <row r="397" spans="1:12" s="71" customFormat="1">
      <c r="A397" s="50"/>
      <c r="B397" s="30"/>
      <c r="C397" s="70"/>
      <c r="G397" s="30"/>
      <c r="H397" s="77"/>
      <c r="I397" s="77"/>
      <c r="J397" s="58"/>
      <c r="K397" s="58"/>
      <c r="L397" s="3"/>
    </row>
    <row r="398" spans="1:12" s="71" customFormat="1">
      <c r="A398" s="50"/>
      <c r="B398" s="30"/>
      <c r="C398" s="70"/>
      <c r="G398" s="30"/>
      <c r="H398" s="77"/>
      <c r="I398" s="77"/>
      <c r="J398" s="58"/>
      <c r="K398" s="58"/>
      <c r="L398" s="3"/>
    </row>
    <row r="399" spans="1:12" s="71" customFormat="1">
      <c r="A399" s="50"/>
      <c r="B399" s="30"/>
      <c r="C399" s="70"/>
      <c r="G399" s="30"/>
      <c r="H399" s="77"/>
      <c r="I399" s="77"/>
      <c r="J399" s="58"/>
      <c r="K399" s="58"/>
      <c r="L399" s="3"/>
    </row>
    <row r="400" spans="1:12" s="71" customFormat="1">
      <c r="A400" s="50"/>
      <c r="B400" s="30"/>
      <c r="C400" s="70"/>
      <c r="G400" s="30"/>
      <c r="H400" s="77"/>
      <c r="I400" s="77"/>
      <c r="J400" s="58"/>
      <c r="K400" s="58"/>
      <c r="L400" s="3"/>
    </row>
    <row r="401" spans="1:12" s="71" customFormat="1">
      <c r="A401" s="50"/>
      <c r="B401" s="30"/>
      <c r="C401" s="70"/>
      <c r="G401" s="30"/>
      <c r="H401" s="77"/>
      <c r="I401" s="77"/>
      <c r="J401" s="58"/>
      <c r="K401" s="58"/>
      <c r="L401" s="3"/>
    </row>
    <row r="402" spans="1:12" s="71" customFormat="1">
      <c r="A402" s="50"/>
      <c r="B402" s="30"/>
      <c r="C402" s="70"/>
      <c r="G402" s="30"/>
      <c r="H402" s="77"/>
      <c r="I402" s="77"/>
      <c r="J402" s="58"/>
      <c r="K402" s="58"/>
      <c r="L402" s="3"/>
    </row>
    <row r="403" spans="1:12" s="71" customFormat="1">
      <c r="A403" s="50"/>
      <c r="B403" s="30"/>
      <c r="C403" s="70"/>
      <c r="G403" s="30"/>
      <c r="H403" s="77"/>
      <c r="I403" s="77"/>
      <c r="J403" s="58"/>
      <c r="K403" s="58"/>
      <c r="L403" s="3"/>
    </row>
    <row r="404" spans="1:12" s="71" customFormat="1">
      <c r="A404" s="50"/>
      <c r="B404" s="30"/>
      <c r="C404" s="70"/>
      <c r="G404" s="30"/>
      <c r="H404" s="77"/>
      <c r="I404" s="77"/>
      <c r="J404" s="58"/>
      <c r="K404" s="58"/>
      <c r="L404" s="3"/>
    </row>
    <row r="405" spans="1:12" s="71" customFormat="1">
      <c r="A405" s="50"/>
      <c r="B405" s="30"/>
      <c r="C405" s="70"/>
      <c r="G405" s="30"/>
      <c r="H405" s="77"/>
      <c r="I405" s="77"/>
      <c r="J405" s="58"/>
      <c r="K405" s="58"/>
      <c r="L405" s="3"/>
    </row>
    <row r="406" spans="1:12" s="71" customFormat="1">
      <c r="A406" s="50"/>
      <c r="B406" s="30"/>
      <c r="C406" s="70"/>
      <c r="G406" s="30"/>
      <c r="H406" s="77"/>
      <c r="I406" s="77"/>
      <c r="J406" s="58"/>
      <c r="K406" s="58"/>
      <c r="L406" s="3"/>
    </row>
    <row r="407" spans="1:12" s="71" customFormat="1">
      <c r="A407" s="50"/>
      <c r="B407" s="30"/>
      <c r="C407" s="70"/>
      <c r="G407" s="30"/>
      <c r="H407" s="77"/>
      <c r="I407" s="77"/>
      <c r="J407" s="58"/>
      <c r="K407" s="58"/>
      <c r="L407" s="3"/>
    </row>
    <row r="408" spans="1:12" s="71" customFormat="1">
      <c r="A408" s="50"/>
      <c r="B408" s="30"/>
      <c r="C408" s="70"/>
      <c r="G408" s="30"/>
      <c r="H408" s="77"/>
      <c r="I408" s="77"/>
      <c r="J408" s="58"/>
      <c r="K408" s="58"/>
      <c r="L408" s="3"/>
    </row>
    <row r="409" spans="1:12" s="71" customFormat="1">
      <c r="A409" s="50"/>
      <c r="B409" s="30"/>
      <c r="C409" s="70"/>
      <c r="G409" s="30"/>
      <c r="H409" s="77"/>
      <c r="I409" s="77"/>
      <c r="J409" s="58"/>
      <c r="K409" s="58"/>
      <c r="L409" s="3"/>
    </row>
    <row r="410" spans="1:12" s="71" customFormat="1">
      <c r="A410" s="50"/>
      <c r="B410" s="30"/>
      <c r="C410" s="70"/>
      <c r="G410" s="30"/>
      <c r="H410" s="77"/>
      <c r="I410" s="77"/>
      <c r="J410" s="58"/>
      <c r="K410" s="58"/>
      <c r="L410" s="3"/>
    </row>
    <row r="411" spans="1:12" s="71" customFormat="1">
      <c r="A411" s="50"/>
      <c r="B411" s="30"/>
      <c r="C411" s="70"/>
      <c r="G411" s="30"/>
      <c r="H411" s="77"/>
      <c r="I411" s="77"/>
      <c r="J411" s="58"/>
      <c r="K411" s="58"/>
      <c r="L411" s="3"/>
    </row>
    <row r="412" spans="1:12" s="71" customFormat="1">
      <c r="A412" s="50"/>
      <c r="B412" s="30"/>
      <c r="C412" s="70"/>
      <c r="G412" s="30"/>
      <c r="H412" s="77"/>
      <c r="I412" s="77"/>
      <c r="J412" s="58"/>
      <c r="K412" s="58"/>
      <c r="L412" s="3"/>
    </row>
    <row r="413" spans="1:12" s="71" customFormat="1">
      <c r="A413" s="50"/>
      <c r="B413" s="30"/>
      <c r="C413" s="70"/>
      <c r="G413" s="30"/>
      <c r="H413" s="77"/>
      <c r="I413" s="77"/>
      <c r="J413" s="58"/>
      <c r="K413" s="58"/>
      <c r="L413" s="3"/>
    </row>
    <row r="414" spans="1:12" s="71" customFormat="1">
      <c r="A414" s="50"/>
      <c r="B414" s="30"/>
      <c r="C414" s="70"/>
      <c r="G414" s="30"/>
      <c r="H414" s="77"/>
      <c r="I414" s="77"/>
      <c r="J414" s="58"/>
      <c r="K414" s="58"/>
      <c r="L414" s="3"/>
    </row>
    <row r="415" spans="1:12" s="71" customFormat="1">
      <c r="A415" s="50"/>
      <c r="B415" s="30"/>
      <c r="C415" s="70"/>
      <c r="G415" s="30"/>
      <c r="H415" s="77"/>
      <c r="I415" s="77"/>
      <c r="J415" s="58"/>
      <c r="K415" s="58"/>
      <c r="L415" s="3"/>
    </row>
    <row r="416" spans="1:12" s="71" customFormat="1">
      <c r="A416" s="50"/>
      <c r="B416" s="30"/>
      <c r="C416" s="70"/>
      <c r="G416" s="30"/>
      <c r="H416" s="77"/>
      <c r="I416" s="77"/>
      <c r="J416" s="58"/>
      <c r="K416" s="58"/>
      <c r="L416" s="3"/>
    </row>
    <row r="417" spans="1:12" s="71" customFormat="1">
      <c r="A417" s="50"/>
      <c r="B417" s="30"/>
      <c r="C417" s="70"/>
      <c r="G417" s="30"/>
      <c r="H417" s="77"/>
      <c r="I417" s="77"/>
      <c r="J417" s="58"/>
      <c r="K417" s="58"/>
      <c r="L417" s="3"/>
    </row>
    <row r="418" spans="1:12" s="71" customFormat="1">
      <c r="A418" s="50"/>
      <c r="B418" s="30"/>
      <c r="C418" s="70"/>
      <c r="G418" s="30"/>
      <c r="H418" s="77"/>
      <c r="I418" s="77"/>
      <c r="J418" s="58"/>
      <c r="K418" s="58"/>
      <c r="L418" s="3"/>
    </row>
    <row r="419" spans="1:12" s="71" customFormat="1">
      <c r="A419" s="50"/>
      <c r="B419" s="30"/>
      <c r="C419" s="70"/>
      <c r="G419" s="30"/>
      <c r="H419" s="77"/>
      <c r="I419" s="77"/>
      <c r="J419" s="58"/>
      <c r="K419" s="58"/>
      <c r="L419" s="3"/>
    </row>
    <row r="420" spans="1:12" s="71" customFormat="1">
      <c r="A420" s="50"/>
      <c r="B420" s="30"/>
      <c r="C420" s="70"/>
      <c r="G420" s="30"/>
      <c r="H420" s="77"/>
      <c r="I420" s="77"/>
      <c r="J420" s="58"/>
      <c r="K420" s="58"/>
      <c r="L420" s="3"/>
    </row>
    <row r="421" spans="1:12" s="71" customFormat="1">
      <c r="A421" s="50"/>
      <c r="B421" s="30"/>
      <c r="C421" s="70"/>
      <c r="G421" s="30"/>
      <c r="H421" s="77"/>
      <c r="I421" s="77"/>
      <c r="J421" s="58"/>
      <c r="K421" s="58"/>
      <c r="L421" s="3"/>
    </row>
    <row r="422" spans="1:12" s="71" customFormat="1">
      <c r="A422" s="50"/>
      <c r="B422" s="30"/>
      <c r="C422" s="70"/>
      <c r="G422" s="30"/>
      <c r="H422" s="77"/>
      <c r="I422" s="77"/>
      <c r="J422" s="58"/>
      <c r="K422" s="58"/>
      <c r="L422" s="3"/>
    </row>
    <row r="423" spans="1:12" s="71" customFormat="1">
      <c r="A423" s="50"/>
      <c r="B423" s="30"/>
      <c r="C423" s="70"/>
      <c r="G423" s="30"/>
      <c r="H423" s="77"/>
      <c r="I423" s="77"/>
      <c r="J423" s="58"/>
      <c r="K423" s="58"/>
      <c r="L423" s="3"/>
    </row>
    <row r="424" spans="1:12" s="71" customFormat="1">
      <c r="A424" s="50"/>
      <c r="B424" s="30"/>
      <c r="C424" s="70"/>
      <c r="G424" s="30"/>
      <c r="H424" s="77"/>
      <c r="I424" s="77"/>
      <c r="J424" s="58"/>
      <c r="K424" s="58"/>
      <c r="L424" s="3"/>
    </row>
    <row r="425" spans="1:12" s="71" customFormat="1">
      <c r="A425" s="50"/>
      <c r="B425" s="30"/>
      <c r="C425" s="70"/>
      <c r="G425" s="30"/>
      <c r="H425" s="77"/>
      <c r="I425" s="77"/>
      <c r="J425" s="58"/>
      <c r="K425" s="58"/>
      <c r="L425" s="3"/>
    </row>
    <row r="426" spans="1:12" s="71" customFormat="1">
      <c r="A426" s="50"/>
      <c r="B426" s="30"/>
      <c r="C426" s="70"/>
      <c r="G426" s="30"/>
      <c r="H426" s="77"/>
      <c r="I426" s="77"/>
      <c r="J426" s="58"/>
      <c r="K426" s="58"/>
      <c r="L426" s="3"/>
    </row>
    <row r="427" spans="1:12" s="71" customFormat="1">
      <c r="A427" s="50"/>
      <c r="B427" s="30"/>
      <c r="C427" s="70"/>
      <c r="G427" s="30"/>
      <c r="H427" s="77"/>
      <c r="I427" s="77"/>
      <c r="J427" s="58"/>
      <c r="K427" s="58"/>
      <c r="L427" s="3"/>
    </row>
    <row r="428" spans="1:12" s="71" customFormat="1">
      <c r="A428" s="50"/>
      <c r="B428" s="30"/>
      <c r="C428" s="70"/>
      <c r="G428" s="30"/>
      <c r="H428" s="77"/>
      <c r="I428" s="77"/>
      <c r="J428" s="58"/>
      <c r="K428" s="58"/>
      <c r="L428" s="3"/>
    </row>
    <row r="429" spans="1:12" s="71" customFormat="1">
      <c r="A429" s="50"/>
      <c r="B429" s="30"/>
      <c r="C429" s="70"/>
      <c r="G429" s="30"/>
      <c r="H429" s="77"/>
      <c r="I429" s="77"/>
      <c r="J429" s="58"/>
      <c r="K429" s="58"/>
      <c r="L429" s="3"/>
    </row>
    <row r="430" spans="1:12" s="71" customFormat="1">
      <c r="A430" s="50"/>
      <c r="B430" s="30"/>
      <c r="C430" s="70"/>
      <c r="G430" s="30"/>
      <c r="H430" s="77"/>
      <c r="I430" s="77"/>
      <c r="J430" s="58"/>
      <c r="K430" s="58"/>
      <c r="L430" s="3"/>
    </row>
    <row r="431" spans="1:12" s="71" customFormat="1">
      <c r="A431" s="50"/>
      <c r="B431" s="30"/>
      <c r="C431" s="70"/>
      <c r="G431" s="30"/>
      <c r="H431" s="77"/>
      <c r="I431" s="77"/>
      <c r="J431" s="58"/>
      <c r="K431" s="58"/>
      <c r="L431" s="3"/>
    </row>
    <row r="432" spans="1:12" s="71" customFormat="1">
      <c r="A432" s="50"/>
      <c r="B432" s="30"/>
      <c r="C432" s="70"/>
      <c r="G432" s="30"/>
      <c r="H432" s="77"/>
      <c r="I432" s="77"/>
      <c r="J432" s="58"/>
      <c r="K432" s="58"/>
      <c r="L432" s="3"/>
    </row>
    <row r="433" spans="1:12" s="71" customFormat="1">
      <c r="A433" s="50"/>
      <c r="B433" s="30"/>
      <c r="C433" s="70"/>
      <c r="G433" s="30"/>
      <c r="H433" s="77"/>
      <c r="I433" s="77"/>
      <c r="J433" s="58"/>
      <c r="K433" s="58"/>
      <c r="L433" s="3"/>
    </row>
    <row r="434" spans="1:12" s="71" customFormat="1">
      <c r="A434" s="50"/>
      <c r="B434" s="30"/>
      <c r="C434" s="70"/>
      <c r="G434" s="30"/>
      <c r="H434" s="77"/>
      <c r="I434" s="77"/>
      <c r="J434" s="58"/>
      <c r="K434" s="58"/>
      <c r="L434" s="3"/>
    </row>
    <row r="435" spans="1:12" s="71" customFormat="1">
      <c r="A435" s="50"/>
      <c r="B435" s="30"/>
      <c r="C435" s="70"/>
      <c r="G435" s="30"/>
      <c r="H435" s="77"/>
      <c r="I435" s="77"/>
      <c r="J435" s="58"/>
      <c r="K435" s="58"/>
      <c r="L435" s="3"/>
    </row>
    <row r="436" spans="1:12" s="71" customFormat="1">
      <c r="A436" s="50"/>
      <c r="B436" s="30"/>
      <c r="C436" s="70"/>
      <c r="G436" s="30"/>
      <c r="H436" s="77"/>
      <c r="I436" s="77"/>
      <c r="J436" s="58"/>
      <c r="K436" s="58"/>
      <c r="L436" s="3"/>
    </row>
    <row r="437" spans="1:12" s="71" customFormat="1">
      <c r="A437" s="50"/>
      <c r="B437" s="30"/>
      <c r="C437" s="70"/>
      <c r="G437" s="30"/>
      <c r="H437" s="77"/>
      <c r="I437" s="77"/>
      <c r="J437" s="58"/>
      <c r="K437" s="58"/>
      <c r="L437" s="3"/>
    </row>
    <row r="438" spans="1:12" s="71" customFormat="1">
      <c r="A438" s="50"/>
      <c r="B438" s="30"/>
      <c r="C438" s="70"/>
      <c r="G438" s="30"/>
      <c r="H438" s="77"/>
      <c r="I438" s="77"/>
      <c r="J438" s="58"/>
      <c r="K438" s="58"/>
      <c r="L438" s="3"/>
    </row>
    <row r="439" spans="1:12" s="71" customFormat="1">
      <c r="A439" s="50"/>
      <c r="B439" s="30"/>
      <c r="C439" s="70"/>
      <c r="G439" s="30"/>
      <c r="H439" s="77"/>
      <c r="I439" s="77"/>
      <c r="J439" s="58"/>
      <c r="K439" s="58"/>
      <c r="L439" s="3"/>
    </row>
    <row r="440" spans="1:12" s="71" customFormat="1">
      <c r="A440" s="50"/>
      <c r="B440" s="30"/>
      <c r="C440" s="70"/>
      <c r="G440" s="30"/>
      <c r="H440" s="77"/>
      <c r="I440" s="77"/>
      <c r="J440" s="58"/>
      <c r="K440" s="58"/>
      <c r="L440" s="3"/>
    </row>
    <row r="441" spans="1:12" s="71" customFormat="1">
      <c r="A441" s="50"/>
      <c r="B441" s="30"/>
      <c r="C441" s="70"/>
      <c r="G441" s="30"/>
      <c r="H441" s="77"/>
      <c r="I441" s="77"/>
      <c r="J441" s="58"/>
      <c r="K441" s="58"/>
      <c r="L441" s="3"/>
    </row>
    <row r="442" spans="1:12" s="71" customFormat="1">
      <c r="A442" s="50"/>
      <c r="B442" s="30"/>
      <c r="C442" s="70"/>
      <c r="G442" s="30"/>
      <c r="H442" s="77"/>
      <c r="I442" s="77"/>
      <c r="J442" s="58"/>
      <c r="K442" s="58"/>
      <c r="L442" s="3"/>
    </row>
    <row r="443" spans="1:12" s="71" customFormat="1">
      <c r="A443" s="50"/>
      <c r="B443" s="30"/>
      <c r="C443" s="70"/>
      <c r="G443" s="30"/>
      <c r="H443" s="77"/>
      <c r="I443" s="77"/>
      <c r="J443" s="58"/>
      <c r="K443" s="58"/>
      <c r="L443" s="3"/>
    </row>
    <row r="444" spans="1:12" s="71" customFormat="1">
      <c r="A444" s="50"/>
      <c r="B444" s="30"/>
      <c r="C444" s="70"/>
      <c r="G444" s="30"/>
      <c r="H444" s="77"/>
      <c r="I444" s="77"/>
      <c r="J444" s="58"/>
      <c r="K444" s="58"/>
      <c r="L444" s="3"/>
    </row>
    <row r="445" spans="1:12" s="71" customFormat="1">
      <c r="A445" s="50"/>
      <c r="B445" s="30"/>
      <c r="C445" s="70"/>
      <c r="G445" s="30"/>
      <c r="H445" s="77"/>
      <c r="I445" s="77"/>
      <c r="J445" s="58"/>
      <c r="K445" s="58"/>
      <c r="L445" s="3"/>
    </row>
    <row r="446" spans="1:12" s="71" customFormat="1">
      <c r="A446" s="50"/>
      <c r="B446" s="30"/>
      <c r="C446" s="70"/>
      <c r="G446" s="30"/>
      <c r="H446" s="77"/>
      <c r="I446" s="77"/>
      <c r="J446" s="58"/>
      <c r="K446" s="58"/>
      <c r="L446" s="3"/>
    </row>
    <row r="447" spans="1:12" s="71" customFormat="1">
      <c r="A447" s="50"/>
      <c r="B447" s="30"/>
      <c r="C447" s="70"/>
      <c r="G447" s="30"/>
      <c r="H447" s="77"/>
      <c r="I447" s="77"/>
      <c r="J447" s="58"/>
      <c r="K447" s="58"/>
      <c r="L447" s="3"/>
    </row>
    <row r="448" spans="1:12" s="71" customFormat="1">
      <c r="A448" s="50"/>
      <c r="B448" s="30"/>
      <c r="C448" s="70"/>
      <c r="G448" s="30"/>
      <c r="H448" s="77"/>
      <c r="I448" s="77"/>
      <c r="J448" s="58"/>
      <c r="K448" s="58"/>
      <c r="L448" s="3"/>
    </row>
    <row r="449" spans="1:12" s="71" customFormat="1">
      <c r="A449" s="50"/>
      <c r="B449" s="30"/>
      <c r="C449" s="70"/>
      <c r="G449" s="30"/>
      <c r="H449" s="77"/>
      <c r="I449" s="77"/>
      <c r="J449" s="58"/>
      <c r="K449" s="58"/>
      <c r="L449" s="3"/>
    </row>
    <row r="450" spans="1:12" s="71" customFormat="1">
      <c r="A450" s="50"/>
      <c r="B450" s="30"/>
      <c r="C450" s="70"/>
      <c r="G450" s="30"/>
      <c r="H450" s="77"/>
      <c r="I450" s="77"/>
      <c r="J450" s="58"/>
      <c r="K450" s="58"/>
      <c r="L450" s="3"/>
    </row>
    <row r="451" spans="1:12" s="71" customFormat="1">
      <c r="A451" s="50"/>
      <c r="B451" s="30"/>
      <c r="C451" s="70"/>
      <c r="G451" s="30"/>
      <c r="H451" s="77"/>
      <c r="I451" s="77"/>
      <c r="J451" s="58"/>
      <c r="K451" s="58"/>
      <c r="L451" s="3"/>
    </row>
    <row r="452" spans="1:12" s="71" customFormat="1">
      <c r="A452" s="50"/>
      <c r="B452" s="30"/>
      <c r="C452" s="70"/>
      <c r="G452" s="30"/>
      <c r="H452" s="77"/>
      <c r="I452" s="77"/>
      <c r="J452" s="58"/>
      <c r="K452" s="58"/>
      <c r="L452" s="3"/>
    </row>
    <row r="453" spans="1:12" s="71" customFormat="1">
      <c r="A453" s="50"/>
      <c r="B453" s="30"/>
      <c r="C453" s="70"/>
      <c r="G453" s="30"/>
      <c r="H453" s="77"/>
      <c r="I453" s="77"/>
      <c r="J453" s="58"/>
      <c r="K453" s="58"/>
      <c r="L453" s="3"/>
    </row>
    <row r="454" spans="1:12" s="71" customFormat="1">
      <c r="A454" s="50"/>
      <c r="B454" s="30"/>
      <c r="C454" s="70"/>
      <c r="G454" s="30"/>
      <c r="H454" s="77"/>
      <c r="I454" s="77"/>
      <c r="J454" s="58"/>
      <c r="K454" s="58"/>
      <c r="L454" s="3"/>
    </row>
    <row r="455" spans="1:12" s="71" customFormat="1">
      <c r="A455" s="50"/>
      <c r="B455" s="30"/>
      <c r="C455" s="70"/>
      <c r="G455" s="30"/>
      <c r="H455" s="77"/>
      <c r="I455" s="77"/>
      <c r="J455" s="58"/>
      <c r="K455" s="58"/>
      <c r="L455" s="3"/>
    </row>
    <row r="456" spans="1:12" s="71" customFormat="1">
      <c r="A456" s="50"/>
      <c r="B456" s="30"/>
      <c r="C456" s="70"/>
      <c r="G456" s="30"/>
      <c r="H456" s="77"/>
      <c r="I456" s="77"/>
      <c r="J456" s="58"/>
      <c r="K456" s="58"/>
      <c r="L456" s="3"/>
    </row>
    <row r="457" spans="1:12" s="71" customFormat="1">
      <c r="A457" s="50"/>
      <c r="B457" s="30"/>
      <c r="C457" s="70"/>
      <c r="G457" s="30"/>
      <c r="H457" s="77"/>
      <c r="I457" s="77"/>
      <c r="J457" s="58"/>
      <c r="K457" s="58"/>
      <c r="L457" s="3"/>
    </row>
    <row r="458" spans="1:12" s="71" customFormat="1">
      <c r="A458" s="50"/>
      <c r="B458" s="30"/>
      <c r="C458" s="70"/>
      <c r="G458" s="30"/>
      <c r="H458" s="77"/>
      <c r="I458" s="77"/>
      <c r="J458" s="58"/>
      <c r="K458" s="58"/>
      <c r="L458" s="3"/>
    </row>
    <row r="459" spans="1:12" s="71" customFormat="1">
      <c r="A459" s="50"/>
      <c r="B459" s="30"/>
      <c r="C459" s="70"/>
      <c r="G459" s="30"/>
      <c r="H459" s="77"/>
      <c r="I459" s="77"/>
      <c r="J459" s="58"/>
      <c r="K459" s="58"/>
      <c r="L459" s="3"/>
    </row>
    <row r="460" spans="1:12" s="71" customFormat="1">
      <c r="A460" s="50"/>
      <c r="B460" s="30"/>
      <c r="C460" s="70"/>
      <c r="G460" s="30"/>
      <c r="H460" s="77"/>
      <c r="I460" s="77"/>
      <c r="J460" s="58"/>
      <c r="K460" s="58"/>
      <c r="L460" s="3"/>
    </row>
    <row r="461" spans="1:12" s="71" customFormat="1">
      <c r="A461" s="50"/>
      <c r="B461" s="30"/>
      <c r="C461" s="70"/>
      <c r="G461" s="30"/>
      <c r="H461" s="77"/>
      <c r="I461" s="77"/>
      <c r="J461" s="58"/>
      <c r="K461" s="58"/>
      <c r="L461" s="3"/>
    </row>
    <row r="462" spans="1:12" s="71" customFormat="1">
      <c r="A462" s="50"/>
      <c r="B462" s="30"/>
      <c r="C462" s="70"/>
      <c r="G462" s="30"/>
      <c r="H462" s="77"/>
      <c r="I462" s="77"/>
      <c r="J462" s="58"/>
      <c r="K462" s="58"/>
      <c r="L462" s="3"/>
    </row>
    <row r="463" spans="1:12" s="71" customFormat="1">
      <c r="A463" s="50"/>
      <c r="B463" s="30"/>
      <c r="C463" s="70"/>
      <c r="G463" s="30"/>
      <c r="H463" s="77"/>
      <c r="I463" s="77"/>
      <c r="J463" s="58"/>
      <c r="K463" s="58"/>
      <c r="L463" s="3"/>
    </row>
    <row r="464" spans="1:12" s="71" customFormat="1">
      <c r="A464" s="50"/>
      <c r="B464" s="30"/>
      <c r="C464" s="70"/>
      <c r="G464" s="30"/>
      <c r="H464" s="77"/>
      <c r="I464" s="77"/>
      <c r="J464" s="58"/>
      <c r="K464" s="58"/>
      <c r="L464" s="3"/>
    </row>
    <row r="465" spans="1:12" s="71" customFormat="1">
      <c r="A465" s="50"/>
      <c r="B465" s="30"/>
      <c r="C465" s="70"/>
      <c r="G465" s="30"/>
      <c r="H465" s="77"/>
      <c r="I465" s="77"/>
      <c r="J465" s="58"/>
      <c r="K465" s="58"/>
      <c r="L465" s="3"/>
    </row>
    <row r="466" spans="1:12" s="71" customFormat="1">
      <c r="A466" s="50"/>
      <c r="B466" s="30"/>
      <c r="C466" s="70"/>
      <c r="G466" s="30"/>
      <c r="H466" s="77"/>
      <c r="I466" s="77"/>
      <c r="J466" s="58"/>
      <c r="K466" s="58"/>
      <c r="L466" s="3"/>
    </row>
    <row r="467" spans="1:12" s="71" customFormat="1">
      <c r="A467" s="50"/>
      <c r="B467" s="30"/>
      <c r="C467" s="70"/>
      <c r="G467" s="30"/>
      <c r="H467" s="77"/>
      <c r="I467" s="77"/>
      <c r="J467" s="58"/>
      <c r="K467" s="58"/>
      <c r="L467" s="3"/>
    </row>
    <row r="468" spans="1:12" s="71" customFormat="1">
      <c r="A468" s="50"/>
      <c r="B468" s="30"/>
      <c r="C468" s="70"/>
      <c r="G468" s="30"/>
      <c r="H468" s="77"/>
      <c r="I468" s="77"/>
      <c r="J468" s="58"/>
      <c r="K468" s="58"/>
      <c r="L468" s="3"/>
    </row>
    <row r="469" spans="1:12" s="71" customFormat="1">
      <c r="A469" s="50"/>
      <c r="B469" s="30"/>
      <c r="C469" s="70"/>
      <c r="G469" s="30"/>
      <c r="H469" s="77"/>
      <c r="I469" s="77"/>
      <c r="J469" s="58"/>
      <c r="K469" s="58"/>
      <c r="L469" s="3"/>
    </row>
    <row r="470" spans="1:12" s="71" customFormat="1">
      <c r="A470" s="50"/>
      <c r="B470" s="30"/>
      <c r="C470" s="70"/>
      <c r="G470" s="30"/>
      <c r="H470" s="77"/>
      <c r="I470" s="77"/>
      <c r="J470" s="58"/>
      <c r="K470" s="58"/>
      <c r="L470" s="3"/>
    </row>
    <row r="471" spans="1:12" s="71" customFormat="1">
      <c r="A471" s="50"/>
      <c r="B471" s="30"/>
      <c r="C471" s="70"/>
      <c r="G471" s="30"/>
      <c r="H471" s="77"/>
      <c r="I471" s="77"/>
      <c r="J471" s="58"/>
      <c r="K471" s="58"/>
      <c r="L471" s="3"/>
    </row>
    <row r="472" spans="1:12" s="71" customFormat="1">
      <c r="A472" s="50"/>
      <c r="B472" s="30"/>
      <c r="C472" s="70"/>
      <c r="G472" s="30"/>
      <c r="H472" s="77"/>
      <c r="I472" s="77"/>
      <c r="J472" s="58"/>
      <c r="K472" s="58"/>
      <c r="L472" s="3"/>
    </row>
    <row r="473" spans="1:12" s="71" customFormat="1">
      <c r="A473" s="50"/>
      <c r="B473" s="30"/>
      <c r="C473" s="70"/>
      <c r="G473" s="30"/>
      <c r="H473" s="77"/>
      <c r="I473" s="77"/>
      <c r="J473" s="58"/>
      <c r="K473" s="58"/>
      <c r="L473" s="3"/>
    </row>
    <row r="474" spans="1:12" s="71" customFormat="1">
      <c r="A474" s="50"/>
      <c r="B474" s="30"/>
      <c r="C474" s="70"/>
      <c r="G474" s="30"/>
      <c r="H474" s="77"/>
      <c r="I474" s="77"/>
      <c r="J474" s="58"/>
      <c r="K474" s="58"/>
      <c r="L474" s="3"/>
    </row>
    <row r="475" spans="1:12" s="71" customFormat="1">
      <c r="A475" s="50"/>
      <c r="B475" s="30"/>
      <c r="C475" s="70"/>
      <c r="G475" s="30"/>
      <c r="H475" s="77"/>
      <c r="I475" s="77"/>
      <c r="J475" s="58"/>
      <c r="K475" s="58"/>
      <c r="L475" s="3"/>
    </row>
    <row r="476" spans="1:12" s="71" customFormat="1">
      <c r="A476" s="50"/>
      <c r="B476" s="30"/>
      <c r="C476" s="70"/>
      <c r="G476" s="30"/>
      <c r="H476" s="77"/>
      <c r="I476" s="77"/>
      <c r="J476" s="58"/>
      <c r="K476" s="58"/>
      <c r="L476" s="3"/>
    </row>
    <row r="477" spans="1:12" s="71" customFormat="1">
      <c r="A477" s="50"/>
      <c r="B477" s="30"/>
      <c r="C477" s="70"/>
      <c r="G477" s="30"/>
      <c r="H477" s="77"/>
      <c r="I477" s="77"/>
      <c r="J477" s="58"/>
      <c r="K477" s="58"/>
      <c r="L477" s="3"/>
    </row>
    <row r="478" spans="1:12" s="71" customFormat="1">
      <c r="A478" s="50"/>
      <c r="B478" s="30"/>
      <c r="C478" s="70"/>
      <c r="G478" s="30"/>
      <c r="H478" s="77"/>
      <c r="I478" s="77"/>
      <c r="J478" s="58"/>
      <c r="K478" s="58"/>
      <c r="L478" s="3"/>
    </row>
    <row r="479" spans="1:12" s="71" customFormat="1">
      <c r="A479" s="50"/>
      <c r="B479" s="30"/>
      <c r="C479" s="70"/>
      <c r="G479" s="30"/>
      <c r="H479" s="77"/>
      <c r="I479" s="77"/>
      <c r="J479" s="58"/>
      <c r="K479" s="58"/>
      <c r="L479" s="3"/>
    </row>
    <row r="480" spans="1:12" s="71" customFormat="1">
      <c r="A480" s="50"/>
      <c r="B480" s="30"/>
      <c r="C480" s="70"/>
      <c r="G480" s="30"/>
      <c r="H480" s="77"/>
      <c r="I480" s="77"/>
      <c r="J480" s="58"/>
      <c r="K480" s="58"/>
      <c r="L480" s="3"/>
    </row>
    <row r="481" spans="1:12" s="71" customFormat="1">
      <c r="A481" s="50"/>
      <c r="B481" s="30"/>
      <c r="C481" s="70"/>
      <c r="G481" s="30"/>
      <c r="H481" s="77"/>
      <c r="I481" s="77"/>
      <c r="J481" s="58"/>
      <c r="K481" s="58"/>
      <c r="L481" s="3"/>
    </row>
    <row r="482" spans="1:12" s="71" customFormat="1">
      <c r="A482" s="50"/>
      <c r="B482" s="30"/>
      <c r="C482" s="70"/>
      <c r="G482" s="30"/>
      <c r="H482" s="77"/>
      <c r="I482" s="77"/>
      <c r="J482" s="58"/>
      <c r="K482" s="58"/>
      <c r="L482" s="3"/>
    </row>
    <row r="483" spans="1:12" s="71" customFormat="1">
      <c r="A483" s="50"/>
      <c r="B483" s="30"/>
      <c r="C483" s="70"/>
      <c r="G483" s="30"/>
      <c r="H483" s="77"/>
      <c r="I483" s="77"/>
      <c r="J483" s="58"/>
      <c r="K483" s="58"/>
      <c r="L483" s="3"/>
    </row>
    <row r="484" spans="1:12" s="71" customFormat="1">
      <c r="A484" s="50"/>
      <c r="B484" s="30"/>
      <c r="C484" s="70"/>
      <c r="G484" s="30"/>
      <c r="H484" s="77"/>
      <c r="I484" s="77"/>
      <c r="J484" s="58"/>
      <c r="K484" s="58"/>
      <c r="L484" s="3"/>
    </row>
    <row r="485" spans="1:12" s="71" customFormat="1">
      <c r="A485" s="50"/>
      <c r="B485" s="30"/>
      <c r="C485" s="70"/>
      <c r="G485" s="30"/>
      <c r="H485" s="77"/>
      <c r="I485" s="77"/>
      <c r="J485" s="58"/>
      <c r="K485" s="58"/>
      <c r="L485" s="3"/>
    </row>
    <row r="486" spans="1:12" s="71" customFormat="1">
      <c r="A486" s="50"/>
      <c r="B486" s="30"/>
      <c r="C486" s="70"/>
      <c r="G486" s="30"/>
      <c r="H486" s="77"/>
      <c r="I486" s="77"/>
      <c r="J486" s="58"/>
      <c r="K486" s="58"/>
      <c r="L486" s="3"/>
    </row>
    <row r="487" spans="1:12" s="71" customFormat="1">
      <c r="A487" s="50"/>
      <c r="B487" s="30"/>
      <c r="C487" s="70"/>
      <c r="G487" s="30"/>
      <c r="H487" s="77"/>
      <c r="I487" s="77"/>
      <c r="J487" s="58"/>
      <c r="K487" s="58"/>
      <c r="L487" s="3"/>
    </row>
    <row r="488" spans="1:12" s="71" customFormat="1">
      <c r="A488" s="50"/>
      <c r="B488" s="30"/>
      <c r="C488" s="70"/>
      <c r="G488" s="30"/>
      <c r="H488" s="77"/>
      <c r="I488" s="77"/>
      <c r="J488" s="58"/>
      <c r="K488" s="58"/>
      <c r="L488" s="3"/>
    </row>
    <row r="489" spans="1:12" s="71" customFormat="1">
      <c r="A489" s="50"/>
      <c r="B489" s="30"/>
      <c r="C489" s="70"/>
      <c r="G489" s="30"/>
      <c r="H489" s="77"/>
      <c r="I489" s="77"/>
      <c r="J489" s="58"/>
      <c r="K489" s="58"/>
      <c r="L489" s="3"/>
    </row>
    <row r="490" spans="1:12" s="71" customFormat="1">
      <c r="A490" s="50"/>
      <c r="B490" s="30"/>
      <c r="C490" s="70"/>
      <c r="G490" s="30"/>
      <c r="H490" s="77"/>
      <c r="I490" s="77"/>
      <c r="J490" s="58"/>
      <c r="K490" s="58"/>
      <c r="L490" s="3"/>
    </row>
    <row r="491" spans="1:12" s="71" customFormat="1">
      <c r="A491" s="50"/>
      <c r="B491" s="30"/>
      <c r="C491" s="70"/>
      <c r="G491" s="30"/>
      <c r="H491" s="77"/>
      <c r="I491" s="77"/>
      <c r="J491" s="58"/>
      <c r="K491" s="58"/>
      <c r="L491" s="3"/>
    </row>
    <row r="492" spans="1:12" s="71" customFormat="1">
      <c r="A492" s="50"/>
      <c r="B492" s="30"/>
      <c r="C492" s="70"/>
      <c r="G492" s="30"/>
      <c r="H492" s="77"/>
      <c r="I492" s="77"/>
      <c r="J492" s="58"/>
      <c r="K492" s="58"/>
      <c r="L492" s="3"/>
    </row>
    <row r="493" spans="1:12" s="71" customFormat="1">
      <c r="A493" s="50"/>
      <c r="B493" s="30"/>
      <c r="C493" s="70"/>
      <c r="G493" s="30"/>
      <c r="H493" s="77"/>
      <c r="I493" s="77"/>
      <c r="J493" s="58"/>
      <c r="K493" s="58"/>
      <c r="L493" s="3"/>
    </row>
    <row r="494" spans="1:12" s="71" customFormat="1">
      <c r="A494" s="50"/>
      <c r="B494" s="30"/>
      <c r="C494" s="70"/>
      <c r="G494" s="30"/>
      <c r="H494" s="77"/>
      <c r="I494" s="77"/>
      <c r="J494" s="58"/>
      <c r="K494" s="58"/>
      <c r="L494" s="3"/>
    </row>
    <row r="495" spans="1:12" s="71" customFormat="1">
      <c r="A495" s="50"/>
      <c r="B495" s="30"/>
      <c r="C495" s="70"/>
      <c r="G495" s="30"/>
      <c r="H495" s="77"/>
      <c r="I495" s="77"/>
      <c r="J495" s="58"/>
      <c r="K495" s="58"/>
      <c r="L495" s="3"/>
    </row>
    <row r="496" spans="1:12" s="71" customFormat="1">
      <c r="A496" s="50"/>
      <c r="B496" s="30"/>
      <c r="C496" s="70"/>
      <c r="G496" s="30"/>
      <c r="H496" s="77"/>
      <c r="I496" s="77"/>
      <c r="J496" s="58"/>
      <c r="K496" s="58"/>
      <c r="L496" s="3"/>
    </row>
    <row r="497" spans="1:12" s="71" customFormat="1">
      <c r="A497" s="50"/>
      <c r="B497" s="30"/>
      <c r="C497" s="70"/>
      <c r="G497" s="30"/>
      <c r="H497" s="77"/>
      <c r="I497" s="77"/>
      <c r="J497" s="58"/>
      <c r="K497" s="58"/>
      <c r="L497" s="3"/>
    </row>
    <row r="498" spans="1:12" s="71" customFormat="1">
      <c r="A498" s="50"/>
      <c r="B498" s="30"/>
      <c r="C498" s="70"/>
      <c r="G498" s="30"/>
      <c r="H498" s="77"/>
      <c r="I498" s="77"/>
      <c r="J498" s="58"/>
      <c r="K498" s="58"/>
      <c r="L498" s="3"/>
    </row>
    <row r="499" spans="1:12" s="71" customFormat="1">
      <c r="A499" s="50"/>
      <c r="B499" s="30"/>
      <c r="C499" s="70"/>
      <c r="G499" s="30"/>
      <c r="H499" s="77"/>
      <c r="I499" s="77"/>
      <c r="J499" s="58"/>
      <c r="K499" s="58"/>
      <c r="L499" s="3"/>
    </row>
    <row r="500" spans="1:12" s="71" customFormat="1">
      <c r="A500" s="50"/>
      <c r="B500" s="30"/>
      <c r="C500" s="70"/>
      <c r="G500" s="30"/>
      <c r="H500" s="77"/>
      <c r="I500" s="77"/>
      <c r="J500" s="58"/>
      <c r="K500" s="58"/>
      <c r="L500" s="3"/>
    </row>
    <row r="501" spans="1:12" s="71" customFormat="1">
      <c r="A501" s="50"/>
      <c r="B501" s="30"/>
      <c r="C501" s="70"/>
      <c r="G501" s="30"/>
      <c r="H501" s="77"/>
      <c r="I501" s="77"/>
      <c r="J501" s="58"/>
      <c r="K501" s="58"/>
      <c r="L501" s="3"/>
    </row>
    <row r="502" spans="1:12" s="71" customFormat="1">
      <c r="A502" s="50"/>
      <c r="B502" s="30"/>
      <c r="C502" s="70"/>
      <c r="G502" s="30"/>
      <c r="H502" s="77"/>
      <c r="I502" s="77"/>
      <c r="J502" s="58"/>
      <c r="K502" s="58"/>
      <c r="L502" s="3"/>
    </row>
    <row r="503" spans="1:12" s="71" customFormat="1">
      <c r="A503" s="50"/>
      <c r="B503" s="30"/>
      <c r="C503" s="70"/>
      <c r="G503" s="30"/>
      <c r="H503" s="77"/>
      <c r="I503" s="77"/>
      <c r="J503" s="58"/>
      <c r="K503" s="58"/>
      <c r="L503" s="3"/>
    </row>
    <row r="504" spans="1:12" s="71" customFormat="1">
      <c r="A504" s="50"/>
      <c r="B504" s="30"/>
      <c r="C504" s="70"/>
      <c r="G504" s="30"/>
      <c r="H504" s="77"/>
      <c r="I504" s="77"/>
      <c r="J504" s="58"/>
      <c r="K504" s="58"/>
      <c r="L504" s="3"/>
    </row>
    <row r="505" spans="1:12" s="71" customFormat="1">
      <c r="A505" s="50"/>
      <c r="B505" s="30"/>
      <c r="C505" s="70"/>
      <c r="G505" s="30"/>
      <c r="H505" s="77"/>
      <c r="I505" s="77"/>
      <c r="J505" s="58"/>
      <c r="K505" s="58"/>
      <c r="L505" s="3"/>
    </row>
    <row r="506" spans="1:12" s="71" customFormat="1">
      <c r="A506" s="50"/>
      <c r="B506" s="30"/>
      <c r="C506" s="70"/>
      <c r="G506" s="30"/>
      <c r="H506" s="77"/>
      <c r="I506" s="77"/>
      <c r="J506" s="58"/>
      <c r="K506" s="58"/>
      <c r="L506" s="3"/>
    </row>
    <row r="507" spans="1:12" s="71" customFormat="1">
      <c r="A507" s="50"/>
      <c r="B507" s="30"/>
      <c r="C507" s="70"/>
      <c r="G507" s="30"/>
      <c r="H507" s="77"/>
      <c r="I507" s="77"/>
      <c r="J507" s="58"/>
      <c r="K507" s="58"/>
      <c r="L507" s="3"/>
    </row>
    <row r="508" spans="1:12" s="71" customFormat="1">
      <c r="A508" s="50"/>
      <c r="B508" s="30"/>
      <c r="C508" s="70"/>
      <c r="G508" s="30"/>
      <c r="H508" s="77"/>
      <c r="I508" s="77"/>
      <c r="J508" s="58"/>
      <c r="K508" s="58"/>
      <c r="L508" s="3"/>
    </row>
    <row r="509" spans="1:12" s="71" customFormat="1">
      <c r="A509" s="50"/>
      <c r="B509" s="30"/>
      <c r="C509" s="70"/>
      <c r="G509" s="30"/>
      <c r="H509" s="77"/>
      <c r="I509" s="77"/>
      <c r="J509" s="58"/>
      <c r="K509" s="58"/>
      <c r="L509" s="3"/>
    </row>
    <row r="510" spans="1:12" s="71" customFormat="1">
      <c r="A510" s="50"/>
      <c r="B510" s="30"/>
      <c r="C510" s="70"/>
      <c r="G510" s="30"/>
      <c r="H510" s="77"/>
      <c r="I510" s="77"/>
      <c r="J510" s="58"/>
      <c r="K510" s="58"/>
      <c r="L510" s="3"/>
    </row>
    <row r="511" spans="1:12" s="71" customFormat="1">
      <c r="A511" s="50"/>
      <c r="B511" s="30"/>
      <c r="C511" s="70"/>
      <c r="G511" s="30"/>
      <c r="H511" s="77"/>
      <c r="I511" s="77"/>
      <c r="J511" s="58"/>
      <c r="K511" s="58"/>
      <c r="L511" s="3"/>
    </row>
    <row r="512" spans="1:12" s="71" customFormat="1">
      <c r="A512" s="50"/>
      <c r="B512" s="30"/>
      <c r="C512" s="70"/>
      <c r="G512" s="30"/>
      <c r="H512" s="77"/>
      <c r="I512" s="77"/>
      <c r="J512" s="58"/>
      <c r="K512" s="58"/>
      <c r="L512" s="3"/>
    </row>
    <row r="513" spans="1:12" s="71" customFormat="1">
      <c r="A513" s="50"/>
      <c r="B513" s="30"/>
      <c r="C513" s="70"/>
      <c r="G513" s="30"/>
      <c r="H513" s="77"/>
      <c r="I513" s="77"/>
      <c r="J513" s="58"/>
      <c r="K513" s="58"/>
      <c r="L513" s="3"/>
    </row>
    <row r="514" spans="1:12" s="71" customFormat="1">
      <c r="A514" s="50"/>
      <c r="B514" s="30"/>
      <c r="C514" s="70"/>
      <c r="G514" s="30"/>
      <c r="H514" s="77"/>
      <c r="I514" s="77"/>
      <c r="J514" s="58"/>
      <c r="K514" s="58"/>
      <c r="L514" s="3"/>
    </row>
    <row r="515" spans="1:12" s="71" customFormat="1">
      <c r="A515" s="50"/>
      <c r="B515" s="30"/>
      <c r="C515" s="70"/>
      <c r="G515" s="30"/>
      <c r="H515" s="77"/>
      <c r="I515" s="77"/>
      <c r="J515" s="58"/>
      <c r="K515" s="58"/>
      <c r="L515" s="3"/>
    </row>
    <row r="516" spans="1:12" s="71" customFormat="1">
      <c r="A516" s="50"/>
      <c r="B516" s="30"/>
      <c r="C516" s="70"/>
      <c r="G516" s="30"/>
      <c r="H516" s="77"/>
      <c r="I516" s="77"/>
      <c r="J516" s="58"/>
      <c r="K516" s="58"/>
      <c r="L516" s="3"/>
    </row>
    <row r="517" spans="1:12" s="71" customFormat="1">
      <c r="A517" s="50"/>
      <c r="B517" s="30"/>
      <c r="C517" s="70"/>
      <c r="G517" s="30"/>
      <c r="H517" s="77"/>
      <c r="I517" s="77"/>
      <c r="J517" s="58"/>
      <c r="K517" s="58"/>
      <c r="L517" s="3"/>
    </row>
    <row r="518" spans="1:12" s="71" customFormat="1">
      <c r="A518" s="50"/>
      <c r="B518" s="30"/>
      <c r="C518" s="70"/>
      <c r="G518" s="30"/>
      <c r="H518" s="77"/>
      <c r="I518" s="77"/>
      <c r="J518" s="58"/>
      <c r="K518" s="58"/>
      <c r="L518" s="3"/>
    </row>
    <row r="519" spans="1:12" s="71" customFormat="1">
      <c r="A519" s="50"/>
      <c r="B519" s="30"/>
      <c r="C519" s="70"/>
      <c r="G519" s="30"/>
      <c r="H519" s="77"/>
      <c r="I519" s="77"/>
      <c r="J519" s="58"/>
      <c r="K519" s="58"/>
      <c r="L519" s="3"/>
    </row>
    <row r="520" spans="1:12" s="71" customFormat="1">
      <c r="A520" s="50"/>
      <c r="B520" s="30"/>
      <c r="C520" s="70"/>
      <c r="G520" s="30"/>
      <c r="H520" s="77"/>
      <c r="I520" s="77"/>
      <c r="J520" s="58"/>
      <c r="K520" s="58"/>
      <c r="L520" s="3"/>
    </row>
    <row r="521" spans="1:12" s="71" customFormat="1">
      <c r="A521" s="50"/>
      <c r="B521" s="30"/>
      <c r="C521" s="70"/>
      <c r="G521" s="30"/>
      <c r="H521" s="77"/>
      <c r="I521" s="77"/>
      <c r="J521" s="58"/>
      <c r="K521" s="58"/>
      <c r="L521" s="3"/>
    </row>
    <row r="522" spans="1:12" s="71" customFormat="1">
      <c r="A522" s="50"/>
      <c r="B522" s="30"/>
      <c r="C522" s="70"/>
      <c r="G522" s="30"/>
      <c r="H522" s="77"/>
      <c r="I522" s="77"/>
      <c r="J522" s="58"/>
      <c r="K522" s="58"/>
      <c r="L522" s="3"/>
    </row>
    <row r="523" spans="1:12" s="71" customFormat="1">
      <c r="A523" s="50"/>
      <c r="B523" s="30"/>
      <c r="C523" s="70"/>
      <c r="G523" s="30"/>
      <c r="H523" s="77"/>
      <c r="I523" s="77"/>
      <c r="J523" s="58"/>
      <c r="K523" s="58"/>
      <c r="L523" s="3"/>
    </row>
    <row r="524" spans="1:12" s="71" customFormat="1">
      <c r="A524" s="50"/>
      <c r="B524" s="30"/>
      <c r="C524" s="70"/>
      <c r="G524" s="30"/>
      <c r="H524" s="77"/>
      <c r="I524" s="77"/>
      <c r="J524" s="58"/>
      <c r="K524" s="58"/>
      <c r="L524" s="3"/>
    </row>
    <row r="525" spans="1:12" s="71" customFormat="1">
      <c r="A525" s="50"/>
      <c r="B525" s="30"/>
      <c r="C525" s="70"/>
      <c r="G525" s="30"/>
      <c r="H525" s="77"/>
      <c r="I525" s="77"/>
      <c r="J525" s="58"/>
      <c r="K525" s="58"/>
      <c r="L525" s="3"/>
    </row>
    <row r="526" spans="1:12" s="71" customFormat="1">
      <c r="A526" s="50"/>
      <c r="B526" s="30"/>
      <c r="C526" s="70"/>
      <c r="G526" s="30"/>
      <c r="H526" s="77"/>
      <c r="I526" s="77"/>
      <c r="J526" s="58"/>
      <c r="K526" s="58"/>
      <c r="L526" s="3"/>
    </row>
    <row r="527" spans="1:12" s="71" customFormat="1">
      <c r="A527" s="50"/>
      <c r="B527" s="30"/>
      <c r="C527" s="70"/>
      <c r="G527" s="30"/>
      <c r="H527" s="77"/>
      <c r="I527" s="77"/>
      <c r="J527" s="58"/>
      <c r="K527" s="58"/>
      <c r="L527" s="3"/>
    </row>
    <row r="528" spans="1:12" s="71" customFormat="1">
      <c r="A528" s="50"/>
      <c r="B528" s="30"/>
      <c r="C528" s="70"/>
      <c r="G528" s="30"/>
      <c r="H528" s="77"/>
      <c r="I528" s="77"/>
      <c r="J528" s="58"/>
      <c r="K528" s="58"/>
      <c r="L528" s="3"/>
    </row>
    <row r="529" spans="1:12" s="71" customFormat="1">
      <c r="A529" s="50"/>
      <c r="B529" s="30"/>
      <c r="C529" s="70"/>
      <c r="G529" s="30"/>
      <c r="H529" s="77"/>
      <c r="I529" s="77"/>
      <c r="J529" s="58"/>
      <c r="K529" s="58"/>
      <c r="L529" s="3"/>
    </row>
    <row r="530" spans="1:12" s="71" customFormat="1">
      <c r="A530" s="50"/>
      <c r="B530" s="30"/>
      <c r="C530" s="70"/>
      <c r="G530" s="30"/>
      <c r="H530" s="77"/>
      <c r="I530" s="77"/>
      <c r="J530" s="58"/>
      <c r="K530" s="58"/>
      <c r="L530" s="3"/>
    </row>
    <row r="531" spans="1:12" s="71" customFormat="1">
      <c r="A531" s="50"/>
      <c r="B531" s="30"/>
      <c r="C531" s="70"/>
      <c r="G531" s="30"/>
      <c r="H531" s="77"/>
      <c r="I531" s="77"/>
      <c r="J531" s="58"/>
      <c r="K531" s="58"/>
      <c r="L531" s="3"/>
    </row>
    <row r="532" spans="1:12" s="71" customFormat="1">
      <c r="A532" s="50"/>
      <c r="B532" s="30"/>
      <c r="C532" s="70"/>
      <c r="G532" s="30"/>
      <c r="H532" s="77"/>
      <c r="I532" s="77"/>
      <c r="J532" s="58"/>
      <c r="K532" s="58"/>
      <c r="L532" s="3"/>
    </row>
    <row r="533" spans="1:12" s="71" customFormat="1">
      <c r="A533" s="87"/>
      <c r="B533" s="30"/>
      <c r="C533" s="70"/>
      <c r="G533" s="30"/>
      <c r="H533" s="77"/>
      <c r="I533" s="77"/>
      <c r="J533" s="58"/>
      <c r="K533" s="58"/>
      <c r="L533" s="3"/>
    </row>
    <row r="534" spans="1:12" s="71" customFormat="1">
      <c r="A534" s="87"/>
      <c r="B534" s="30"/>
      <c r="C534" s="70"/>
      <c r="G534" s="30"/>
      <c r="H534" s="77"/>
      <c r="I534" s="77"/>
      <c r="J534" s="58"/>
      <c r="K534" s="58"/>
      <c r="L534" s="3"/>
    </row>
    <row r="535" spans="1:12" s="71" customFormat="1">
      <c r="A535" s="87"/>
      <c r="B535" s="30"/>
      <c r="C535" s="70"/>
      <c r="G535" s="30"/>
      <c r="H535" s="77"/>
      <c r="I535" s="77"/>
      <c r="J535" s="58"/>
      <c r="K535" s="58"/>
      <c r="L535" s="3"/>
    </row>
    <row r="536" spans="1:12" s="71" customFormat="1">
      <c r="A536" s="87"/>
      <c r="B536" s="30"/>
      <c r="C536" s="70"/>
      <c r="G536" s="30"/>
      <c r="H536" s="77"/>
      <c r="I536" s="77"/>
      <c r="J536" s="58"/>
      <c r="K536" s="58"/>
      <c r="L536" s="3"/>
    </row>
    <row r="537" spans="1:12" s="71" customFormat="1">
      <c r="A537" s="87"/>
      <c r="B537" s="30"/>
      <c r="C537" s="70"/>
      <c r="G537" s="30"/>
      <c r="H537" s="77"/>
      <c r="I537" s="77"/>
      <c r="J537" s="58"/>
      <c r="K537" s="58"/>
      <c r="L537" s="3"/>
    </row>
    <row r="538" spans="1:12" s="71" customFormat="1">
      <c r="A538" s="87"/>
      <c r="B538" s="30"/>
      <c r="C538" s="70"/>
      <c r="G538" s="30"/>
      <c r="H538" s="77"/>
      <c r="I538" s="77"/>
      <c r="J538" s="58"/>
      <c r="K538" s="58"/>
      <c r="L538" s="3"/>
    </row>
    <row r="539" spans="1:12" s="71" customFormat="1">
      <c r="A539" s="87"/>
      <c r="B539" s="30"/>
      <c r="C539" s="70"/>
      <c r="G539" s="30"/>
      <c r="H539" s="77"/>
      <c r="I539" s="77"/>
      <c r="J539" s="58"/>
      <c r="K539" s="58"/>
      <c r="L539" s="3"/>
    </row>
    <row r="540" spans="1:12" s="71" customFormat="1">
      <c r="A540" s="87"/>
      <c r="B540" s="30"/>
      <c r="C540" s="70"/>
      <c r="G540" s="30"/>
      <c r="H540" s="77"/>
      <c r="I540" s="77"/>
      <c r="J540" s="58"/>
      <c r="K540" s="58"/>
      <c r="L540" s="3"/>
    </row>
    <row r="541" spans="1:12" s="71" customFormat="1">
      <c r="A541" s="87"/>
      <c r="B541" s="30"/>
      <c r="C541" s="70"/>
      <c r="G541" s="30"/>
      <c r="H541" s="77"/>
      <c r="I541" s="77"/>
      <c r="J541" s="58"/>
      <c r="K541" s="58"/>
      <c r="L541" s="3"/>
    </row>
    <row r="542" spans="1:12" s="71" customFormat="1">
      <c r="A542" s="87"/>
      <c r="B542" s="30"/>
      <c r="C542" s="70"/>
      <c r="G542" s="30"/>
      <c r="H542" s="77"/>
      <c r="I542" s="77"/>
      <c r="J542" s="58"/>
      <c r="K542" s="58"/>
      <c r="L542" s="3"/>
    </row>
    <row r="543" spans="1:12" s="71" customFormat="1">
      <c r="A543" s="87"/>
      <c r="B543" s="30"/>
      <c r="C543" s="70"/>
      <c r="G543" s="30"/>
      <c r="H543" s="77"/>
      <c r="I543" s="77"/>
      <c r="J543" s="58"/>
      <c r="K543" s="58"/>
      <c r="L543" s="3"/>
    </row>
    <row r="544" spans="1:12" s="71" customFormat="1">
      <c r="A544" s="87"/>
      <c r="B544" s="30"/>
      <c r="C544" s="70"/>
      <c r="G544" s="30"/>
      <c r="H544" s="77"/>
      <c r="I544" s="77"/>
      <c r="J544" s="58"/>
      <c r="K544" s="58"/>
      <c r="L544" s="3"/>
    </row>
    <row r="545" spans="1:12" s="71" customFormat="1">
      <c r="A545" s="87"/>
      <c r="B545" s="30"/>
      <c r="C545" s="70"/>
      <c r="G545" s="30"/>
      <c r="H545" s="77"/>
      <c r="I545" s="77"/>
      <c r="J545" s="58"/>
      <c r="K545" s="58"/>
      <c r="L545" s="3"/>
    </row>
    <row r="546" spans="1:12" s="71" customFormat="1">
      <c r="A546" s="87"/>
      <c r="B546" s="30"/>
      <c r="C546" s="70"/>
      <c r="G546" s="30"/>
      <c r="H546" s="77"/>
      <c r="I546" s="77"/>
      <c r="J546" s="58"/>
      <c r="K546" s="58"/>
      <c r="L546" s="3"/>
    </row>
    <row r="547" spans="1:12" s="71" customFormat="1">
      <c r="A547" s="87"/>
      <c r="B547" s="30"/>
      <c r="C547" s="70"/>
      <c r="G547" s="30"/>
      <c r="H547" s="77"/>
      <c r="I547" s="77"/>
      <c r="J547" s="58"/>
      <c r="K547" s="58"/>
      <c r="L547" s="3"/>
    </row>
    <row r="548" spans="1:12" s="71" customFormat="1">
      <c r="A548" s="87"/>
      <c r="B548" s="30"/>
      <c r="C548" s="70"/>
      <c r="G548" s="30"/>
      <c r="H548" s="77"/>
      <c r="I548" s="77"/>
      <c r="J548" s="58"/>
      <c r="K548" s="58"/>
      <c r="L548" s="3"/>
    </row>
    <row r="549" spans="1:12" s="71" customFormat="1">
      <c r="A549" s="87"/>
      <c r="B549" s="30"/>
      <c r="C549" s="70"/>
      <c r="G549" s="30"/>
      <c r="H549" s="77"/>
      <c r="I549" s="77"/>
      <c r="J549" s="58"/>
      <c r="K549" s="58"/>
      <c r="L549" s="3"/>
    </row>
    <row r="550" spans="1:12" s="71" customFormat="1">
      <c r="A550" s="87"/>
      <c r="B550" s="30"/>
      <c r="C550" s="70"/>
      <c r="G550" s="30"/>
      <c r="H550" s="77"/>
      <c r="I550" s="77"/>
      <c r="J550" s="58"/>
      <c r="K550" s="58"/>
      <c r="L550" s="3"/>
    </row>
    <row r="551" spans="1:12" s="71" customFormat="1">
      <c r="A551" s="87"/>
      <c r="B551" s="30"/>
      <c r="C551" s="70"/>
      <c r="G551" s="30"/>
      <c r="H551" s="77"/>
      <c r="I551" s="77"/>
      <c r="J551" s="58"/>
      <c r="K551" s="58"/>
      <c r="L551" s="3"/>
    </row>
    <row r="552" spans="1:12" s="71" customFormat="1">
      <c r="A552" s="87"/>
      <c r="B552" s="30"/>
      <c r="C552" s="70"/>
      <c r="G552" s="30"/>
      <c r="H552" s="77"/>
      <c r="I552" s="77"/>
      <c r="J552" s="58"/>
      <c r="K552" s="58"/>
      <c r="L552" s="3"/>
    </row>
    <row r="553" spans="1:12" s="71" customFormat="1">
      <c r="A553" s="87"/>
      <c r="B553" s="30"/>
      <c r="C553" s="70"/>
      <c r="G553" s="30"/>
      <c r="H553" s="77"/>
      <c r="I553" s="77"/>
      <c r="J553" s="58"/>
      <c r="K553" s="58"/>
      <c r="L553" s="3"/>
    </row>
    <row r="554" spans="1:12" s="71" customFormat="1">
      <c r="A554" s="87"/>
      <c r="B554" s="30"/>
      <c r="C554" s="70"/>
      <c r="G554" s="30"/>
      <c r="H554" s="77"/>
      <c r="I554" s="77"/>
      <c r="J554" s="58"/>
      <c r="K554" s="58"/>
      <c r="L554" s="3"/>
    </row>
    <row r="555" spans="1:12" s="71" customFormat="1">
      <c r="A555" s="87"/>
      <c r="B555" s="30"/>
      <c r="C555" s="70"/>
      <c r="G555" s="30"/>
      <c r="H555" s="77"/>
      <c r="I555" s="77"/>
      <c r="J555" s="58"/>
      <c r="K555" s="58"/>
      <c r="L555" s="3"/>
    </row>
    <row r="556" spans="1:12" s="71" customFormat="1">
      <c r="A556" s="87"/>
      <c r="B556" s="30"/>
      <c r="C556" s="70"/>
      <c r="G556" s="30"/>
      <c r="H556" s="77"/>
      <c r="I556" s="77"/>
      <c r="J556" s="58"/>
      <c r="K556" s="58"/>
      <c r="L556" s="3"/>
    </row>
    <row r="557" spans="1:12" s="71" customFormat="1">
      <c r="A557" s="87"/>
      <c r="B557" s="30"/>
      <c r="C557" s="70"/>
      <c r="G557" s="30"/>
      <c r="H557" s="77"/>
      <c r="I557" s="77"/>
      <c r="J557" s="58"/>
      <c r="K557" s="58"/>
      <c r="L557" s="3"/>
    </row>
    <row r="558" spans="1:12" s="71" customFormat="1">
      <c r="A558" s="87"/>
      <c r="B558" s="30"/>
      <c r="C558" s="70"/>
      <c r="G558" s="30"/>
      <c r="H558" s="77"/>
      <c r="I558" s="77"/>
      <c r="J558" s="58"/>
      <c r="K558" s="58"/>
      <c r="L558" s="3"/>
    </row>
    <row r="559" spans="1:12" s="71" customFormat="1">
      <c r="A559" s="87"/>
      <c r="B559" s="30"/>
      <c r="C559" s="70"/>
      <c r="G559" s="30"/>
      <c r="H559" s="77"/>
      <c r="I559" s="77"/>
      <c r="J559" s="58"/>
      <c r="K559" s="58"/>
      <c r="L559" s="3"/>
    </row>
    <row r="560" spans="1:12" s="71" customFormat="1">
      <c r="A560" s="87"/>
      <c r="B560" s="30"/>
      <c r="C560" s="70"/>
      <c r="G560" s="30"/>
      <c r="H560" s="77"/>
      <c r="I560" s="77"/>
      <c r="J560" s="58"/>
      <c r="K560" s="58"/>
      <c r="L560" s="3"/>
    </row>
    <row r="561" spans="1:12" s="71" customFormat="1">
      <c r="A561" s="87"/>
      <c r="B561" s="30"/>
      <c r="C561" s="70"/>
      <c r="G561" s="30"/>
      <c r="H561" s="77"/>
      <c r="I561" s="77"/>
      <c r="J561" s="58"/>
      <c r="K561" s="58"/>
      <c r="L561" s="3"/>
    </row>
    <row r="562" spans="1:12" s="71" customFormat="1">
      <c r="A562" s="87"/>
      <c r="B562" s="30"/>
      <c r="C562" s="70"/>
      <c r="G562" s="30"/>
      <c r="H562" s="77"/>
      <c r="I562" s="77"/>
      <c r="J562" s="58"/>
      <c r="K562" s="58"/>
      <c r="L562" s="3"/>
    </row>
    <row r="563" spans="1:12" s="71" customFormat="1">
      <c r="A563" s="87"/>
      <c r="B563" s="30"/>
      <c r="C563" s="70"/>
      <c r="G563" s="30"/>
      <c r="H563" s="77"/>
      <c r="I563" s="77"/>
      <c r="J563" s="58"/>
      <c r="K563" s="58"/>
      <c r="L563" s="3"/>
    </row>
    <row r="564" spans="1:12" s="71" customFormat="1">
      <c r="A564" s="87"/>
      <c r="B564" s="30"/>
      <c r="C564" s="70"/>
      <c r="G564" s="30"/>
      <c r="H564" s="77"/>
      <c r="I564" s="77"/>
      <c r="J564" s="58"/>
      <c r="K564" s="58"/>
      <c r="L564" s="3"/>
    </row>
    <row r="565" spans="1:12" s="71" customFormat="1">
      <c r="A565" s="87"/>
      <c r="B565" s="30"/>
      <c r="C565" s="70"/>
      <c r="G565" s="30"/>
      <c r="H565" s="77"/>
      <c r="I565" s="77"/>
      <c r="J565" s="58"/>
      <c r="K565" s="58"/>
      <c r="L565" s="3"/>
    </row>
    <row r="566" spans="1:12" s="71" customFormat="1">
      <c r="A566" s="87"/>
      <c r="B566" s="30"/>
      <c r="C566" s="70"/>
      <c r="G566" s="30"/>
      <c r="H566" s="77"/>
      <c r="I566" s="77"/>
      <c r="J566" s="58"/>
      <c r="K566" s="58"/>
      <c r="L566" s="3"/>
    </row>
    <row r="567" spans="1:12" s="71" customFormat="1">
      <c r="A567" s="87"/>
      <c r="B567" s="30"/>
      <c r="C567" s="70"/>
      <c r="G567" s="30"/>
      <c r="H567" s="77"/>
      <c r="I567" s="77"/>
      <c r="J567" s="58"/>
      <c r="K567" s="58"/>
      <c r="L567" s="3"/>
    </row>
    <row r="568" spans="1:12" s="71" customFormat="1">
      <c r="A568" s="87"/>
      <c r="B568" s="30"/>
      <c r="C568" s="70"/>
      <c r="G568" s="30"/>
      <c r="H568" s="77"/>
      <c r="I568" s="77"/>
      <c r="J568" s="58"/>
      <c r="K568" s="58"/>
      <c r="L568" s="3"/>
    </row>
    <row r="569" spans="1:12" s="71" customFormat="1">
      <c r="A569" s="87"/>
      <c r="B569" s="30"/>
      <c r="C569" s="70"/>
      <c r="G569" s="30"/>
      <c r="H569" s="77"/>
      <c r="I569" s="77"/>
      <c r="J569" s="58"/>
      <c r="K569" s="58"/>
      <c r="L569" s="3"/>
    </row>
    <row r="570" spans="1:12" s="71" customFormat="1">
      <c r="A570" s="87"/>
      <c r="B570" s="30"/>
      <c r="C570" s="70"/>
      <c r="G570" s="30"/>
      <c r="H570" s="77"/>
      <c r="I570" s="77"/>
      <c r="J570" s="58"/>
      <c r="K570" s="58"/>
      <c r="L570" s="3"/>
    </row>
    <row r="571" spans="1:12" s="71" customFormat="1">
      <c r="A571" s="87"/>
      <c r="B571" s="30"/>
      <c r="C571" s="70"/>
      <c r="G571" s="30"/>
      <c r="H571" s="77"/>
      <c r="I571" s="77"/>
      <c r="J571" s="58"/>
      <c r="K571" s="58"/>
      <c r="L571" s="3"/>
    </row>
    <row r="572" spans="1:12" s="71" customFormat="1">
      <c r="A572" s="87"/>
      <c r="B572" s="30"/>
      <c r="C572" s="70"/>
      <c r="G572" s="30"/>
      <c r="H572" s="77"/>
      <c r="I572" s="77"/>
      <c r="J572" s="58"/>
      <c r="K572" s="58"/>
      <c r="L572" s="3"/>
    </row>
    <row r="573" spans="1:12" s="71" customFormat="1">
      <c r="A573" s="87"/>
      <c r="B573" s="30"/>
      <c r="C573" s="70"/>
      <c r="G573" s="30"/>
      <c r="H573" s="77"/>
      <c r="I573" s="77"/>
      <c r="J573" s="58"/>
      <c r="K573" s="58"/>
      <c r="L573" s="3"/>
    </row>
    <row r="574" spans="1:12" s="71" customFormat="1">
      <c r="A574" s="87"/>
      <c r="B574" s="30"/>
      <c r="C574" s="70"/>
      <c r="G574" s="30"/>
      <c r="H574" s="77"/>
      <c r="I574" s="77"/>
      <c r="J574" s="58"/>
      <c r="K574" s="58"/>
      <c r="L574" s="3"/>
    </row>
    <row r="575" spans="1:12" s="71" customFormat="1">
      <c r="A575" s="87"/>
      <c r="B575" s="30"/>
      <c r="C575" s="70"/>
      <c r="G575" s="30"/>
      <c r="H575" s="77"/>
      <c r="I575" s="77"/>
      <c r="J575" s="58"/>
      <c r="K575" s="58"/>
      <c r="L575" s="3"/>
    </row>
    <row r="576" spans="1:12" s="71" customFormat="1">
      <c r="A576" s="87"/>
      <c r="B576" s="30"/>
      <c r="C576" s="70"/>
      <c r="G576" s="30"/>
      <c r="H576" s="77"/>
      <c r="I576" s="77"/>
      <c r="J576" s="58"/>
      <c r="K576" s="58"/>
      <c r="L576" s="3"/>
    </row>
    <row r="577" spans="1:12" s="71" customFormat="1">
      <c r="A577" s="87"/>
      <c r="B577" s="30"/>
      <c r="C577" s="70"/>
      <c r="G577" s="30"/>
      <c r="H577" s="77"/>
      <c r="I577" s="77"/>
      <c r="J577" s="58"/>
      <c r="K577" s="58"/>
      <c r="L577" s="3"/>
    </row>
    <row r="578" spans="1:12" s="71" customFormat="1">
      <c r="A578" s="87"/>
      <c r="B578" s="30"/>
      <c r="C578" s="70"/>
      <c r="G578" s="30"/>
      <c r="H578" s="77"/>
      <c r="I578" s="77"/>
      <c r="J578" s="58"/>
      <c r="K578" s="58"/>
      <c r="L578" s="3"/>
    </row>
    <row r="579" spans="1:12" s="71" customFormat="1">
      <c r="A579" s="87"/>
      <c r="B579" s="30"/>
      <c r="C579" s="70"/>
      <c r="G579" s="30"/>
      <c r="H579" s="77"/>
      <c r="I579" s="77"/>
      <c r="J579" s="58"/>
      <c r="K579" s="58"/>
      <c r="L579" s="3"/>
    </row>
    <row r="580" spans="1:12" s="71" customFormat="1">
      <c r="A580" s="87"/>
      <c r="B580" s="30"/>
      <c r="C580" s="70"/>
      <c r="G580" s="30"/>
      <c r="H580" s="77"/>
      <c r="I580" s="77"/>
      <c r="J580" s="58"/>
      <c r="K580" s="58"/>
      <c r="L580" s="3"/>
    </row>
    <row r="581" spans="1:12" s="71" customFormat="1">
      <c r="A581" s="87"/>
      <c r="B581" s="30"/>
      <c r="C581" s="70"/>
      <c r="G581" s="30"/>
      <c r="H581" s="77"/>
      <c r="I581" s="77"/>
      <c r="J581" s="58"/>
      <c r="K581" s="58"/>
      <c r="L581" s="3"/>
    </row>
    <row r="582" spans="1:12" s="71" customFormat="1">
      <c r="A582" s="87"/>
      <c r="B582" s="30"/>
      <c r="C582" s="70"/>
      <c r="G582" s="30"/>
      <c r="H582" s="77"/>
      <c r="I582" s="77"/>
      <c r="J582" s="58"/>
      <c r="K582" s="58"/>
      <c r="L582" s="3"/>
    </row>
    <row r="583" spans="1:12" s="71" customFormat="1">
      <c r="A583" s="87"/>
      <c r="B583" s="30"/>
      <c r="C583" s="70"/>
      <c r="G583" s="30"/>
      <c r="H583" s="77"/>
      <c r="I583" s="77"/>
      <c r="J583" s="58"/>
      <c r="K583" s="58"/>
      <c r="L583" s="3"/>
    </row>
    <row r="584" spans="1:12" s="71" customFormat="1">
      <c r="A584" s="87"/>
      <c r="B584" s="30"/>
      <c r="C584" s="70"/>
      <c r="G584" s="30"/>
      <c r="H584" s="77"/>
      <c r="I584" s="77"/>
      <c r="J584" s="58"/>
      <c r="K584" s="58"/>
      <c r="L584" s="3"/>
    </row>
    <row r="585" spans="1:12" s="71" customFormat="1">
      <c r="A585" s="87"/>
      <c r="B585" s="30"/>
      <c r="C585" s="70"/>
      <c r="G585" s="30"/>
      <c r="H585" s="77"/>
      <c r="I585" s="77"/>
      <c r="J585" s="58"/>
      <c r="K585" s="58"/>
      <c r="L585" s="3"/>
    </row>
    <row r="586" spans="1:12" s="71" customFormat="1">
      <c r="A586" s="87"/>
      <c r="B586" s="30"/>
      <c r="C586" s="70"/>
      <c r="G586" s="30"/>
      <c r="H586" s="77"/>
      <c r="I586" s="77"/>
      <c r="J586" s="58"/>
      <c r="K586" s="58"/>
      <c r="L586" s="3"/>
    </row>
    <row r="587" spans="1:12" s="71" customFormat="1">
      <c r="A587" s="87"/>
      <c r="B587" s="30"/>
      <c r="C587" s="70"/>
      <c r="G587" s="30"/>
      <c r="H587" s="77"/>
      <c r="I587" s="77"/>
      <c r="J587" s="58"/>
      <c r="K587" s="58"/>
      <c r="L587" s="3"/>
    </row>
    <row r="588" spans="1:12" s="71" customFormat="1">
      <c r="A588" s="87"/>
      <c r="B588" s="30"/>
      <c r="C588" s="70"/>
      <c r="G588" s="30"/>
      <c r="H588" s="77"/>
      <c r="I588" s="77"/>
      <c r="J588" s="58"/>
      <c r="K588" s="58"/>
      <c r="L588" s="3"/>
    </row>
    <row r="589" spans="1:12" s="71" customFormat="1">
      <c r="A589" s="87"/>
      <c r="B589" s="30"/>
      <c r="C589" s="70"/>
      <c r="G589" s="30"/>
      <c r="H589" s="77"/>
      <c r="I589" s="77"/>
      <c r="J589" s="58"/>
      <c r="K589" s="58"/>
      <c r="L589" s="3"/>
    </row>
    <row r="590" spans="1:12" s="71" customFormat="1">
      <c r="A590" s="87"/>
      <c r="B590" s="30"/>
      <c r="C590" s="70"/>
      <c r="G590" s="30"/>
      <c r="H590" s="77"/>
      <c r="I590" s="77"/>
      <c r="J590" s="58"/>
      <c r="K590" s="58"/>
      <c r="L590" s="3"/>
    </row>
    <row r="591" spans="1:12" s="71" customFormat="1">
      <c r="A591" s="87"/>
      <c r="B591" s="30"/>
      <c r="C591" s="70"/>
      <c r="G591" s="30"/>
      <c r="H591" s="77"/>
      <c r="I591" s="77"/>
      <c r="J591" s="58"/>
      <c r="K591" s="58"/>
      <c r="L591" s="3"/>
    </row>
    <row r="592" spans="1:12" s="71" customFormat="1">
      <c r="A592" s="87"/>
      <c r="B592" s="30"/>
      <c r="C592" s="70"/>
      <c r="G592" s="30"/>
      <c r="H592" s="77"/>
      <c r="I592" s="77"/>
      <c r="J592" s="58"/>
      <c r="K592" s="58"/>
      <c r="L592" s="3"/>
    </row>
    <row r="593" spans="1:12" s="71" customFormat="1">
      <c r="A593" s="87"/>
      <c r="B593" s="30"/>
      <c r="C593" s="70"/>
      <c r="G593" s="30"/>
      <c r="H593" s="77"/>
      <c r="I593" s="77"/>
      <c r="J593" s="58"/>
      <c r="K593" s="58"/>
      <c r="L593" s="3"/>
    </row>
    <row r="594" spans="1:12" s="71" customFormat="1">
      <c r="A594" s="87"/>
      <c r="B594" s="30"/>
      <c r="C594" s="70"/>
      <c r="G594" s="30"/>
      <c r="H594" s="77"/>
      <c r="I594" s="77"/>
      <c r="J594" s="58"/>
      <c r="K594" s="58"/>
      <c r="L594" s="3"/>
    </row>
    <row r="595" spans="1:12" s="71" customFormat="1">
      <c r="A595" s="87"/>
      <c r="B595" s="30"/>
      <c r="C595" s="70"/>
      <c r="G595" s="30"/>
      <c r="H595" s="77"/>
      <c r="I595" s="77"/>
      <c r="J595" s="58"/>
      <c r="K595" s="58"/>
      <c r="L595" s="3"/>
    </row>
    <row r="596" spans="1:12" s="71" customFormat="1">
      <c r="A596" s="87"/>
      <c r="B596" s="30"/>
      <c r="C596" s="70"/>
      <c r="G596" s="30"/>
      <c r="H596" s="77"/>
      <c r="I596" s="77"/>
      <c r="J596" s="58"/>
      <c r="K596" s="58"/>
      <c r="L596" s="3"/>
    </row>
    <row r="597" spans="1:12" s="71" customFormat="1">
      <c r="A597" s="87"/>
      <c r="B597" s="30"/>
      <c r="C597" s="70"/>
      <c r="G597" s="30"/>
      <c r="H597" s="77"/>
      <c r="I597" s="77"/>
      <c r="J597" s="58"/>
      <c r="K597" s="58"/>
      <c r="L597" s="3"/>
    </row>
    <row r="598" spans="1:12" s="71" customFormat="1">
      <c r="A598" s="87"/>
      <c r="B598" s="30"/>
      <c r="C598" s="70"/>
      <c r="G598" s="30"/>
      <c r="H598" s="77"/>
      <c r="I598" s="77"/>
      <c r="J598" s="58"/>
      <c r="K598" s="58"/>
      <c r="L598" s="3"/>
    </row>
    <row r="599" spans="1:12" s="71" customFormat="1">
      <c r="A599" s="87"/>
      <c r="B599" s="30"/>
      <c r="C599" s="70"/>
      <c r="G599" s="30"/>
      <c r="H599" s="77"/>
      <c r="I599" s="77"/>
      <c r="J599" s="58"/>
      <c r="K599" s="58"/>
      <c r="L599" s="3"/>
    </row>
    <row r="600" spans="1:12" s="71" customFormat="1">
      <c r="A600" s="87"/>
      <c r="B600" s="30"/>
      <c r="C600" s="70"/>
      <c r="G600" s="30"/>
      <c r="H600" s="77"/>
      <c r="I600" s="77"/>
      <c r="J600" s="58"/>
      <c r="K600" s="58"/>
      <c r="L600" s="3"/>
    </row>
    <row r="601" spans="1:12" s="71" customFormat="1">
      <c r="A601" s="87"/>
      <c r="B601" s="30"/>
      <c r="C601" s="70"/>
      <c r="G601" s="30"/>
      <c r="H601" s="77"/>
      <c r="I601" s="77"/>
      <c r="J601" s="58"/>
      <c r="K601" s="58"/>
      <c r="L601" s="3"/>
    </row>
    <row r="602" spans="1:12" s="71" customFormat="1">
      <c r="A602" s="87"/>
      <c r="B602" s="30"/>
      <c r="C602" s="70"/>
      <c r="G602" s="30"/>
      <c r="H602" s="77"/>
      <c r="I602" s="77"/>
      <c r="J602" s="58"/>
      <c r="K602" s="58"/>
      <c r="L602" s="3"/>
    </row>
    <row r="603" spans="1:12" s="71" customFormat="1">
      <c r="A603" s="87"/>
      <c r="B603" s="30"/>
      <c r="C603" s="70"/>
      <c r="G603" s="30"/>
      <c r="H603" s="77"/>
      <c r="I603" s="77"/>
      <c r="J603" s="58"/>
      <c r="K603" s="58"/>
      <c r="L603" s="3"/>
    </row>
    <row r="604" spans="1:12" s="71" customFormat="1">
      <c r="A604" s="87"/>
      <c r="B604" s="30"/>
      <c r="C604" s="70"/>
      <c r="G604" s="30"/>
      <c r="H604" s="77"/>
      <c r="I604" s="77"/>
      <c r="J604" s="58"/>
      <c r="K604" s="58"/>
      <c r="L604" s="3"/>
    </row>
    <row r="605" spans="1:12" s="71" customFormat="1">
      <c r="A605" s="87"/>
      <c r="B605" s="30"/>
      <c r="C605" s="70"/>
      <c r="G605" s="30"/>
      <c r="H605" s="77"/>
      <c r="I605" s="77"/>
      <c r="J605" s="58"/>
      <c r="K605" s="58"/>
      <c r="L605" s="3"/>
    </row>
    <row r="606" spans="1:12" s="71" customFormat="1">
      <c r="A606" s="87"/>
      <c r="B606" s="30"/>
      <c r="C606" s="70"/>
      <c r="G606" s="30"/>
      <c r="H606" s="77"/>
      <c r="I606" s="77"/>
      <c r="J606" s="58"/>
      <c r="K606" s="58"/>
      <c r="L606" s="3"/>
    </row>
    <row r="607" spans="1:12" s="71" customFormat="1">
      <c r="A607" s="87"/>
      <c r="B607" s="30"/>
      <c r="C607" s="70"/>
      <c r="G607" s="30"/>
      <c r="H607" s="77"/>
      <c r="I607" s="77"/>
      <c r="J607" s="58"/>
      <c r="K607" s="58"/>
      <c r="L607" s="3"/>
    </row>
    <row r="608" spans="1:12" s="71" customFormat="1">
      <c r="A608" s="87"/>
      <c r="B608" s="30"/>
      <c r="C608" s="70"/>
      <c r="G608" s="30"/>
      <c r="H608" s="77"/>
      <c r="I608" s="77"/>
      <c r="J608" s="58"/>
      <c r="K608" s="58"/>
      <c r="L608" s="3"/>
    </row>
    <row r="609" spans="1:12" s="71" customFormat="1">
      <c r="A609" s="87"/>
      <c r="B609" s="30"/>
      <c r="C609" s="70"/>
      <c r="G609" s="30"/>
      <c r="H609" s="77"/>
      <c r="I609" s="77"/>
      <c r="J609" s="58"/>
      <c r="K609" s="58"/>
      <c r="L609" s="3"/>
    </row>
    <row r="610" spans="1:12" s="71" customFormat="1">
      <c r="A610" s="87"/>
      <c r="B610" s="30"/>
      <c r="C610" s="70"/>
      <c r="G610" s="30"/>
      <c r="H610" s="77"/>
      <c r="I610" s="77"/>
      <c r="J610" s="58"/>
      <c r="K610" s="58"/>
      <c r="L610" s="3"/>
    </row>
    <row r="611" spans="1:12" s="71" customFormat="1">
      <c r="A611" s="87"/>
      <c r="B611" s="30"/>
      <c r="C611" s="70"/>
      <c r="G611" s="30"/>
      <c r="H611" s="77"/>
      <c r="I611" s="77"/>
      <c r="J611" s="58"/>
      <c r="K611" s="58"/>
      <c r="L611" s="3"/>
    </row>
    <row r="612" spans="1:12" s="71" customFormat="1">
      <c r="A612" s="87"/>
      <c r="B612" s="30"/>
      <c r="C612" s="70"/>
      <c r="G612" s="30"/>
      <c r="H612" s="77"/>
      <c r="I612" s="77"/>
      <c r="J612" s="58"/>
      <c r="K612" s="58"/>
      <c r="L612" s="3"/>
    </row>
    <row r="613" spans="1:12" s="71" customFormat="1">
      <c r="A613" s="87"/>
      <c r="B613" s="30"/>
      <c r="C613" s="70"/>
      <c r="G613" s="30"/>
      <c r="H613" s="77"/>
      <c r="I613" s="77"/>
      <c r="J613" s="58"/>
      <c r="K613" s="58"/>
      <c r="L613" s="3"/>
    </row>
    <row r="614" spans="1:12" s="71" customFormat="1">
      <c r="A614" s="87"/>
      <c r="B614" s="30"/>
      <c r="C614" s="70"/>
      <c r="G614" s="30"/>
      <c r="H614" s="77"/>
      <c r="I614" s="77"/>
      <c r="J614" s="58"/>
      <c r="K614" s="58"/>
      <c r="L614" s="3"/>
    </row>
    <row r="615" spans="1:12" s="71" customFormat="1">
      <c r="A615" s="87"/>
      <c r="B615" s="30"/>
      <c r="C615" s="70"/>
      <c r="G615" s="30"/>
      <c r="H615" s="77"/>
      <c r="I615" s="77"/>
      <c r="J615" s="58"/>
      <c r="K615" s="58"/>
      <c r="L615" s="3"/>
    </row>
    <row r="616" spans="1:12" s="71" customFormat="1">
      <c r="A616" s="87"/>
      <c r="B616" s="30"/>
      <c r="C616" s="70"/>
      <c r="G616" s="30"/>
      <c r="H616" s="77"/>
      <c r="I616" s="77"/>
      <c r="J616" s="58"/>
      <c r="K616" s="58"/>
      <c r="L616" s="3"/>
    </row>
    <row r="617" spans="1:12" s="71" customFormat="1">
      <c r="A617" s="87"/>
      <c r="B617" s="30"/>
      <c r="C617" s="70"/>
      <c r="G617" s="30"/>
      <c r="H617" s="77"/>
      <c r="I617" s="77"/>
      <c r="J617" s="58"/>
      <c r="K617" s="58"/>
      <c r="L617" s="3"/>
    </row>
    <row r="618" spans="1:12" s="71" customFormat="1">
      <c r="A618" s="87"/>
      <c r="B618" s="30"/>
      <c r="C618" s="70"/>
      <c r="G618" s="30"/>
      <c r="H618" s="77"/>
      <c r="I618" s="77"/>
      <c r="J618" s="58"/>
      <c r="K618" s="58"/>
      <c r="L618" s="3"/>
    </row>
    <row r="619" spans="1:12" s="71" customFormat="1">
      <c r="A619" s="87"/>
      <c r="B619" s="30"/>
      <c r="C619" s="70"/>
      <c r="G619" s="30"/>
      <c r="H619" s="77"/>
      <c r="I619" s="77"/>
      <c r="J619" s="58"/>
      <c r="K619" s="58"/>
      <c r="L619" s="3"/>
    </row>
    <row r="620" spans="1:12" s="71" customFormat="1">
      <c r="A620" s="87"/>
      <c r="B620" s="30"/>
      <c r="C620" s="70"/>
      <c r="G620" s="30"/>
      <c r="H620" s="77"/>
      <c r="I620" s="77"/>
      <c r="J620" s="58"/>
      <c r="K620" s="58"/>
      <c r="L620" s="3"/>
    </row>
    <row r="621" spans="1:12" s="71" customFormat="1">
      <c r="A621" s="87"/>
      <c r="B621" s="30"/>
      <c r="C621" s="70"/>
      <c r="G621" s="30"/>
      <c r="H621" s="77"/>
      <c r="I621" s="77"/>
      <c r="J621" s="58"/>
      <c r="K621" s="58"/>
      <c r="L621" s="3"/>
    </row>
    <row r="622" spans="1:12" s="71" customFormat="1">
      <c r="A622" s="87"/>
      <c r="B622" s="30"/>
      <c r="C622" s="70"/>
      <c r="G622" s="30"/>
      <c r="H622" s="77"/>
      <c r="I622" s="77"/>
      <c r="J622" s="58"/>
      <c r="K622" s="58"/>
      <c r="L622" s="3"/>
    </row>
    <row r="623" spans="1:12" s="71" customFormat="1">
      <c r="A623" s="87"/>
      <c r="B623" s="30"/>
      <c r="C623" s="70"/>
      <c r="G623" s="30"/>
      <c r="H623" s="77"/>
      <c r="I623" s="77"/>
      <c r="J623" s="58"/>
      <c r="K623" s="58"/>
      <c r="L623" s="3"/>
    </row>
    <row r="624" spans="1:12" s="71" customFormat="1">
      <c r="A624" s="87"/>
      <c r="B624" s="30"/>
      <c r="C624" s="70"/>
      <c r="G624" s="30"/>
      <c r="H624" s="77"/>
      <c r="I624" s="77"/>
      <c r="J624" s="58"/>
      <c r="K624" s="58"/>
      <c r="L624" s="3"/>
    </row>
    <row r="625" spans="1:12" s="71" customFormat="1">
      <c r="A625" s="87"/>
      <c r="B625" s="30"/>
      <c r="C625" s="70"/>
      <c r="G625" s="30"/>
      <c r="H625" s="77"/>
      <c r="I625" s="77"/>
      <c r="J625" s="58"/>
      <c r="K625" s="58"/>
      <c r="L625" s="3"/>
    </row>
    <row r="626" spans="1:12" s="71" customFormat="1">
      <c r="A626" s="87"/>
      <c r="B626" s="30"/>
      <c r="C626" s="70"/>
      <c r="G626" s="30"/>
      <c r="H626" s="77"/>
      <c r="I626" s="77"/>
      <c r="J626" s="58"/>
      <c r="K626" s="58"/>
      <c r="L626" s="3"/>
    </row>
    <row r="627" spans="1:12" s="71" customFormat="1">
      <c r="A627" s="87"/>
      <c r="B627" s="30"/>
      <c r="C627" s="70"/>
      <c r="G627" s="30"/>
      <c r="H627" s="77"/>
      <c r="I627" s="77"/>
      <c r="J627" s="58"/>
      <c r="K627" s="58"/>
      <c r="L627" s="3"/>
    </row>
    <row r="628" spans="1:12" s="71" customFormat="1">
      <c r="A628" s="87"/>
      <c r="B628" s="30"/>
      <c r="C628" s="70"/>
      <c r="G628" s="30"/>
      <c r="H628" s="77"/>
      <c r="I628" s="77"/>
      <c r="J628" s="58"/>
      <c r="K628" s="58"/>
      <c r="L628" s="3"/>
    </row>
    <row r="629" spans="1:12" s="71" customFormat="1">
      <c r="A629" s="87"/>
      <c r="B629" s="30"/>
      <c r="C629" s="70"/>
      <c r="G629" s="30"/>
      <c r="H629" s="77"/>
      <c r="I629" s="77"/>
      <c r="J629" s="58"/>
      <c r="K629" s="58"/>
      <c r="L629" s="3"/>
    </row>
    <row r="630" spans="1:12" s="71" customFormat="1">
      <c r="A630" s="87"/>
      <c r="B630" s="30"/>
      <c r="C630" s="70"/>
      <c r="G630" s="30"/>
      <c r="H630" s="77"/>
      <c r="I630" s="77"/>
      <c r="J630" s="58"/>
      <c r="K630" s="58"/>
      <c r="L630" s="3"/>
    </row>
    <row r="631" spans="1:12" s="71" customFormat="1">
      <c r="A631" s="87"/>
      <c r="B631" s="30"/>
      <c r="C631" s="70"/>
      <c r="G631" s="30"/>
      <c r="H631" s="77"/>
      <c r="I631" s="77"/>
      <c r="J631" s="58"/>
      <c r="K631" s="58"/>
      <c r="L631" s="3"/>
    </row>
    <row r="632" spans="1:12" s="71" customFormat="1">
      <c r="A632" s="87"/>
      <c r="B632" s="30"/>
      <c r="C632" s="70"/>
      <c r="G632" s="30"/>
      <c r="H632" s="77"/>
      <c r="I632" s="77"/>
      <c r="J632" s="58"/>
      <c r="K632" s="58"/>
      <c r="L632" s="3"/>
    </row>
    <row r="633" spans="1:12" s="71" customFormat="1">
      <c r="A633" s="87"/>
      <c r="B633" s="30"/>
      <c r="C633" s="70"/>
      <c r="G633" s="30"/>
      <c r="H633" s="77"/>
      <c r="I633" s="77"/>
      <c r="J633" s="58"/>
      <c r="K633" s="58"/>
      <c r="L633" s="3"/>
    </row>
    <row r="634" spans="1:12" s="71" customFormat="1">
      <c r="A634" s="87"/>
      <c r="B634" s="30"/>
      <c r="C634" s="70"/>
      <c r="G634" s="30"/>
      <c r="H634" s="77"/>
      <c r="I634" s="77"/>
      <c r="J634" s="58"/>
      <c r="K634" s="58"/>
      <c r="L634" s="3"/>
    </row>
    <row r="635" spans="1:12" s="71" customFormat="1">
      <c r="A635" s="87"/>
      <c r="B635" s="30"/>
      <c r="C635" s="70"/>
      <c r="G635" s="30"/>
      <c r="H635" s="77"/>
      <c r="I635" s="77"/>
      <c r="J635" s="58"/>
      <c r="K635" s="58"/>
      <c r="L635" s="3"/>
    </row>
    <row r="636" spans="1:12" s="71" customFormat="1">
      <c r="A636" s="87"/>
      <c r="B636" s="30"/>
      <c r="C636" s="70"/>
      <c r="G636" s="30"/>
      <c r="H636" s="77"/>
      <c r="I636" s="77"/>
      <c r="J636" s="58"/>
      <c r="K636" s="58"/>
      <c r="L636" s="3"/>
    </row>
    <row r="637" spans="1:12" s="71" customFormat="1">
      <c r="A637" s="87"/>
      <c r="B637" s="30"/>
      <c r="C637" s="70"/>
      <c r="G637" s="30"/>
      <c r="H637" s="77"/>
      <c r="I637" s="77"/>
      <c r="J637" s="58"/>
      <c r="K637" s="58"/>
      <c r="L637" s="3"/>
    </row>
    <row r="638" spans="1:12" s="71" customFormat="1">
      <c r="A638" s="87"/>
      <c r="B638" s="30"/>
      <c r="C638" s="70"/>
      <c r="G638" s="30"/>
      <c r="H638" s="77"/>
      <c r="I638" s="77"/>
      <c r="J638" s="58"/>
      <c r="K638" s="58"/>
      <c r="L638" s="3"/>
    </row>
    <row r="639" spans="1:12" s="71" customFormat="1">
      <c r="A639" s="87"/>
      <c r="B639" s="30"/>
      <c r="C639" s="70"/>
      <c r="G639" s="30"/>
      <c r="H639" s="77"/>
      <c r="I639" s="77"/>
      <c r="J639" s="58"/>
      <c r="K639" s="58"/>
      <c r="L639" s="3"/>
    </row>
    <row r="640" spans="1:12" s="71" customFormat="1">
      <c r="A640" s="87"/>
      <c r="B640" s="30"/>
      <c r="C640" s="70"/>
      <c r="G640" s="30"/>
      <c r="H640" s="77"/>
      <c r="I640" s="77"/>
      <c r="J640" s="58"/>
      <c r="K640" s="58"/>
      <c r="L640" s="3"/>
    </row>
    <row r="641" spans="1:12" s="71" customFormat="1">
      <c r="A641" s="87"/>
      <c r="B641" s="30"/>
      <c r="C641" s="70"/>
      <c r="G641" s="30"/>
      <c r="H641" s="77"/>
      <c r="I641" s="77"/>
      <c r="J641" s="58"/>
      <c r="K641" s="58"/>
      <c r="L641" s="3"/>
    </row>
    <row r="642" spans="1:12" s="71" customFormat="1">
      <c r="A642" s="87"/>
      <c r="B642" s="30"/>
      <c r="C642" s="70"/>
      <c r="G642" s="30"/>
      <c r="H642" s="77"/>
      <c r="I642" s="77"/>
      <c r="J642" s="58"/>
      <c r="K642" s="58"/>
      <c r="L642" s="3"/>
    </row>
    <row r="643" spans="1:12" s="71" customFormat="1">
      <c r="A643" s="87"/>
      <c r="B643" s="30"/>
      <c r="C643" s="70"/>
      <c r="G643" s="30"/>
      <c r="H643" s="77"/>
      <c r="I643" s="77"/>
      <c r="J643" s="58"/>
      <c r="K643" s="58"/>
      <c r="L643" s="3"/>
    </row>
    <row r="644" spans="1:12" s="71" customFormat="1">
      <c r="A644" s="87"/>
      <c r="B644" s="30"/>
      <c r="C644" s="70"/>
      <c r="G644" s="30"/>
      <c r="H644" s="77"/>
      <c r="I644" s="77"/>
      <c r="J644" s="58"/>
      <c r="K644" s="58"/>
      <c r="L644" s="3"/>
    </row>
    <row r="645" spans="1:12" s="71" customFormat="1">
      <c r="A645" s="87"/>
      <c r="B645" s="30"/>
      <c r="C645" s="70"/>
      <c r="G645" s="30"/>
      <c r="H645" s="77"/>
      <c r="I645" s="77"/>
      <c r="J645" s="58"/>
      <c r="K645" s="58"/>
      <c r="L645" s="3"/>
    </row>
    <row r="646" spans="1:12" s="71" customFormat="1">
      <c r="A646" s="87"/>
      <c r="B646" s="30"/>
      <c r="C646" s="70"/>
      <c r="G646" s="30"/>
      <c r="H646" s="77"/>
      <c r="I646" s="77"/>
      <c r="J646" s="58"/>
      <c r="K646" s="58"/>
      <c r="L646" s="3"/>
    </row>
    <row r="647" spans="1:12" s="71" customFormat="1">
      <c r="A647" s="87"/>
      <c r="B647" s="30"/>
      <c r="C647" s="70"/>
      <c r="G647" s="30"/>
      <c r="H647" s="77"/>
      <c r="I647" s="77"/>
      <c r="J647" s="58"/>
      <c r="K647" s="58"/>
      <c r="L647" s="3"/>
    </row>
    <row r="648" spans="1:12" s="71" customFormat="1">
      <c r="A648" s="87"/>
      <c r="B648" s="30"/>
      <c r="C648" s="70"/>
      <c r="G648" s="30"/>
      <c r="H648" s="77"/>
      <c r="I648" s="77"/>
      <c r="J648" s="58"/>
      <c r="K648" s="58"/>
      <c r="L648" s="3"/>
    </row>
    <row r="649" spans="1:12" s="71" customFormat="1">
      <c r="A649" s="87"/>
      <c r="B649" s="30"/>
      <c r="C649" s="70"/>
      <c r="G649" s="30"/>
      <c r="H649" s="77"/>
      <c r="I649" s="77"/>
      <c r="J649" s="58"/>
      <c r="K649" s="58"/>
      <c r="L649" s="3"/>
    </row>
    <row r="650" spans="1:12" s="71" customFormat="1">
      <c r="A650" s="87"/>
      <c r="B650" s="30"/>
      <c r="C650" s="70"/>
      <c r="G650" s="30"/>
      <c r="H650" s="77"/>
      <c r="I650" s="77"/>
      <c r="J650" s="58"/>
      <c r="K650" s="58"/>
      <c r="L650" s="3"/>
    </row>
    <row r="651" spans="1:12" s="71" customFormat="1">
      <c r="A651" s="87"/>
      <c r="B651" s="30"/>
      <c r="C651" s="70"/>
      <c r="G651" s="30"/>
      <c r="H651" s="77"/>
      <c r="I651" s="77"/>
      <c r="J651" s="58"/>
      <c r="K651" s="58"/>
      <c r="L651" s="3"/>
    </row>
    <row r="652" spans="1:12" s="71" customFormat="1">
      <c r="A652" s="87"/>
      <c r="B652" s="30"/>
      <c r="C652" s="70"/>
      <c r="G652" s="30"/>
      <c r="H652" s="77"/>
      <c r="I652" s="77"/>
      <c r="J652" s="58"/>
      <c r="K652" s="58"/>
      <c r="L652" s="3"/>
    </row>
    <row r="653" spans="1:12" s="71" customFormat="1">
      <c r="A653" s="87"/>
      <c r="B653" s="30"/>
      <c r="C653" s="70"/>
      <c r="G653" s="30"/>
      <c r="H653" s="77"/>
      <c r="I653" s="77"/>
      <c r="J653" s="58"/>
      <c r="K653" s="58"/>
      <c r="L653" s="3"/>
    </row>
    <row r="654" spans="1:12" s="71" customFormat="1">
      <c r="A654" s="87"/>
      <c r="B654" s="30"/>
      <c r="C654" s="70"/>
      <c r="G654" s="30"/>
      <c r="H654" s="77"/>
      <c r="I654" s="77"/>
      <c r="J654" s="58"/>
      <c r="K654" s="58"/>
      <c r="L654" s="3"/>
    </row>
    <row r="655" spans="1:12" s="71" customFormat="1">
      <c r="A655" s="87"/>
      <c r="B655" s="30"/>
      <c r="C655" s="70"/>
      <c r="G655" s="30"/>
      <c r="H655" s="77"/>
      <c r="I655" s="77"/>
      <c r="J655" s="58"/>
      <c r="K655" s="58"/>
      <c r="L655" s="3"/>
    </row>
    <row r="656" spans="1:12" s="71" customFormat="1">
      <c r="A656" s="87"/>
      <c r="B656" s="30"/>
      <c r="C656" s="70"/>
      <c r="G656" s="30"/>
      <c r="H656" s="77"/>
      <c r="I656" s="77"/>
      <c r="J656" s="58"/>
      <c r="K656" s="58"/>
      <c r="L656" s="3"/>
    </row>
    <row r="657" spans="1:12" s="71" customFormat="1">
      <c r="A657" s="87"/>
      <c r="B657" s="30"/>
      <c r="C657" s="70"/>
      <c r="G657" s="30"/>
      <c r="H657" s="77"/>
      <c r="I657" s="77"/>
      <c r="J657" s="58"/>
      <c r="K657" s="58"/>
      <c r="L657" s="3"/>
    </row>
    <row r="658" spans="1:12" s="71" customFormat="1">
      <c r="A658" s="87"/>
      <c r="B658" s="30"/>
      <c r="C658" s="70"/>
      <c r="G658" s="30"/>
      <c r="H658" s="77"/>
      <c r="I658" s="77"/>
      <c r="J658" s="58"/>
      <c r="K658" s="58"/>
      <c r="L658" s="3"/>
    </row>
    <row r="659" spans="1:12" s="71" customFormat="1">
      <c r="A659" s="87"/>
      <c r="B659" s="30"/>
      <c r="C659" s="70"/>
      <c r="G659" s="30"/>
      <c r="H659" s="77"/>
      <c r="I659" s="77"/>
      <c r="J659" s="58"/>
      <c r="K659" s="58"/>
      <c r="L659" s="3"/>
    </row>
    <row r="660" spans="1:12" s="71" customFormat="1">
      <c r="A660" s="87"/>
      <c r="B660" s="30"/>
      <c r="C660" s="70"/>
      <c r="G660" s="30"/>
      <c r="H660" s="77"/>
      <c r="I660" s="77"/>
      <c r="J660" s="58"/>
      <c r="K660" s="58"/>
      <c r="L660" s="3"/>
    </row>
    <row r="661" spans="1:12" s="71" customFormat="1">
      <c r="A661" s="87"/>
      <c r="B661" s="30"/>
      <c r="C661" s="70"/>
      <c r="G661" s="30"/>
      <c r="H661" s="77"/>
      <c r="I661" s="77"/>
      <c r="J661" s="58"/>
      <c r="K661" s="58"/>
      <c r="L661" s="3"/>
    </row>
    <row r="662" spans="1:12" s="71" customFormat="1">
      <c r="A662" s="87"/>
      <c r="B662" s="30"/>
      <c r="C662" s="70"/>
      <c r="G662" s="30"/>
      <c r="H662" s="77"/>
      <c r="I662" s="77"/>
      <c r="J662" s="58"/>
      <c r="K662" s="58"/>
      <c r="L662" s="3"/>
    </row>
    <row r="663" spans="1:12" s="71" customFormat="1">
      <c r="A663" s="87"/>
      <c r="B663" s="30"/>
      <c r="C663" s="70"/>
      <c r="G663" s="30"/>
      <c r="H663" s="77"/>
      <c r="I663" s="77"/>
      <c r="J663" s="58"/>
      <c r="K663" s="58"/>
      <c r="L663" s="3"/>
    </row>
    <row r="664" spans="1:12" s="71" customFormat="1">
      <c r="A664" s="87"/>
      <c r="B664" s="30"/>
      <c r="C664" s="70"/>
      <c r="G664" s="30"/>
      <c r="H664" s="77"/>
      <c r="I664" s="77"/>
      <c r="J664" s="58"/>
      <c r="K664" s="58"/>
      <c r="L664" s="3"/>
    </row>
    <row r="665" spans="1:12" s="71" customFormat="1">
      <c r="A665" s="87"/>
      <c r="B665" s="30"/>
      <c r="C665" s="70"/>
      <c r="G665" s="30"/>
      <c r="H665" s="77"/>
      <c r="I665" s="77"/>
      <c r="J665" s="58"/>
      <c r="K665" s="58"/>
      <c r="L665" s="3"/>
    </row>
    <row r="666" spans="1:12" s="71" customFormat="1">
      <c r="A666" s="87"/>
      <c r="B666" s="30"/>
      <c r="C666" s="70"/>
      <c r="G666" s="30"/>
      <c r="H666" s="77"/>
      <c r="I666" s="77"/>
      <c r="J666" s="58"/>
      <c r="K666" s="58"/>
      <c r="L666" s="3"/>
    </row>
    <row r="667" spans="1:12" s="71" customFormat="1">
      <c r="A667" s="87"/>
      <c r="B667" s="30"/>
      <c r="C667" s="70"/>
      <c r="G667" s="30"/>
      <c r="H667" s="77"/>
      <c r="I667" s="77"/>
      <c r="J667" s="58"/>
      <c r="K667" s="58"/>
      <c r="L667" s="3"/>
    </row>
    <row r="668" spans="1:12" s="71" customFormat="1">
      <c r="A668" s="87"/>
      <c r="B668" s="30"/>
      <c r="C668" s="70"/>
      <c r="G668" s="30"/>
      <c r="H668" s="77"/>
      <c r="I668" s="77"/>
      <c r="J668" s="58"/>
      <c r="K668" s="58"/>
      <c r="L668" s="3"/>
    </row>
    <row r="669" spans="1:12" s="71" customFormat="1">
      <c r="A669" s="87"/>
      <c r="B669" s="30"/>
      <c r="C669" s="70"/>
      <c r="G669" s="30"/>
      <c r="H669" s="77"/>
      <c r="I669" s="77"/>
      <c r="J669" s="58"/>
      <c r="K669" s="58"/>
      <c r="L669" s="3"/>
    </row>
    <row r="670" spans="1:12" s="71" customFormat="1">
      <c r="A670" s="87"/>
      <c r="B670" s="30"/>
      <c r="C670" s="70"/>
      <c r="G670" s="30"/>
      <c r="H670" s="77"/>
      <c r="I670" s="77"/>
      <c r="J670" s="58"/>
      <c r="K670" s="58"/>
      <c r="L670" s="3"/>
    </row>
    <row r="671" spans="1:12" s="71" customFormat="1">
      <c r="A671" s="87"/>
      <c r="B671" s="30"/>
      <c r="C671" s="70"/>
      <c r="G671" s="30"/>
      <c r="H671" s="77"/>
      <c r="I671" s="77"/>
      <c r="J671" s="58"/>
      <c r="K671" s="58"/>
      <c r="L671" s="3"/>
    </row>
    <row r="672" spans="1:12" s="71" customFormat="1">
      <c r="A672" s="87"/>
      <c r="B672" s="30"/>
      <c r="C672" s="70"/>
      <c r="G672" s="30"/>
      <c r="H672" s="77"/>
      <c r="I672" s="77"/>
      <c r="J672" s="58"/>
      <c r="K672" s="58"/>
      <c r="L672" s="3"/>
    </row>
    <row r="673" spans="1:12" s="71" customFormat="1">
      <c r="A673" s="87"/>
      <c r="B673" s="30"/>
      <c r="C673" s="70"/>
      <c r="G673" s="30"/>
      <c r="H673" s="77"/>
      <c r="I673" s="77"/>
      <c r="J673" s="58"/>
      <c r="K673" s="58"/>
      <c r="L673" s="3"/>
    </row>
    <row r="674" spans="1:12" s="71" customFormat="1">
      <c r="A674" s="87"/>
      <c r="B674" s="30"/>
      <c r="C674" s="70"/>
      <c r="G674" s="30"/>
      <c r="H674" s="77"/>
      <c r="I674" s="77"/>
      <c r="J674" s="58"/>
      <c r="K674" s="58"/>
      <c r="L674" s="3"/>
    </row>
    <row r="675" spans="1:12" s="71" customFormat="1">
      <c r="A675" s="87"/>
      <c r="B675" s="30"/>
      <c r="C675" s="70"/>
      <c r="G675" s="30"/>
      <c r="H675" s="77"/>
      <c r="I675" s="77"/>
      <c r="J675" s="58"/>
      <c r="K675" s="58"/>
      <c r="L675" s="3"/>
    </row>
    <row r="676" spans="1:12" s="71" customFormat="1">
      <c r="A676" s="87"/>
      <c r="B676" s="30"/>
      <c r="C676" s="70"/>
      <c r="G676" s="30"/>
      <c r="H676" s="77"/>
      <c r="I676" s="77"/>
      <c r="J676" s="58"/>
      <c r="K676" s="58"/>
      <c r="L676" s="3"/>
    </row>
    <row r="677" spans="1:12" s="71" customFormat="1">
      <c r="A677" s="87"/>
      <c r="B677" s="30"/>
      <c r="C677" s="70"/>
      <c r="G677" s="30"/>
      <c r="H677" s="77"/>
      <c r="I677" s="77"/>
      <c r="J677" s="58"/>
      <c r="K677" s="58"/>
      <c r="L677" s="3"/>
    </row>
    <row r="678" spans="1:12" s="71" customFormat="1">
      <c r="A678" s="87"/>
      <c r="B678" s="30"/>
      <c r="C678" s="70"/>
      <c r="G678" s="30"/>
      <c r="H678" s="77"/>
      <c r="I678" s="77"/>
      <c r="J678" s="58"/>
      <c r="K678" s="58"/>
      <c r="L678" s="3"/>
    </row>
    <row r="679" spans="1:12" s="71" customFormat="1">
      <c r="A679" s="87"/>
      <c r="B679" s="30"/>
      <c r="C679" s="70"/>
      <c r="G679" s="30"/>
      <c r="H679" s="77"/>
      <c r="I679" s="77"/>
      <c r="J679" s="58"/>
      <c r="K679" s="58"/>
      <c r="L679" s="3"/>
    </row>
    <row r="680" spans="1:12" s="71" customFormat="1">
      <c r="A680" s="87"/>
      <c r="B680" s="30"/>
      <c r="C680" s="70"/>
      <c r="G680" s="30"/>
      <c r="H680" s="77"/>
      <c r="I680" s="77"/>
      <c r="J680" s="58"/>
      <c r="K680" s="58"/>
      <c r="L680" s="3"/>
    </row>
    <row r="681" spans="1:12" s="71" customFormat="1">
      <c r="A681" s="87"/>
      <c r="B681" s="30"/>
      <c r="C681" s="70"/>
      <c r="G681" s="30"/>
      <c r="H681" s="77"/>
      <c r="I681" s="77"/>
      <c r="J681" s="58"/>
      <c r="K681" s="58"/>
      <c r="L681" s="3"/>
    </row>
    <row r="682" spans="1:12" s="71" customFormat="1">
      <c r="A682" s="87"/>
      <c r="B682" s="30"/>
      <c r="C682" s="70"/>
      <c r="G682" s="30"/>
      <c r="H682" s="77"/>
      <c r="I682" s="77"/>
      <c r="J682" s="58"/>
      <c r="K682" s="58"/>
      <c r="L682" s="3"/>
    </row>
    <row r="683" spans="1:12" s="71" customFormat="1">
      <c r="A683" s="87"/>
      <c r="B683" s="30"/>
      <c r="C683" s="70"/>
      <c r="G683" s="30"/>
      <c r="H683" s="77"/>
      <c r="I683" s="77"/>
      <c r="J683" s="58"/>
      <c r="K683" s="58"/>
      <c r="L683" s="3"/>
    </row>
    <row r="684" spans="1:12" s="71" customFormat="1">
      <c r="A684" s="87"/>
      <c r="B684" s="30"/>
      <c r="C684" s="70"/>
      <c r="G684" s="30"/>
      <c r="H684" s="77"/>
      <c r="I684" s="77"/>
      <c r="J684" s="58"/>
      <c r="K684" s="58"/>
      <c r="L684" s="3"/>
    </row>
    <row r="685" spans="1:12" s="71" customFormat="1">
      <c r="A685" s="87"/>
      <c r="B685" s="30"/>
      <c r="C685" s="70"/>
      <c r="G685" s="30"/>
      <c r="H685" s="77"/>
      <c r="I685" s="77"/>
      <c r="J685" s="58"/>
      <c r="K685" s="58"/>
      <c r="L685" s="3"/>
    </row>
    <row r="686" spans="1:12" s="71" customFormat="1">
      <c r="A686" s="87"/>
      <c r="B686" s="30"/>
      <c r="C686" s="70"/>
      <c r="G686" s="30"/>
      <c r="H686" s="77"/>
      <c r="I686" s="77"/>
      <c r="J686" s="58"/>
      <c r="K686" s="58"/>
      <c r="L686" s="3"/>
    </row>
    <row r="687" spans="1:12" s="71" customFormat="1">
      <c r="A687" s="87"/>
      <c r="B687" s="30"/>
      <c r="C687" s="70"/>
      <c r="G687" s="30"/>
      <c r="H687" s="77"/>
      <c r="I687" s="77"/>
      <c r="J687" s="58"/>
      <c r="K687" s="58"/>
      <c r="L687" s="3"/>
    </row>
    <row r="688" spans="1:12" s="71" customFormat="1">
      <c r="A688" s="87"/>
      <c r="B688" s="30"/>
      <c r="C688" s="70"/>
      <c r="G688" s="30"/>
      <c r="H688" s="77"/>
      <c r="I688" s="77"/>
      <c r="J688" s="58"/>
      <c r="K688" s="58"/>
      <c r="L688" s="3"/>
    </row>
    <row r="689" spans="1:12" s="71" customFormat="1">
      <c r="A689" s="87"/>
      <c r="B689" s="30"/>
      <c r="C689" s="70"/>
      <c r="G689" s="30"/>
      <c r="H689" s="77"/>
      <c r="I689" s="77"/>
      <c r="J689" s="58"/>
      <c r="K689" s="58"/>
      <c r="L689" s="3"/>
    </row>
    <row r="690" spans="1:12" s="71" customFormat="1">
      <c r="A690" s="87"/>
      <c r="B690" s="30"/>
      <c r="C690" s="70"/>
      <c r="G690" s="30"/>
      <c r="H690" s="77"/>
      <c r="I690" s="77"/>
      <c r="J690" s="58"/>
      <c r="K690" s="58"/>
      <c r="L690" s="3"/>
    </row>
    <row r="691" spans="1:12" s="71" customFormat="1">
      <c r="A691" s="87"/>
      <c r="B691" s="30"/>
      <c r="C691" s="70"/>
      <c r="G691" s="30"/>
      <c r="H691" s="77"/>
      <c r="I691" s="77"/>
      <c r="J691" s="58"/>
      <c r="K691" s="58"/>
      <c r="L691" s="3"/>
    </row>
    <row r="692" spans="1:12" s="71" customFormat="1">
      <c r="A692" s="87"/>
      <c r="B692" s="30"/>
      <c r="C692" s="70"/>
      <c r="G692" s="30"/>
      <c r="H692" s="77"/>
      <c r="I692" s="77"/>
      <c r="J692" s="58"/>
      <c r="K692" s="58"/>
      <c r="L692" s="3"/>
    </row>
    <row r="693" spans="1:12" s="71" customFormat="1">
      <c r="A693" s="87"/>
      <c r="B693" s="30"/>
      <c r="C693" s="70"/>
      <c r="G693" s="30"/>
      <c r="H693" s="77"/>
      <c r="I693" s="77"/>
      <c r="J693" s="58"/>
      <c r="K693" s="58"/>
      <c r="L693" s="3"/>
    </row>
    <row r="694" spans="1:12" s="71" customFormat="1">
      <c r="A694" s="87"/>
      <c r="B694" s="30"/>
      <c r="C694" s="70"/>
      <c r="G694" s="30"/>
      <c r="H694" s="77"/>
      <c r="I694" s="77"/>
      <c r="J694" s="58"/>
      <c r="K694" s="58"/>
      <c r="L694" s="3"/>
    </row>
    <row r="695" spans="1:12" s="71" customFormat="1">
      <c r="A695" s="87"/>
      <c r="B695" s="30"/>
      <c r="C695" s="70"/>
      <c r="G695" s="30"/>
      <c r="H695" s="77"/>
      <c r="I695" s="77"/>
      <c r="J695" s="58"/>
      <c r="K695" s="58"/>
      <c r="L695" s="3"/>
    </row>
    <row r="696" spans="1:12" s="71" customFormat="1">
      <c r="A696" s="87"/>
      <c r="B696" s="30"/>
      <c r="C696" s="70"/>
      <c r="G696" s="30"/>
      <c r="H696" s="77"/>
      <c r="I696" s="77"/>
      <c r="J696" s="58"/>
      <c r="K696" s="58"/>
      <c r="L696" s="3"/>
    </row>
    <row r="697" spans="1:12" s="71" customFormat="1">
      <c r="A697" s="87"/>
      <c r="B697" s="30"/>
      <c r="C697" s="70"/>
      <c r="G697" s="30"/>
      <c r="H697" s="77"/>
      <c r="I697" s="77"/>
      <c r="J697" s="58"/>
      <c r="K697" s="58"/>
      <c r="L697" s="3"/>
    </row>
    <row r="698" spans="1:12" s="71" customFormat="1">
      <c r="A698" s="87"/>
      <c r="B698" s="30"/>
      <c r="C698" s="70"/>
      <c r="G698" s="30"/>
      <c r="H698" s="77"/>
      <c r="I698" s="77"/>
      <c r="J698" s="58"/>
      <c r="K698" s="58"/>
      <c r="L698" s="3"/>
    </row>
    <row r="699" spans="1:12" s="71" customFormat="1">
      <c r="A699" s="87"/>
      <c r="B699" s="30"/>
      <c r="C699" s="70"/>
      <c r="G699" s="30"/>
      <c r="H699" s="77"/>
      <c r="I699" s="77"/>
      <c r="J699" s="58"/>
      <c r="K699" s="58"/>
      <c r="L699" s="3"/>
    </row>
    <row r="700" spans="1:12" s="71" customFormat="1">
      <c r="A700" s="87"/>
      <c r="B700" s="30"/>
      <c r="C700" s="70"/>
      <c r="G700" s="30"/>
      <c r="H700" s="77"/>
      <c r="I700" s="77"/>
      <c r="J700" s="58"/>
      <c r="K700" s="58"/>
      <c r="L700" s="3"/>
    </row>
    <row r="701" spans="1:12" s="71" customFormat="1">
      <c r="A701" s="87"/>
      <c r="B701" s="30"/>
      <c r="C701" s="70"/>
      <c r="G701" s="30"/>
      <c r="H701" s="77"/>
      <c r="I701" s="77"/>
      <c r="J701" s="58"/>
      <c r="K701" s="58"/>
      <c r="L701" s="3"/>
    </row>
    <row r="702" spans="1:12" s="71" customFormat="1">
      <c r="A702" s="87"/>
      <c r="B702" s="30"/>
      <c r="C702" s="70"/>
      <c r="G702" s="30"/>
      <c r="H702" s="77"/>
      <c r="I702" s="77"/>
      <c r="J702" s="58"/>
      <c r="K702" s="58"/>
      <c r="L702" s="3"/>
    </row>
    <row r="703" spans="1:12" s="71" customFormat="1">
      <c r="A703" s="87"/>
      <c r="B703" s="30"/>
      <c r="C703" s="70"/>
      <c r="G703" s="30"/>
      <c r="H703" s="77"/>
      <c r="I703" s="77"/>
      <c r="J703" s="58"/>
      <c r="K703" s="58"/>
      <c r="L703" s="3"/>
    </row>
    <row r="704" spans="1:12" s="71" customFormat="1">
      <c r="A704" s="87"/>
      <c r="B704" s="30"/>
      <c r="C704" s="70"/>
      <c r="G704" s="30"/>
      <c r="H704" s="77"/>
      <c r="I704" s="77"/>
      <c r="J704" s="58"/>
      <c r="K704" s="58"/>
      <c r="L704" s="3"/>
    </row>
    <row r="705" spans="1:12" s="71" customFormat="1">
      <c r="A705" s="87"/>
      <c r="B705" s="30"/>
      <c r="C705" s="70"/>
      <c r="G705" s="30"/>
      <c r="H705" s="77"/>
      <c r="I705" s="77"/>
      <c r="J705" s="58"/>
      <c r="K705" s="58"/>
      <c r="L705" s="3"/>
    </row>
    <row r="706" spans="1:12" s="71" customFormat="1">
      <c r="A706" s="87"/>
      <c r="B706" s="30"/>
      <c r="C706" s="70"/>
      <c r="G706" s="30"/>
      <c r="H706" s="77"/>
      <c r="I706" s="77"/>
      <c r="J706" s="58"/>
      <c r="K706" s="58"/>
      <c r="L706" s="3"/>
    </row>
    <row r="707" spans="1:12" s="71" customFormat="1">
      <c r="A707" s="87"/>
      <c r="B707" s="30"/>
      <c r="C707" s="70"/>
      <c r="G707" s="30"/>
      <c r="H707" s="77"/>
      <c r="I707" s="77"/>
      <c r="J707" s="58"/>
      <c r="K707" s="58"/>
      <c r="L707" s="3"/>
    </row>
    <row r="708" spans="1:12" s="71" customFormat="1">
      <c r="A708" s="87"/>
      <c r="B708" s="30"/>
      <c r="C708" s="70"/>
      <c r="G708" s="30"/>
      <c r="H708" s="77"/>
      <c r="I708" s="77"/>
      <c r="J708" s="58"/>
      <c r="K708" s="58"/>
      <c r="L708" s="3"/>
    </row>
    <row r="709" spans="1:12" s="71" customFormat="1">
      <c r="A709" s="87"/>
      <c r="B709" s="30"/>
      <c r="C709" s="70"/>
      <c r="G709" s="30"/>
      <c r="H709" s="77"/>
      <c r="I709" s="77"/>
      <c r="J709" s="58"/>
      <c r="K709" s="58"/>
      <c r="L709" s="3"/>
    </row>
    <row r="710" spans="1:12" s="71" customFormat="1">
      <c r="A710" s="87"/>
      <c r="B710" s="30"/>
      <c r="C710" s="70"/>
      <c r="G710" s="30"/>
      <c r="H710" s="77"/>
      <c r="I710" s="77"/>
      <c r="J710" s="58"/>
      <c r="K710" s="58"/>
      <c r="L710" s="3"/>
    </row>
    <row r="711" spans="1:12" s="71" customFormat="1">
      <c r="A711" s="87"/>
      <c r="B711" s="30"/>
      <c r="C711" s="70"/>
      <c r="G711" s="30"/>
      <c r="H711" s="77"/>
      <c r="I711" s="77"/>
      <c r="J711" s="58"/>
      <c r="K711" s="58"/>
      <c r="L711" s="3"/>
    </row>
    <row r="712" spans="1:12" s="71" customFormat="1">
      <c r="A712" s="87"/>
      <c r="B712" s="30"/>
      <c r="C712" s="70"/>
      <c r="G712" s="30"/>
      <c r="H712" s="77"/>
      <c r="I712" s="77"/>
      <c r="J712" s="58"/>
      <c r="K712" s="58"/>
      <c r="L712" s="3"/>
    </row>
    <row r="713" spans="1:12" s="71" customFormat="1">
      <c r="A713" s="87"/>
      <c r="B713" s="30"/>
      <c r="C713" s="70"/>
      <c r="G713" s="30"/>
      <c r="H713" s="77"/>
      <c r="I713" s="77"/>
      <c r="J713" s="58"/>
      <c r="K713" s="58"/>
      <c r="L713" s="3"/>
    </row>
    <row r="714" spans="1:12" s="71" customFormat="1">
      <c r="A714" s="87"/>
      <c r="B714" s="30"/>
      <c r="C714" s="70"/>
      <c r="G714" s="30"/>
      <c r="H714" s="77"/>
      <c r="I714" s="77"/>
      <c r="J714" s="58"/>
      <c r="K714" s="58"/>
      <c r="L714" s="3"/>
    </row>
    <row r="715" spans="1:12" s="71" customFormat="1">
      <c r="A715" s="87"/>
      <c r="B715" s="30"/>
      <c r="C715" s="70"/>
      <c r="G715" s="30"/>
      <c r="H715" s="77"/>
      <c r="I715" s="77"/>
      <c r="J715" s="58"/>
      <c r="K715" s="58"/>
      <c r="L715" s="3"/>
    </row>
    <row r="716" spans="1:12" s="71" customFormat="1">
      <c r="A716" s="87"/>
      <c r="B716" s="30"/>
      <c r="C716" s="70"/>
      <c r="G716" s="30"/>
      <c r="H716" s="77"/>
      <c r="I716" s="77"/>
      <c r="J716" s="58"/>
      <c r="K716" s="58"/>
      <c r="L716" s="3"/>
    </row>
    <row r="717" spans="1:12" s="71" customFormat="1">
      <c r="A717" s="87"/>
      <c r="B717" s="30"/>
      <c r="C717" s="70"/>
      <c r="G717" s="30"/>
      <c r="H717" s="77"/>
      <c r="I717" s="77"/>
      <c r="J717" s="58"/>
      <c r="K717" s="58"/>
      <c r="L717" s="3"/>
    </row>
    <row r="718" spans="1:12" s="71" customFormat="1">
      <c r="A718" s="87"/>
      <c r="B718" s="30"/>
      <c r="C718" s="70"/>
      <c r="G718" s="30"/>
      <c r="H718" s="77"/>
      <c r="I718" s="77"/>
      <c r="J718" s="58"/>
      <c r="K718" s="58"/>
      <c r="L718" s="3"/>
    </row>
    <row r="719" spans="1:12" s="71" customFormat="1">
      <c r="A719" s="87"/>
      <c r="B719" s="30"/>
      <c r="C719" s="70"/>
      <c r="G719" s="30"/>
      <c r="H719" s="77"/>
      <c r="I719" s="77"/>
      <c r="J719" s="58"/>
      <c r="K719" s="58"/>
      <c r="L719" s="3"/>
    </row>
    <row r="720" spans="1:12" s="71" customFormat="1">
      <c r="A720" s="87"/>
      <c r="B720" s="30"/>
      <c r="C720" s="70"/>
      <c r="G720" s="30"/>
      <c r="H720" s="77"/>
      <c r="I720" s="77"/>
      <c r="J720" s="58"/>
      <c r="K720" s="58"/>
      <c r="L720" s="3"/>
    </row>
    <row r="721" spans="1:12" s="71" customFormat="1">
      <c r="A721" s="87"/>
      <c r="B721" s="30"/>
      <c r="C721" s="70"/>
      <c r="G721" s="30"/>
      <c r="H721" s="77"/>
      <c r="I721" s="77"/>
      <c r="J721" s="58"/>
      <c r="K721" s="58"/>
      <c r="L721" s="3"/>
    </row>
    <row r="722" spans="1:12" s="71" customFormat="1">
      <c r="A722" s="87"/>
      <c r="B722" s="30"/>
      <c r="C722" s="70"/>
      <c r="G722" s="30"/>
      <c r="H722" s="77"/>
      <c r="I722" s="77"/>
      <c r="J722" s="58"/>
      <c r="K722" s="58"/>
      <c r="L722" s="3"/>
    </row>
    <row r="723" spans="1:12" s="71" customFormat="1">
      <c r="A723" s="87"/>
      <c r="B723" s="30"/>
      <c r="C723" s="70"/>
      <c r="G723" s="30"/>
      <c r="H723" s="77"/>
      <c r="I723" s="77"/>
      <c r="J723" s="58"/>
      <c r="K723" s="58"/>
      <c r="L723" s="3"/>
    </row>
    <row r="724" spans="1:12" s="71" customFormat="1">
      <c r="A724" s="87"/>
      <c r="B724" s="30"/>
      <c r="C724" s="70"/>
      <c r="G724" s="30"/>
      <c r="H724" s="77"/>
      <c r="I724" s="77"/>
      <c r="J724" s="58"/>
      <c r="K724" s="58"/>
      <c r="L724" s="3"/>
    </row>
    <row r="725" spans="1:12" s="71" customFormat="1">
      <c r="A725" s="87"/>
      <c r="B725" s="30"/>
      <c r="C725" s="70"/>
      <c r="G725" s="30"/>
      <c r="H725" s="77"/>
      <c r="I725" s="77"/>
      <c r="J725" s="58"/>
      <c r="K725" s="58"/>
      <c r="L725" s="3"/>
    </row>
    <row r="726" spans="1:12" s="71" customFormat="1">
      <c r="A726" s="87"/>
      <c r="B726" s="30"/>
      <c r="C726" s="70"/>
      <c r="G726" s="30"/>
      <c r="H726" s="77"/>
      <c r="I726" s="77"/>
      <c r="J726" s="58"/>
      <c r="K726" s="58"/>
      <c r="L726" s="3"/>
    </row>
    <row r="727" spans="1:12" s="71" customFormat="1">
      <c r="A727" s="87"/>
      <c r="B727" s="30"/>
      <c r="C727" s="70"/>
      <c r="G727" s="30"/>
      <c r="H727" s="77"/>
      <c r="I727" s="77"/>
      <c r="J727" s="58"/>
      <c r="K727" s="58"/>
      <c r="L727" s="3"/>
    </row>
    <row r="728" spans="1:12" s="71" customFormat="1">
      <c r="A728" s="87"/>
      <c r="B728" s="30"/>
      <c r="C728" s="70"/>
      <c r="G728" s="30"/>
      <c r="H728" s="77"/>
      <c r="I728" s="77"/>
      <c r="J728" s="58"/>
      <c r="K728" s="58"/>
      <c r="L728" s="3"/>
    </row>
    <row r="729" spans="1:12" s="71" customFormat="1">
      <c r="A729" s="87"/>
      <c r="B729" s="30"/>
      <c r="C729" s="70"/>
      <c r="G729" s="30"/>
      <c r="H729" s="77"/>
      <c r="I729" s="77"/>
      <c r="J729" s="58"/>
      <c r="K729" s="58"/>
      <c r="L729" s="3"/>
    </row>
    <row r="730" spans="1:12" s="71" customFormat="1">
      <c r="A730" s="87"/>
      <c r="B730" s="30"/>
      <c r="C730" s="70"/>
      <c r="G730" s="30"/>
      <c r="H730" s="77"/>
      <c r="I730" s="77"/>
      <c r="J730" s="58"/>
      <c r="K730" s="58"/>
      <c r="L730" s="3"/>
    </row>
    <row r="731" spans="1:12" s="71" customFormat="1">
      <c r="A731" s="87"/>
      <c r="B731" s="30"/>
      <c r="C731" s="70"/>
      <c r="G731" s="30"/>
      <c r="H731" s="77"/>
      <c r="I731" s="77"/>
      <c r="J731" s="58"/>
      <c r="K731" s="58"/>
      <c r="L731" s="3"/>
    </row>
    <row r="732" spans="1:12" s="71" customFormat="1">
      <c r="A732" s="87"/>
      <c r="B732" s="30"/>
      <c r="C732" s="70"/>
      <c r="G732" s="30"/>
      <c r="H732" s="77"/>
      <c r="I732" s="77"/>
      <c r="J732" s="58"/>
      <c r="K732" s="58"/>
      <c r="L732" s="3"/>
    </row>
    <row r="733" spans="1:12" s="71" customFormat="1">
      <c r="A733" s="87"/>
      <c r="B733" s="30"/>
      <c r="C733" s="70"/>
      <c r="G733" s="30"/>
      <c r="H733" s="77"/>
      <c r="I733" s="77"/>
      <c r="J733" s="58"/>
      <c r="K733" s="58"/>
      <c r="L733" s="3"/>
    </row>
    <row r="734" spans="1:12" s="71" customFormat="1">
      <c r="A734" s="87"/>
      <c r="B734" s="30"/>
      <c r="C734" s="70"/>
      <c r="G734" s="30"/>
      <c r="H734" s="77"/>
      <c r="I734" s="77"/>
      <c r="J734" s="58"/>
      <c r="K734" s="58"/>
      <c r="L734" s="3"/>
    </row>
    <row r="735" spans="1:12" s="71" customFormat="1">
      <c r="A735" s="87"/>
      <c r="B735" s="30"/>
      <c r="C735" s="70"/>
      <c r="G735" s="30"/>
      <c r="H735" s="77"/>
      <c r="I735" s="77"/>
      <c r="J735" s="58"/>
      <c r="K735" s="58"/>
      <c r="L735" s="3"/>
    </row>
    <row r="736" spans="1:12" s="71" customFormat="1">
      <c r="A736" s="87"/>
      <c r="B736" s="30"/>
      <c r="C736" s="70"/>
      <c r="G736" s="30"/>
      <c r="H736" s="77"/>
      <c r="I736" s="77"/>
      <c r="J736" s="58"/>
      <c r="K736" s="58"/>
      <c r="L736" s="3"/>
    </row>
    <row r="737" spans="1:12" s="71" customFormat="1">
      <c r="A737" s="87"/>
      <c r="B737" s="30"/>
      <c r="C737" s="70"/>
      <c r="G737" s="30"/>
      <c r="H737" s="77"/>
      <c r="I737" s="77"/>
      <c r="J737" s="58"/>
      <c r="K737" s="58"/>
      <c r="L737" s="3"/>
    </row>
    <row r="738" spans="1:12" s="71" customFormat="1">
      <c r="A738" s="87"/>
      <c r="B738" s="30"/>
      <c r="C738" s="70"/>
      <c r="G738" s="30"/>
      <c r="H738" s="77"/>
      <c r="I738" s="77"/>
      <c r="J738" s="58"/>
      <c r="K738" s="58"/>
      <c r="L738" s="3"/>
    </row>
    <row r="739" spans="1:12" s="71" customFormat="1">
      <c r="A739" s="87"/>
      <c r="B739" s="30"/>
      <c r="C739" s="70"/>
      <c r="G739" s="30"/>
      <c r="H739" s="77"/>
      <c r="I739" s="77"/>
      <c r="J739" s="58"/>
      <c r="K739" s="58"/>
      <c r="L739" s="3"/>
    </row>
    <row r="740" spans="1:12" s="71" customFormat="1">
      <c r="A740" s="87"/>
      <c r="B740" s="30"/>
      <c r="C740" s="70"/>
      <c r="G740" s="30"/>
      <c r="H740" s="77"/>
      <c r="I740" s="77"/>
      <c r="J740" s="58"/>
      <c r="K740" s="58"/>
      <c r="L740" s="3"/>
    </row>
    <row r="741" spans="1:12" s="71" customFormat="1">
      <c r="A741" s="87"/>
      <c r="B741" s="30"/>
      <c r="C741" s="70"/>
      <c r="G741" s="30"/>
      <c r="H741" s="77"/>
      <c r="I741" s="77"/>
      <c r="J741" s="58"/>
      <c r="K741" s="58"/>
      <c r="L741" s="3"/>
    </row>
    <row r="742" spans="1:12" s="71" customFormat="1">
      <c r="A742" s="87"/>
      <c r="B742" s="30"/>
      <c r="C742" s="70"/>
      <c r="G742" s="30"/>
      <c r="H742" s="77"/>
      <c r="I742" s="77"/>
      <c r="J742" s="58"/>
      <c r="K742" s="58"/>
      <c r="L742" s="3"/>
    </row>
    <row r="743" spans="1:12" s="71" customFormat="1">
      <c r="A743" s="87"/>
      <c r="B743" s="30"/>
      <c r="C743" s="70"/>
      <c r="G743" s="30"/>
      <c r="H743" s="77"/>
      <c r="I743" s="77"/>
      <c r="J743" s="58"/>
      <c r="K743" s="58"/>
      <c r="L743" s="3"/>
    </row>
    <row r="744" spans="1:12" s="71" customFormat="1">
      <c r="A744" s="87"/>
      <c r="B744" s="30"/>
      <c r="C744" s="70"/>
      <c r="G744" s="30"/>
      <c r="H744" s="77"/>
      <c r="I744" s="77"/>
      <c r="J744" s="58"/>
      <c r="K744" s="58"/>
      <c r="L744" s="3"/>
    </row>
    <row r="745" spans="1:12" s="71" customFormat="1">
      <c r="A745" s="87"/>
      <c r="B745" s="30"/>
      <c r="C745" s="70"/>
      <c r="G745" s="30"/>
      <c r="H745" s="77"/>
      <c r="I745" s="77"/>
      <c r="J745" s="58"/>
      <c r="K745" s="58"/>
      <c r="L745" s="3"/>
    </row>
    <row r="746" spans="1:12" s="71" customFormat="1">
      <c r="A746" s="87"/>
      <c r="B746" s="30"/>
      <c r="C746" s="70"/>
      <c r="G746" s="30"/>
      <c r="H746" s="77"/>
      <c r="I746" s="77"/>
      <c r="J746" s="58"/>
      <c r="K746" s="58"/>
      <c r="L746" s="3"/>
    </row>
    <row r="747" spans="1:12" s="71" customFormat="1">
      <c r="A747" s="87"/>
      <c r="B747" s="30"/>
      <c r="C747" s="70"/>
      <c r="G747" s="30"/>
      <c r="H747" s="77"/>
      <c r="I747" s="77"/>
      <c r="J747" s="58"/>
      <c r="K747" s="58"/>
      <c r="L747" s="3"/>
    </row>
    <row r="748" spans="1:12" s="71" customFormat="1">
      <c r="A748" s="87"/>
      <c r="B748" s="30"/>
      <c r="C748" s="70"/>
      <c r="G748" s="30"/>
      <c r="H748" s="77"/>
      <c r="I748" s="77"/>
      <c r="J748" s="58"/>
      <c r="K748" s="58"/>
      <c r="L748" s="3"/>
    </row>
    <row r="749" spans="1:12" s="71" customFormat="1">
      <c r="A749" s="87"/>
      <c r="B749" s="30"/>
      <c r="C749" s="70"/>
      <c r="G749" s="30"/>
      <c r="H749" s="77"/>
      <c r="I749" s="77"/>
      <c r="J749" s="58"/>
      <c r="K749" s="58"/>
      <c r="L749" s="3"/>
    </row>
    <row r="750" spans="1:12" s="71" customFormat="1">
      <c r="A750" s="87"/>
      <c r="B750" s="30"/>
      <c r="C750" s="70"/>
      <c r="G750" s="30"/>
      <c r="H750" s="77"/>
      <c r="I750" s="77"/>
      <c r="J750" s="58"/>
      <c r="K750" s="58"/>
      <c r="L750" s="3"/>
    </row>
    <row r="751" spans="1:12" s="71" customFormat="1">
      <c r="A751" s="87"/>
      <c r="B751" s="30"/>
      <c r="C751" s="70"/>
      <c r="G751" s="30"/>
      <c r="H751" s="77"/>
      <c r="I751" s="77"/>
      <c r="J751" s="58"/>
      <c r="K751" s="58"/>
      <c r="L751" s="3"/>
    </row>
    <row r="752" spans="1:12" s="71" customFormat="1">
      <c r="A752" s="87"/>
      <c r="B752" s="30"/>
      <c r="C752" s="70"/>
      <c r="G752" s="30"/>
      <c r="H752" s="77"/>
      <c r="I752" s="77"/>
      <c r="J752" s="58"/>
      <c r="K752" s="58"/>
      <c r="L752" s="3"/>
    </row>
    <row r="753" spans="1:12" s="71" customFormat="1">
      <c r="A753" s="87"/>
      <c r="B753" s="30"/>
      <c r="C753" s="70"/>
      <c r="G753" s="30"/>
      <c r="H753" s="77"/>
      <c r="I753" s="77"/>
      <c r="J753" s="58"/>
      <c r="K753" s="58"/>
      <c r="L753" s="3"/>
    </row>
    <row r="754" spans="1:12" s="71" customFormat="1">
      <c r="A754" s="87"/>
      <c r="B754" s="30"/>
      <c r="C754" s="70"/>
      <c r="G754" s="30"/>
      <c r="H754" s="77"/>
      <c r="I754" s="77"/>
      <c r="J754" s="58"/>
      <c r="K754" s="58"/>
      <c r="L754" s="3"/>
    </row>
    <row r="755" spans="1:12" s="71" customFormat="1">
      <c r="A755" s="87"/>
      <c r="B755" s="30"/>
      <c r="C755" s="70"/>
      <c r="G755" s="30"/>
      <c r="H755" s="77"/>
      <c r="I755" s="77"/>
      <c r="J755" s="58"/>
      <c r="K755" s="58"/>
      <c r="L755" s="3"/>
    </row>
    <row r="756" spans="1:12" s="71" customFormat="1">
      <c r="A756" s="87"/>
      <c r="B756" s="30"/>
      <c r="C756" s="70"/>
      <c r="G756" s="30"/>
      <c r="H756" s="77"/>
      <c r="I756" s="77"/>
      <c r="J756" s="58"/>
      <c r="K756" s="58"/>
      <c r="L756" s="3"/>
    </row>
    <row r="757" spans="1:12" s="71" customFormat="1">
      <c r="A757" s="87"/>
      <c r="B757" s="30"/>
      <c r="C757" s="70"/>
      <c r="G757" s="30"/>
      <c r="H757" s="77"/>
      <c r="I757" s="77"/>
      <c r="J757" s="58"/>
      <c r="K757" s="58"/>
      <c r="L757" s="3"/>
    </row>
    <row r="758" spans="1:12" s="71" customFormat="1">
      <c r="A758" s="87"/>
      <c r="B758" s="30"/>
      <c r="C758" s="70"/>
      <c r="G758" s="30"/>
      <c r="H758" s="77"/>
      <c r="I758" s="77"/>
      <c r="J758" s="58"/>
      <c r="K758" s="58"/>
      <c r="L758" s="3"/>
    </row>
    <row r="759" spans="1:12" s="71" customFormat="1">
      <c r="A759" s="87"/>
      <c r="B759" s="30"/>
      <c r="C759" s="70"/>
      <c r="G759" s="30"/>
      <c r="H759" s="77"/>
      <c r="I759" s="77"/>
      <c r="J759" s="58"/>
      <c r="K759" s="58"/>
      <c r="L759" s="3"/>
    </row>
    <row r="760" spans="1:12" s="71" customFormat="1">
      <c r="A760" s="87"/>
      <c r="B760" s="30"/>
      <c r="C760" s="70"/>
      <c r="G760" s="30"/>
      <c r="H760" s="77"/>
      <c r="I760" s="77"/>
      <c r="J760" s="58"/>
      <c r="K760" s="58"/>
      <c r="L760" s="3"/>
    </row>
    <row r="761" spans="1:12" s="71" customFormat="1">
      <c r="A761" s="87"/>
      <c r="B761" s="30"/>
      <c r="C761" s="70"/>
      <c r="G761" s="30"/>
      <c r="H761" s="77"/>
      <c r="I761" s="77"/>
      <c r="J761" s="58"/>
      <c r="K761" s="58"/>
      <c r="L761" s="3"/>
    </row>
    <row r="762" spans="1:12" s="71" customFormat="1">
      <c r="A762" s="87"/>
      <c r="B762" s="30"/>
      <c r="C762" s="70"/>
      <c r="G762" s="30"/>
      <c r="H762" s="77"/>
      <c r="I762" s="77"/>
      <c r="J762" s="58"/>
      <c r="K762" s="58"/>
      <c r="L762" s="3"/>
    </row>
    <row r="763" spans="1:12" s="71" customFormat="1">
      <c r="A763" s="87"/>
      <c r="B763" s="30"/>
      <c r="C763" s="70"/>
      <c r="G763" s="30"/>
      <c r="H763" s="77"/>
      <c r="I763" s="77"/>
      <c r="J763" s="58"/>
      <c r="K763" s="58"/>
      <c r="L763" s="3"/>
    </row>
    <row r="764" spans="1:12" s="71" customFormat="1">
      <c r="A764" s="87"/>
      <c r="B764" s="30"/>
      <c r="C764" s="70"/>
      <c r="G764" s="30"/>
      <c r="H764" s="77"/>
      <c r="I764" s="77"/>
      <c r="J764" s="58"/>
      <c r="K764" s="58"/>
      <c r="L764" s="3"/>
    </row>
    <row r="765" spans="1:12" s="71" customFormat="1">
      <c r="A765" s="87"/>
      <c r="B765" s="30"/>
      <c r="C765" s="70"/>
      <c r="G765" s="30"/>
      <c r="H765" s="77"/>
      <c r="I765" s="77"/>
      <c r="J765" s="58"/>
      <c r="K765" s="58"/>
      <c r="L765" s="3"/>
    </row>
    <row r="766" spans="1:12" s="71" customFormat="1">
      <c r="A766" s="87"/>
      <c r="B766" s="30"/>
      <c r="C766" s="70"/>
      <c r="G766" s="30"/>
      <c r="H766" s="77"/>
      <c r="I766" s="77"/>
      <c r="J766" s="58"/>
      <c r="K766" s="58"/>
      <c r="L766" s="3"/>
    </row>
    <row r="767" spans="1:12" s="71" customFormat="1">
      <c r="A767" s="87"/>
      <c r="B767" s="30"/>
      <c r="C767" s="70"/>
      <c r="G767" s="30"/>
      <c r="H767" s="77"/>
      <c r="I767" s="77"/>
      <c r="J767" s="58"/>
      <c r="K767" s="58"/>
      <c r="L767" s="3"/>
    </row>
    <row r="768" spans="1:12" s="71" customFormat="1">
      <c r="A768" s="87"/>
      <c r="B768" s="30"/>
      <c r="C768" s="70"/>
      <c r="G768" s="30"/>
      <c r="H768" s="77"/>
      <c r="I768" s="77"/>
      <c r="J768" s="58"/>
      <c r="K768" s="58"/>
      <c r="L768" s="3"/>
    </row>
    <row r="769" spans="1:12" s="71" customFormat="1">
      <c r="A769" s="87"/>
      <c r="B769" s="30"/>
      <c r="C769" s="70"/>
      <c r="G769" s="30"/>
      <c r="H769" s="77"/>
      <c r="I769" s="77"/>
      <c r="J769" s="58"/>
      <c r="K769" s="58"/>
      <c r="L769" s="3"/>
    </row>
    <row r="770" spans="1:12" s="71" customFormat="1">
      <c r="A770" s="87"/>
      <c r="B770" s="30"/>
      <c r="C770" s="70"/>
      <c r="G770" s="30"/>
      <c r="H770" s="77"/>
      <c r="I770" s="77"/>
      <c r="J770" s="58"/>
      <c r="K770" s="58"/>
      <c r="L770" s="3"/>
    </row>
    <row r="771" spans="1:12" s="71" customFormat="1">
      <c r="A771" s="87"/>
      <c r="B771" s="30"/>
      <c r="C771" s="70"/>
      <c r="G771" s="30"/>
      <c r="H771" s="77"/>
      <c r="I771" s="77"/>
      <c r="J771" s="58"/>
      <c r="K771" s="58"/>
      <c r="L771" s="3"/>
    </row>
    <row r="772" spans="1:12" s="71" customFormat="1">
      <c r="A772" s="87"/>
      <c r="B772" s="30"/>
      <c r="C772" s="70"/>
      <c r="G772" s="30"/>
      <c r="H772" s="77"/>
      <c r="I772" s="77"/>
      <c r="J772" s="58"/>
      <c r="K772" s="58"/>
      <c r="L772" s="3"/>
    </row>
    <row r="773" spans="1:12" s="71" customFormat="1">
      <c r="A773" s="87"/>
      <c r="B773" s="30"/>
      <c r="C773" s="70"/>
      <c r="G773" s="30"/>
      <c r="H773" s="77"/>
      <c r="I773" s="77"/>
      <c r="J773" s="58"/>
      <c r="K773" s="58"/>
      <c r="L773" s="3"/>
    </row>
    <row r="774" spans="1:12" s="71" customFormat="1">
      <c r="A774" s="87"/>
      <c r="B774" s="30"/>
      <c r="C774" s="70"/>
      <c r="G774" s="30"/>
      <c r="H774" s="77"/>
      <c r="I774" s="77"/>
      <c r="J774" s="58"/>
      <c r="K774" s="58"/>
      <c r="L774" s="3"/>
    </row>
    <row r="775" spans="1:12" s="71" customFormat="1">
      <c r="A775" s="87"/>
      <c r="B775" s="30"/>
      <c r="C775" s="70"/>
      <c r="G775" s="30"/>
      <c r="H775" s="77"/>
      <c r="I775" s="77"/>
      <c r="J775" s="58"/>
      <c r="K775" s="58"/>
      <c r="L775" s="3"/>
    </row>
    <row r="776" spans="1:12" s="71" customFormat="1">
      <c r="A776" s="87"/>
      <c r="B776" s="30"/>
      <c r="C776" s="70"/>
      <c r="G776" s="30"/>
      <c r="H776" s="77"/>
      <c r="I776" s="77"/>
      <c r="J776" s="58"/>
      <c r="K776" s="58"/>
      <c r="L776" s="3"/>
    </row>
    <row r="777" spans="1:12" s="71" customFormat="1">
      <c r="A777" s="87"/>
      <c r="B777" s="30"/>
      <c r="C777" s="70"/>
      <c r="G777" s="30"/>
      <c r="H777" s="77"/>
      <c r="I777" s="77"/>
      <c r="J777" s="58"/>
      <c r="K777" s="58"/>
      <c r="L777" s="3"/>
    </row>
    <row r="778" spans="1:12" s="71" customFormat="1">
      <c r="A778" s="87"/>
      <c r="B778" s="30"/>
      <c r="C778" s="70"/>
      <c r="G778" s="30"/>
      <c r="H778" s="77"/>
      <c r="I778" s="77"/>
      <c r="J778" s="58"/>
      <c r="K778" s="58"/>
      <c r="L778" s="3"/>
    </row>
    <row r="779" spans="1:12" s="71" customFormat="1">
      <c r="A779" s="87"/>
      <c r="B779" s="30"/>
      <c r="C779" s="70"/>
      <c r="G779" s="30"/>
      <c r="H779" s="77"/>
      <c r="I779" s="77"/>
      <c r="J779" s="58"/>
      <c r="K779" s="58"/>
      <c r="L779" s="3"/>
    </row>
    <row r="780" spans="1:12" s="71" customFormat="1">
      <c r="A780" s="87"/>
      <c r="B780" s="30"/>
      <c r="C780" s="70"/>
      <c r="G780" s="30"/>
      <c r="H780" s="77"/>
      <c r="I780" s="77"/>
      <c r="J780" s="58"/>
      <c r="K780" s="58"/>
      <c r="L780" s="3"/>
    </row>
    <row r="781" spans="1:12" s="71" customFormat="1">
      <c r="A781" s="87"/>
      <c r="B781" s="30"/>
      <c r="C781" s="70"/>
      <c r="G781" s="30"/>
      <c r="H781" s="77"/>
      <c r="I781" s="77"/>
      <c r="J781" s="58"/>
      <c r="K781" s="58"/>
      <c r="L781" s="3"/>
    </row>
    <row r="782" spans="1:12" s="71" customFormat="1">
      <c r="A782" s="87"/>
      <c r="B782" s="30"/>
      <c r="C782" s="70"/>
      <c r="G782" s="30"/>
      <c r="H782" s="77"/>
      <c r="I782" s="77"/>
      <c r="J782" s="58"/>
      <c r="K782" s="58"/>
      <c r="L782" s="3"/>
    </row>
    <row r="783" spans="1:12" s="71" customFormat="1">
      <c r="A783" s="87"/>
      <c r="B783" s="30"/>
      <c r="C783" s="70"/>
      <c r="G783" s="30"/>
      <c r="H783" s="77"/>
      <c r="I783" s="77"/>
      <c r="J783" s="58"/>
      <c r="K783" s="58"/>
      <c r="L783" s="3"/>
    </row>
    <row r="784" spans="1:12" s="71" customFormat="1">
      <c r="A784" s="87"/>
      <c r="B784" s="30"/>
      <c r="C784" s="70"/>
      <c r="G784" s="30"/>
      <c r="H784" s="77"/>
      <c r="I784" s="77"/>
      <c r="J784" s="58"/>
      <c r="K784" s="58"/>
      <c r="L784" s="3"/>
    </row>
    <row r="785" spans="1:12" s="71" customFormat="1">
      <c r="A785" s="87"/>
      <c r="B785" s="30"/>
      <c r="C785" s="70"/>
      <c r="G785" s="30"/>
      <c r="H785" s="77"/>
      <c r="I785" s="77"/>
      <c r="J785" s="58"/>
      <c r="K785" s="58"/>
      <c r="L785" s="3"/>
    </row>
    <row r="786" spans="1:12" s="71" customFormat="1">
      <c r="A786" s="87"/>
      <c r="B786" s="30"/>
      <c r="C786" s="70"/>
      <c r="G786" s="30"/>
      <c r="H786" s="77"/>
      <c r="I786" s="77"/>
      <c r="J786" s="58"/>
      <c r="K786" s="58"/>
      <c r="L786" s="3"/>
    </row>
    <row r="787" spans="1:12" s="71" customFormat="1">
      <c r="A787" s="87"/>
      <c r="B787" s="30"/>
      <c r="C787" s="70"/>
      <c r="G787" s="30"/>
      <c r="H787" s="77"/>
      <c r="I787" s="77"/>
      <c r="J787" s="58"/>
      <c r="K787" s="58"/>
      <c r="L787" s="3"/>
    </row>
    <row r="788" spans="1:12" s="71" customFormat="1">
      <c r="A788" s="87"/>
      <c r="B788" s="30"/>
      <c r="C788" s="70"/>
      <c r="G788" s="30"/>
      <c r="H788" s="77"/>
      <c r="I788" s="77"/>
      <c r="J788" s="58"/>
      <c r="K788" s="58"/>
      <c r="L788" s="3"/>
    </row>
    <row r="789" spans="1:12" s="71" customFormat="1">
      <c r="A789" s="87"/>
      <c r="B789" s="30"/>
      <c r="C789" s="70"/>
      <c r="G789" s="30"/>
      <c r="H789" s="77"/>
      <c r="I789" s="77"/>
      <c r="J789" s="58"/>
      <c r="K789" s="58"/>
      <c r="L789" s="3"/>
    </row>
    <row r="790" spans="1:12" s="71" customFormat="1">
      <c r="A790" s="87"/>
      <c r="B790" s="30"/>
      <c r="C790" s="70"/>
      <c r="G790" s="30"/>
      <c r="H790" s="77"/>
      <c r="I790" s="77"/>
      <c r="J790" s="58"/>
      <c r="K790" s="58"/>
      <c r="L790" s="3"/>
    </row>
    <row r="791" spans="1:12" s="71" customFormat="1">
      <c r="A791" s="87"/>
      <c r="B791" s="30"/>
      <c r="C791" s="70"/>
      <c r="G791" s="30"/>
      <c r="H791" s="77"/>
      <c r="I791" s="77"/>
      <c r="J791" s="58"/>
      <c r="K791" s="58"/>
      <c r="L791" s="3"/>
    </row>
    <row r="792" spans="1:12" s="71" customFormat="1">
      <c r="A792" s="87"/>
      <c r="B792" s="30"/>
      <c r="C792" s="70"/>
      <c r="G792" s="30"/>
      <c r="H792" s="77"/>
      <c r="I792" s="77"/>
      <c r="J792" s="58"/>
      <c r="K792" s="58"/>
      <c r="L792" s="3"/>
    </row>
    <row r="793" spans="1:12" s="71" customFormat="1">
      <c r="A793" s="87"/>
      <c r="B793" s="30"/>
      <c r="C793" s="70"/>
      <c r="G793" s="30"/>
      <c r="H793" s="77"/>
      <c r="I793" s="77"/>
      <c r="J793" s="58"/>
      <c r="K793" s="58"/>
      <c r="L793" s="3"/>
    </row>
    <row r="794" spans="1:12" s="71" customFormat="1">
      <c r="A794" s="87"/>
      <c r="B794" s="30"/>
      <c r="C794" s="70"/>
      <c r="G794" s="30"/>
      <c r="H794" s="77"/>
      <c r="I794" s="77"/>
      <c r="J794" s="58"/>
      <c r="K794" s="58"/>
      <c r="L794" s="3"/>
    </row>
    <row r="795" spans="1:12" s="71" customFormat="1">
      <c r="A795" s="87"/>
      <c r="B795" s="30"/>
      <c r="C795" s="70"/>
      <c r="G795" s="30"/>
      <c r="H795" s="77"/>
      <c r="I795" s="77"/>
      <c r="J795" s="58"/>
      <c r="K795" s="58"/>
      <c r="L795" s="3"/>
    </row>
    <row r="796" spans="1:12" s="71" customFormat="1">
      <c r="A796" s="87"/>
      <c r="B796" s="30"/>
      <c r="C796" s="70"/>
      <c r="G796" s="30"/>
      <c r="H796" s="77"/>
      <c r="I796" s="77"/>
      <c r="J796" s="58"/>
      <c r="K796" s="58"/>
      <c r="L796" s="3"/>
    </row>
    <row r="797" spans="1:12" s="71" customFormat="1">
      <c r="A797" s="87"/>
      <c r="B797" s="30"/>
      <c r="C797" s="70"/>
      <c r="G797" s="30"/>
      <c r="H797" s="77"/>
      <c r="I797" s="77"/>
      <c r="J797" s="58"/>
      <c r="K797" s="58"/>
      <c r="L797" s="3"/>
    </row>
    <row r="798" spans="1:12" s="71" customFormat="1">
      <c r="A798" s="87"/>
      <c r="B798" s="30"/>
      <c r="C798" s="70"/>
      <c r="G798" s="30"/>
      <c r="H798" s="77"/>
      <c r="I798" s="77"/>
      <c r="J798" s="58"/>
      <c r="K798" s="58"/>
      <c r="L798" s="3"/>
    </row>
    <row r="799" spans="1:12" s="71" customFormat="1">
      <c r="A799" s="87"/>
      <c r="B799" s="30"/>
      <c r="C799" s="70"/>
      <c r="G799" s="30"/>
      <c r="H799" s="77"/>
      <c r="I799" s="77"/>
      <c r="J799" s="58"/>
      <c r="K799" s="58"/>
      <c r="L799" s="3"/>
    </row>
    <row r="800" spans="1:12" s="71" customFormat="1">
      <c r="A800" s="87"/>
      <c r="B800" s="30"/>
      <c r="C800" s="70"/>
      <c r="G800" s="30"/>
      <c r="H800" s="77"/>
      <c r="I800" s="77"/>
      <c r="J800" s="58"/>
      <c r="K800" s="58"/>
      <c r="L800" s="3"/>
    </row>
    <row r="801" spans="1:12" s="71" customFormat="1">
      <c r="A801" s="87"/>
      <c r="B801" s="30"/>
      <c r="C801" s="70"/>
      <c r="G801" s="30"/>
      <c r="H801" s="77"/>
      <c r="I801" s="77"/>
      <c r="J801" s="58"/>
      <c r="K801" s="58"/>
      <c r="L801" s="3"/>
    </row>
    <row r="802" spans="1:12" s="71" customFormat="1">
      <c r="A802" s="87"/>
      <c r="B802" s="30"/>
      <c r="C802" s="70"/>
      <c r="G802" s="30"/>
      <c r="H802" s="77"/>
      <c r="I802" s="77"/>
      <c r="J802" s="58"/>
      <c r="K802" s="58"/>
      <c r="L802" s="3"/>
    </row>
    <row r="803" spans="1:12" s="71" customFormat="1">
      <c r="A803" s="87"/>
      <c r="B803" s="30"/>
      <c r="C803" s="70"/>
      <c r="G803" s="30"/>
      <c r="H803" s="77"/>
      <c r="I803" s="77"/>
      <c r="J803" s="58"/>
      <c r="K803" s="58"/>
      <c r="L803" s="3"/>
    </row>
    <row r="804" spans="1:12" s="71" customFormat="1">
      <c r="A804" s="87"/>
      <c r="B804" s="30"/>
      <c r="C804" s="70"/>
      <c r="G804" s="30"/>
      <c r="H804" s="77"/>
      <c r="I804" s="77"/>
      <c r="J804" s="58"/>
      <c r="K804" s="58"/>
      <c r="L804" s="3"/>
    </row>
    <row r="805" spans="1:12" s="71" customFormat="1">
      <c r="A805" s="87"/>
      <c r="B805" s="30"/>
      <c r="C805" s="70"/>
      <c r="G805" s="30"/>
      <c r="H805" s="77"/>
      <c r="I805" s="77"/>
      <c r="J805" s="58"/>
      <c r="K805" s="58"/>
      <c r="L805" s="3"/>
    </row>
    <row r="806" spans="1:12" s="71" customFormat="1">
      <c r="A806" s="87"/>
      <c r="B806" s="30"/>
      <c r="C806" s="70"/>
      <c r="G806" s="30"/>
      <c r="H806" s="77"/>
      <c r="I806" s="77"/>
      <c r="J806" s="58"/>
      <c r="K806" s="58"/>
      <c r="L806" s="3"/>
    </row>
    <row r="807" spans="1:12" s="71" customFormat="1">
      <c r="A807" s="87"/>
      <c r="B807" s="30"/>
      <c r="C807" s="70"/>
      <c r="G807" s="30"/>
      <c r="H807" s="77"/>
      <c r="I807" s="77"/>
      <c r="J807" s="58"/>
      <c r="K807" s="58"/>
      <c r="L807" s="3"/>
    </row>
    <row r="808" spans="1:12" s="71" customFormat="1">
      <c r="A808" s="87"/>
      <c r="B808" s="30"/>
      <c r="C808" s="70"/>
      <c r="G808" s="30"/>
      <c r="H808" s="77"/>
      <c r="I808" s="77"/>
      <c r="J808" s="58"/>
      <c r="K808" s="58"/>
      <c r="L808" s="3"/>
    </row>
    <row r="809" spans="1:12" s="71" customFormat="1">
      <c r="A809" s="87"/>
      <c r="B809" s="30"/>
      <c r="C809" s="70"/>
      <c r="G809" s="30"/>
      <c r="H809" s="77"/>
      <c r="I809" s="77"/>
      <c r="J809" s="58"/>
      <c r="K809" s="58"/>
      <c r="L809" s="3"/>
    </row>
    <row r="810" spans="1:12" s="71" customFormat="1">
      <c r="A810" s="87"/>
      <c r="B810" s="30"/>
      <c r="C810" s="70"/>
      <c r="G810" s="30"/>
      <c r="H810" s="77"/>
      <c r="I810" s="77"/>
      <c r="J810" s="58"/>
      <c r="K810" s="58"/>
      <c r="L810" s="3"/>
    </row>
    <row r="811" spans="1:12" s="71" customFormat="1">
      <c r="A811" s="87"/>
      <c r="B811" s="30"/>
      <c r="C811" s="70"/>
      <c r="G811" s="30"/>
      <c r="H811" s="77"/>
      <c r="I811" s="77"/>
      <c r="J811" s="58"/>
      <c r="K811" s="58"/>
      <c r="L811" s="3"/>
    </row>
    <row r="812" spans="1:12" s="71" customFormat="1">
      <c r="A812" s="87"/>
      <c r="B812" s="30"/>
      <c r="C812" s="70"/>
      <c r="G812" s="30"/>
      <c r="H812" s="77"/>
      <c r="I812" s="77"/>
      <c r="J812" s="58"/>
      <c r="K812" s="58"/>
      <c r="L812" s="3"/>
    </row>
    <row r="813" spans="1:12" s="71" customFormat="1">
      <c r="A813" s="87"/>
      <c r="B813" s="30"/>
      <c r="C813" s="70"/>
      <c r="G813" s="30"/>
      <c r="H813" s="77"/>
      <c r="I813" s="77"/>
      <c r="J813" s="58"/>
      <c r="K813" s="58"/>
      <c r="L813" s="3"/>
    </row>
    <row r="814" spans="1:12" s="71" customFormat="1">
      <c r="A814" s="87"/>
      <c r="B814" s="30"/>
      <c r="C814" s="70"/>
      <c r="G814" s="30"/>
      <c r="H814" s="77"/>
      <c r="I814" s="77"/>
      <c r="J814" s="58"/>
      <c r="K814" s="58"/>
      <c r="L814" s="3"/>
    </row>
    <row r="815" spans="1:12" s="71" customFormat="1">
      <c r="A815" s="87"/>
      <c r="B815" s="30"/>
      <c r="C815" s="70"/>
      <c r="G815" s="30"/>
      <c r="H815" s="77"/>
      <c r="I815" s="77"/>
      <c r="J815" s="58"/>
      <c r="K815" s="58"/>
      <c r="L815" s="3"/>
    </row>
    <row r="816" spans="1:12" s="71" customFormat="1">
      <c r="A816" s="87"/>
      <c r="B816" s="30"/>
      <c r="C816" s="70"/>
      <c r="G816" s="30"/>
      <c r="H816" s="77"/>
      <c r="I816" s="77"/>
      <c r="J816" s="58"/>
      <c r="K816" s="58"/>
      <c r="L816" s="3"/>
    </row>
    <row r="817" spans="1:12" s="71" customFormat="1">
      <c r="A817" s="87"/>
      <c r="B817" s="30"/>
      <c r="C817" s="70"/>
      <c r="G817" s="30"/>
      <c r="H817" s="77"/>
      <c r="I817" s="77"/>
      <c r="J817" s="58"/>
      <c r="K817" s="58"/>
      <c r="L817" s="3"/>
    </row>
    <row r="818" spans="1:12" s="71" customFormat="1">
      <c r="A818" s="87"/>
      <c r="B818" s="30"/>
      <c r="C818" s="70"/>
      <c r="G818" s="30"/>
      <c r="H818" s="77"/>
      <c r="I818" s="77"/>
      <c r="J818" s="58"/>
      <c r="K818" s="58"/>
      <c r="L818" s="3"/>
    </row>
    <row r="819" spans="1:12" s="71" customFormat="1">
      <c r="A819" s="87"/>
      <c r="B819" s="30"/>
      <c r="C819" s="70"/>
      <c r="G819" s="30"/>
      <c r="H819" s="77"/>
      <c r="I819" s="77"/>
      <c r="J819" s="58"/>
      <c r="K819" s="58"/>
      <c r="L819" s="3"/>
    </row>
    <row r="820" spans="1:12" s="71" customFormat="1">
      <c r="A820" s="87"/>
      <c r="B820" s="30"/>
      <c r="C820" s="70"/>
      <c r="G820" s="30"/>
      <c r="H820" s="77"/>
      <c r="I820" s="77"/>
      <c r="J820" s="58"/>
      <c r="K820" s="58"/>
      <c r="L820" s="3"/>
    </row>
    <row r="821" spans="1:12" s="71" customFormat="1">
      <c r="A821" s="87"/>
      <c r="B821" s="30"/>
      <c r="C821" s="70"/>
      <c r="G821" s="30"/>
      <c r="H821" s="77"/>
      <c r="I821" s="77"/>
      <c r="J821" s="58"/>
      <c r="K821" s="58"/>
      <c r="L821" s="3"/>
    </row>
    <row r="822" spans="1:12" s="71" customFormat="1">
      <c r="A822" s="87"/>
      <c r="B822" s="30"/>
      <c r="C822" s="70"/>
      <c r="G822" s="30"/>
      <c r="H822" s="77"/>
      <c r="I822" s="77"/>
      <c r="J822" s="58"/>
      <c r="K822" s="58"/>
      <c r="L822" s="3"/>
    </row>
    <row r="823" spans="1:12" s="71" customFormat="1">
      <c r="A823" s="87"/>
      <c r="B823" s="30"/>
      <c r="C823" s="70"/>
      <c r="G823" s="30"/>
      <c r="H823" s="77"/>
      <c r="I823" s="77"/>
      <c r="J823" s="58"/>
      <c r="K823" s="58"/>
      <c r="L823" s="3"/>
    </row>
    <row r="824" spans="1:12" s="71" customFormat="1">
      <c r="A824" s="87"/>
      <c r="B824" s="30"/>
      <c r="C824" s="70"/>
      <c r="G824" s="30"/>
      <c r="H824" s="77"/>
      <c r="I824" s="77"/>
      <c r="J824" s="58"/>
      <c r="K824" s="58"/>
      <c r="L824" s="3"/>
    </row>
    <row r="825" spans="1:12" s="71" customFormat="1">
      <c r="A825" s="87"/>
      <c r="B825" s="30"/>
      <c r="C825" s="70"/>
      <c r="G825" s="30"/>
      <c r="H825" s="77"/>
      <c r="I825" s="77"/>
      <c r="J825" s="58"/>
      <c r="K825" s="58"/>
      <c r="L825" s="3"/>
    </row>
    <row r="826" spans="1:12" s="71" customFormat="1">
      <c r="A826" s="87"/>
      <c r="B826" s="30"/>
      <c r="C826" s="70"/>
      <c r="G826" s="30"/>
      <c r="H826" s="77"/>
      <c r="I826" s="77"/>
      <c r="J826" s="58"/>
      <c r="K826" s="58"/>
      <c r="L826" s="3"/>
    </row>
    <row r="827" spans="1:12" s="71" customFormat="1">
      <c r="A827" s="87"/>
      <c r="B827" s="30"/>
      <c r="C827" s="70"/>
      <c r="G827" s="30"/>
      <c r="H827" s="77"/>
      <c r="I827" s="77"/>
      <c r="J827" s="58"/>
      <c r="K827" s="58"/>
      <c r="L827" s="3"/>
    </row>
    <row r="828" spans="1:12" s="71" customFormat="1">
      <c r="A828" s="87"/>
      <c r="B828" s="30"/>
      <c r="C828" s="70"/>
      <c r="G828" s="30"/>
      <c r="H828" s="77"/>
      <c r="I828" s="77"/>
      <c r="J828" s="58"/>
      <c r="K828" s="58"/>
      <c r="L828" s="3"/>
    </row>
    <row r="829" spans="1:12" s="71" customFormat="1">
      <c r="A829" s="87"/>
      <c r="B829" s="30"/>
      <c r="C829" s="70"/>
      <c r="G829" s="30"/>
      <c r="H829" s="77"/>
      <c r="I829" s="77"/>
      <c r="J829" s="58"/>
      <c r="K829" s="58"/>
      <c r="L829" s="3"/>
    </row>
    <row r="830" spans="1:12" s="71" customFormat="1">
      <c r="A830" s="87"/>
      <c r="B830" s="30"/>
      <c r="C830" s="70"/>
      <c r="G830" s="30"/>
      <c r="H830" s="77"/>
      <c r="I830" s="77"/>
      <c r="J830" s="58"/>
      <c r="K830" s="58"/>
      <c r="L830" s="3"/>
    </row>
    <row r="831" spans="1:12" s="71" customFormat="1">
      <c r="A831" s="87"/>
      <c r="B831" s="30"/>
      <c r="C831" s="70"/>
      <c r="G831" s="30"/>
      <c r="H831" s="77"/>
      <c r="I831" s="77"/>
      <c r="J831" s="58"/>
      <c r="K831" s="58"/>
      <c r="L831" s="3"/>
    </row>
    <row r="832" spans="1:12" s="71" customFormat="1">
      <c r="A832" s="87"/>
      <c r="B832" s="30"/>
      <c r="C832" s="70"/>
      <c r="G832" s="30"/>
      <c r="H832" s="77"/>
      <c r="I832" s="77"/>
      <c r="J832" s="58"/>
      <c r="K832" s="58"/>
      <c r="L832" s="3"/>
    </row>
    <row r="833" spans="1:12" s="71" customFormat="1">
      <c r="A833" s="87"/>
      <c r="B833" s="30"/>
      <c r="C833" s="70"/>
      <c r="G833" s="30"/>
      <c r="H833" s="77"/>
      <c r="I833" s="77"/>
      <c r="J833" s="58"/>
      <c r="K833" s="58"/>
      <c r="L833" s="3"/>
    </row>
    <row r="834" spans="1:12" s="71" customFormat="1">
      <c r="A834" s="87"/>
      <c r="B834" s="30"/>
      <c r="C834" s="70"/>
      <c r="G834" s="30"/>
      <c r="H834" s="77"/>
      <c r="I834" s="77"/>
      <c r="J834" s="58"/>
      <c r="K834" s="58"/>
      <c r="L834" s="3"/>
    </row>
    <row r="835" spans="1:12" s="71" customFormat="1">
      <c r="A835" s="87"/>
      <c r="B835" s="30"/>
      <c r="C835" s="70"/>
      <c r="G835" s="30"/>
      <c r="H835" s="77"/>
      <c r="I835" s="77"/>
      <c r="J835" s="58"/>
      <c r="K835" s="58"/>
      <c r="L835" s="3"/>
    </row>
    <row r="836" spans="1:12" s="71" customFormat="1">
      <c r="A836" s="87"/>
      <c r="B836" s="30"/>
      <c r="C836" s="70"/>
      <c r="G836" s="30"/>
      <c r="H836" s="77"/>
      <c r="I836" s="77"/>
      <c r="J836" s="58"/>
      <c r="K836" s="58"/>
      <c r="L836" s="3"/>
    </row>
    <row r="837" spans="1:12" s="71" customFormat="1">
      <c r="A837" s="87"/>
      <c r="B837" s="30"/>
      <c r="C837" s="70"/>
      <c r="G837" s="30"/>
      <c r="H837" s="77"/>
      <c r="I837" s="77"/>
      <c r="J837" s="58"/>
      <c r="K837" s="58"/>
      <c r="L837" s="3"/>
    </row>
    <row r="838" spans="1:12" s="71" customFormat="1">
      <c r="A838" s="87"/>
      <c r="B838" s="30"/>
      <c r="C838" s="70"/>
      <c r="G838" s="30"/>
      <c r="H838" s="77"/>
      <c r="I838" s="77"/>
      <c r="J838" s="58"/>
      <c r="K838" s="58"/>
      <c r="L838" s="3"/>
    </row>
    <row r="839" spans="1:12" s="71" customFormat="1">
      <c r="A839" s="87"/>
      <c r="B839" s="30"/>
      <c r="C839" s="70"/>
      <c r="G839" s="30"/>
      <c r="H839" s="77"/>
      <c r="I839" s="77"/>
      <c r="J839" s="58"/>
      <c r="K839" s="58"/>
      <c r="L839" s="3"/>
    </row>
    <row r="840" spans="1:12" s="71" customFormat="1">
      <c r="A840" s="87"/>
      <c r="B840" s="30"/>
      <c r="C840" s="70"/>
      <c r="G840" s="30"/>
      <c r="H840" s="77"/>
      <c r="I840" s="77"/>
      <c r="J840" s="58"/>
      <c r="K840" s="58"/>
      <c r="L840" s="3"/>
    </row>
    <row r="841" spans="1:12" s="71" customFormat="1">
      <c r="A841" s="87"/>
      <c r="B841" s="30"/>
      <c r="C841" s="70"/>
      <c r="G841" s="30"/>
      <c r="H841" s="77"/>
      <c r="I841" s="77"/>
      <c r="J841" s="58"/>
      <c r="K841" s="58"/>
      <c r="L841" s="3"/>
    </row>
    <row r="842" spans="1:12" s="71" customFormat="1">
      <c r="A842" s="87"/>
      <c r="B842" s="30"/>
      <c r="C842" s="70"/>
      <c r="G842" s="30"/>
      <c r="H842" s="77"/>
      <c r="I842" s="77"/>
      <c r="J842" s="58"/>
      <c r="K842" s="58"/>
      <c r="L842" s="3"/>
    </row>
    <row r="843" spans="1:12" s="71" customFormat="1">
      <c r="A843" s="87"/>
      <c r="B843" s="30"/>
      <c r="C843" s="70"/>
      <c r="G843" s="30"/>
      <c r="H843" s="77"/>
      <c r="I843" s="77"/>
      <c r="J843" s="58"/>
      <c r="K843" s="58"/>
      <c r="L843" s="3"/>
    </row>
    <row r="844" spans="1:12" s="71" customFormat="1">
      <c r="A844" s="87"/>
      <c r="B844" s="30"/>
      <c r="C844" s="70"/>
      <c r="G844" s="30"/>
      <c r="H844" s="77"/>
      <c r="I844" s="77"/>
      <c r="J844" s="58"/>
      <c r="K844" s="58"/>
      <c r="L844" s="3"/>
    </row>
    <row r="845" spans="1:12" s="71" customFormat="1">
      <c r="A845" s="87"/>
      <c r="B845" s="30"/>
      <c r="C845" s="70"/>
      <c r="G845" s="30"/>
      <c r="H845" s="77"/>
      <c r="I845" s="77"/>
      <c r="J845" s="58"/>
      <c r="K845" s="58"/>
      <c r="L845" s="3"/>
    </row>
    <row r="846" spans="1:12" s="71" customFormat="1">
      <c r="A846" s="87"/>
      <c r="B846" s="30"/>
      <c r="C846" s="70"/>
      <c r="G846" s="30"/>
      <c r="H846" s="77"/>
      <c r="I846" s="77"/>
      <c r="J846" s="58"/>
      <c r="K846" s="58"/>
      <c r="L846" s="3"/>
    </row>
    <row r="847" spans="1:12" s="71" customFormat="1">
      <c r="A847" s="87"/>
      <c r="B847" s="30"/>
      <c r="C847" s="70"/>
      <c r="G847" s="30"/>
      <c r="H847" s="77"/>
      <c r="I847" s="77"/>
      <c r="J847" s="58"/>
      <c r="K847" s="58"/>
      <c r="L847" s="3"/>
    </row>
    <row r="848" spans="1:12" s="71" customFormat="1">
      <c r="A848" s="87"/>
      <c r="B848" s="30"/>
      <c r="C848" s="70"/>
      <c r="G848" s="30"/>
      <c r="H848" s="77"/>
      <c r="I848" s="77"/>
      <c r="J848" s="58"/>
      <c r="K848" s="58"/>
      <c r="L848" s="3"/>
    </row>
    <row r="849" spans="1:12" s="71" customFormat="1">
      <c r="A849" s="87"/>
      <c r="B849" s="30"/>
      <c r="C849" s="70"/>
      <c r="G849" s="30"/>
      <c r="H849" s="77"/>
      <c r="I849" s="77"/>
      <c r="J849" s="58"/>
      <c r="K849" s="58"/>
      <c r="L849" s="3"/>
    </row>
    <row r="850" spans="1:12" s="71" customFormat="1">
      <c r="A850" s="87"/>
      <c r="B850" s="30"/>
      <c r="C850" s="70"/>
      <c r="G850" s="30"/>
      <c r="H850" s="77"/>
      <c r="I850" s="77"/>
      <c r="J850" s="58"/>
      <c r="K850" s="58"/>
      <c r="L850" s="3"/>
    </row>
    <row r="851" spans="1:12" s="71" customFormat="1">
      <c r="A851" s="87"/>
      <c r="B851" s="30"/>
      <c r="C851" s="70"/>
      <c r="G851" s="30"/>
      <c r="H851" s="77"/>
      <c r="I851" s="77"/>
      <c r="J851" s="58"/>
      <c r="K851" s="58"/>
      <c r="L851" s="3"/>
    </row>
    <row r="852" spans="1:12" s="71" customFormat="1">
      <c r="A852" s="87"/>
      <c r="B852" s="30"/>
      <c r="C852" s="70"/>
      <c r="G852" s="30"/>
      <c r="H852" s="77"/>
      <c r="I852" s="77"/>
      <c r="J852" s="58"/>
      <c r="K852" s="58"/>
      <c r="L852" s="3"/>
    </row>
    <row r="853" spans="1:12" s="71" customFormat="1">
      <c r="A853" s="87"/>
      <c r="B853" s="30"/>
      <c r="C853" s="70"/>
      <c r="G853" s="30"/>
      <c r="H853" s="77"/>
      <c r="I853" s="77"/>
      <c r="J853" s="58"/>
      <c r="K853" s="58"/>
      <c r="L853" s="3"/>
    </row>
    <row r="854" spans="1:12" s="71" customFormat="1">
      <c r="A854" s="87"/>
      <c r="B854" s="30"/>
      <c r="C854" s="70"/>
      <c r="G854" s="30"/>
      <c r="H854" s="77"/>
      <c r="I854" s="77"/>
      <c r="J854" s="58"/>
      <c r="K854" s="58"/>
      <c r="L854" s="3"/>
    </row>
    <row r="855" spans="1:12" s="71" customFormat="1">
      <c r="A855" s="87"/>
      <c r="B855" s="30"/>
      <c r="C855" s="70"/>
      <c r="G855" s="30"/>
      <c r="H855" s="77"/>
      <c r="I855" s="77"/>
      <c r="J855" s="58"/>
      <c r="K855" s="58"/>
      <c r="L855" s="3"/>
    </row>
    <row r="856" spans="1:12" s="71" customFormat="1">
      <c r="A856" s="87"/>
      <c r="B856" s="30"/>
      <c r="C856" s="70"/>
      <c r="G856" s="30"/>
      <c r="H856" s="77"/>
      <c r="I856" s="77"/>
      <c r="J856" s="58"/>
      <c r="K856" s="58"/>
      <c r="L856" s="3"/>
    </row>
    <row r="857" spans="1:12" s="71" customFormat="1">
      <c r="A857" s="87"/>
      <c r="B857" s="30"/>
      <c r="C857" s="70"/>
      <c r="G857" s="30"/>
      <c r="H857" s="77"/>
      <c r="I857" s="77"/>
      <c r="J857" s="58"/>
      <c r="K857" s="58"/>
      <c r="L857" s="3"/>
    </row>
    <row r="858" spans="1:12" s="71" customFormat="1">
      <c r="A858" s="87"/>
      <c r="B858" s="30"/>
      <c r="C858" s="70"/>
      <c r="G858" s="30"/>
      <c r="H858" s="77"/>
      <c r="I858" s="77"/>
      <c r="J858" s="58"/>
      <c r="K858" s="58"/>
      <c r="L858" s="3"/>
    </row>
    <row r="859" spans="1:12" s="71" customFormat="1">
      <c r="A859" s="87"/>
      <c r="B859" s="30"/>
      <c r="C859" s="70"/>
      <c r="G859" s="30"/>
      <c r="H859" s="77"/>
      <c r="I859" s="77"/>
      <c r="J859" s="58"/>
      <c r="K859" s="58"/>
      <c r="L859" s="3"/>
    </row>
    <row r="860" spans="1:12" s="71" customFormat="1">
      <c r="A860" s="87"/>
      <c r="B860" s="30"/>
      <c r="C860" s="70"/>
      <c r="G860" s="30"/>
      <c r="H860" s="77"/>
      <c r="I860" s="77"/>
      <c r="J860" s="58"/>
      <c r="K860" s="58"/>
      <c r="L860" s="3"/>
    </row>
    <row r="861" spans="1:12" s="71" customFormat="1">
      <c r="A861" s="87"/>
      <c r="B861" s="30"/>
      <c r="C861" s="70"/>
      <c r="G861" s="30"/>
      <c r="H861" s="77"/>
      <c r="I861" s="77"/>
      <c r="J861" s="58"/>
      <c r="K861" s="58"/>
      <c r="L861" s="3"/>
    </row>
    <row r="862" spans="1:12" s="71" customFormat="1">
      <c r="A862" s="87"/>
      <c r="B862" s="30"/>
      <c r="C862" s="70"/>
      <c r="G862" s="30"/>
      <c r="H862" s="77"/>
      <c r="I862" s="77"/>
      <c r="J862" s="58"/>
      <c r="K862" s="58"/>
      <c r="L862" s="3"/>
    </row>
    <row r="863" spans="1:12" s="71" customFormat="1">
      <c r="A863" s="87"/>
      <c r="B863" s="30"/>
      <c r="C863" s="70"/>
      <c r="G863" s="30"/>
      <c r="H863" s="77"/>
      <c r="I863" s="77"/>
      <c r="J863" s="58"/>
      <c r="K863" s="58"/>
      <c r="L863" s="3"/>
    </row>
    <row r="864" spans="1:12" s="71" customFormat="1">
      <c r="A864" s="87"/>
      <c r="B864" s="30"/>
      <c r="C864" s="70"/>
      <c r="G864" s="30"/>
      <c r="H864" s="77"/>
      <c r="I864" s="77"/>
      <c r="J864" s="58"/>
      <c r="K864" s="58"/>
      <c r="L864" s="3"/>
    </row>
    <row r="865" spans="1:12" s="71" customFormat="1">
      <c r="A865" s="87"/>
      <c r="B865" s="30"/>
      <c r="C865" s="70"/>
      <c r="G865" s="30"/>
      <c r="H865" s="77"/>
      <c r="I865" s="77"/>
      <c r="J865" s="58"/>
      <c r="K865" s="58"/>
      <c r="L865" s="3"/>
    </row>
    <row r="866" spans="1:12" s="71" customFormat="1">
      <c r="A866" s="87"/>
      <c r="B866" s="30"/>
      <c r="C866" s="70"/>
      <c r="G866" s="30"/>
      <c r="H866" s="77"/>
      <c r="I866" s="77"/>
      <c r="J866" s="58"/>
      <c r="K866" s="58"/>
      <c r="L866" s="3"/>
    </row>
    <row r="867" spans="1:12" s="71" customFormat="1">
      <c r="A867" s="87"/>
      <c r="B867" s="30"/>
      <c r="C867" s="70"/>
      <c r="G867" s="30"/>
      <c r="H867" s="77"/>
      <c r="I867" s="77"/>
      <c r="J867" s="58"/>
      <c r="K867" s="58"/>
      <c r="L867" s="3"/>
    </row>
    <row r="868" spans="1:12" s="71" customFormat="1">
      <c r="A868" s="87"/>
      <c r="B868" s="30"/>
      <c r="C868" s="70"/>
      <c r="G868" s="30"/>
      <c r="H868" s="77"/>
      <c r="I868" s="77"/>
      <c r="J868" s="58"/>
      <c r="K868" s="58"/>
      <c r="L868" s="3"/>
    </row>
    <row r="869" spans="1:12" s="71" customFormat="1">
      <c r="A869" s="87"/>
      <c r="B869" s="30"/>
      <c r="C869" s="70"/>
      <c r="G869" s="30"/>
      <c r="H869" s="77"/>
      <c r="I869" s="77"/>
      <c r="J869" s="58"/>
      <c r="K869" s="58"/>
      <c r="L869" s="3"/>
    </row>
    <row r="870" spans="1:12" s="71" customFormat="1">
      <c r="A870" s="87"/>
      <c r="B870" s="30"/>
      <c r="C870" s="70"/>
      <c r="G870" s="30"/>
      <c r="H870" s="77"/>
      <c r="I870" s="77"/>
      <c r="J870" s="58"/>
      <c r="K870" s="58"/>
      <c r="L870" s="3"/>
    </row>
    <row r="871" spans="1:12" s="71" customFormat="1">
      <c r="A871" s="87"/>
      <c r="B871" s="30"/>
      <c r="C871" s="70"/>
      <c r="G871" s="30"/>
      <c r="H871" s="77"/>
      <c r="I871" s="77"/>
      <c r="J871" s="58"/>
      <c r="K871" s="58"/>
      <c r="L871" s="3"/>
    </row>
    <row r="872" spans="1:12" s="71" customFormat="1">
      <c r="A872" s="87"/>
      <c r="B872" s="30"/>
      <c r="C872" s="70"/>
      <c r="G872" s="30"/>
      <c r="H872" s="77"/>
      <c r="I872" s="77"/>
      <c r="J872" s="58"/>
      <c r="K872" s="58"/>
      <c r="L872" s="3"/>
    </row>
    <row r="873" spans="1:12" s="71" customFormat="1">
      <c r="A873" s="87"/>
      <c r="B873" s="30"/>
      <c r="C873" s="70"/>
      <c r="G873" s="30"/>
      <c r="H873" s="77"/>
      <c r="I873" s="77"/>
      <c r="J873" s="58"/>
      <c r="K873" s="58"/>
      <c r="L873" s="3"/>
    </row>
    <row r="874" spans="1:12" s="71" customFormat="1">
      <c r="A874" s="87"/>
      <c r="B874" s="30"/>
      <c r="C874" s="70"/>
      <c r="G874" s="30"/>
      <c r="H874" s="77"/>
      <c r="I874" s="77"/>
      <c r="J874" s="58"/>
      <c r="K874" s="58"/>
      <c r="L874" s="3"/>
    </row>
    <row r="875" spans="1:12" s="71" customFormat="1">
      <c r="A875" s="87"/>
      <c r="B875" s="30"/>
      <c r="C875" s="70"/>
      <c r="G875" s="30"/>
      <c r="H875" s="77"/>
      <c r="I875" s="77"/>
      <c r="J875" s="58"/>
      <c r="K875" s="58"/>
      <c r="L875" s="3"/>
    </row>
    <row r="876" spans="1:12" s="71" customFormat="1">
      <c r="A876" s="87"/>
      <c r="B876" s="30"/>
      <c r="C876" s="70"/>
      <c r="G876" s="30"/>
      <c r="H876" s="77"/>
      <c r="I876" s="77"/>
      <c r="J876" s="58"/>
      <c r="K876" s="58"/>
      <c r="L876" s="3"/>
    </row>
    <row r="877" spans="1:12" s="71" customFormat="1">
      <c r="A877" s="87"/>
      <c r="B877" s="30"/>
      <c r="C877" s="70"/>
      <c r="G877" s="30"/>
      <c r="H877" s="77"/>
      <c r="I877" s="77"/>
      <c r="J877" s="58"/>
      <c r="K877" s="58"/>
      <c r="L877" s="3"/>
    </row>
    <row r="878" spans="1:12" s="71" customFormat="1">
      <c r="A878" s="87"/>
      <c r="B878" s="30"/>
      <c r="C878" s="70"/>
      <c r="G878" s="30"/>
      <c r="H878" s="77"/>
      <c r="I878" s="77"/>
      <c r="J878" s="58"/>
      <c r="K878" s="58"/>
      <c r="L878" s="3"/>
    </row>
    <row r="879" spans="1:12" s="71" customFormat="1">
      <c r="A879" s="87"/>
      <c r="B879" s="30"/>
      <c r="C879" s="70"/>
      <c r="G879" s="30"/>
      <c r="H879" s="77"/>
      <c r="I879" s="77"/>
      <c r="J879" s="58"/>
      <c r="K879" s="58"/>
      <c r="L879" s="3"/>
    </row>
    <row r="880" spans="1:12" s="71" customFormat="1">
      <c r="A880" s="87"/>
      <c r="B880" s="30"/>
      <c r="C880" s="70"/>
      <c r="G880" s="30"/>
      <c r="H880" s="77"/>
      <c r="I880" s="77"/>
      <c r="J880" s="58"/>
      <c r="K880" s="58"/>
      <c r="L880" s="3"/>
    </row>
    <row r="881" spans="1:12" s="71" customFormat="1">
      <c r="A881" s="87"/>
      <c r="B881" s="30"/>
      <c r="C881" s="70"/>
      <c r="G881" s="30"/>
      <c r="H881" s="77"/>
      <c r="I881" s="77"/>
      <c r="J881" s="58"/>
      <c r="K881" s="58"/>
      <c r="L881" s="3"/>
    </row>
    <row r="882" spans="1:12" s="71" customFormat="1">
      <c r="A882" s="87"/>
      <c r="B882" s="30"/>
      <c r="C882" s="70"/>
      <c r="G882" s="30"/>
      <c r="H882" s="77"/>
      <c r="I882" s="77"/>
      <c r="J882" s="58"/>
      <c r="K882" s="58"/>
      <c r="L882" s="3"/>
    </row>
    <row r="883" spans="1:12" s="71" customFormat="1">
      <c r="A883" s="87"/>
      <c r="B883" s="30"/>
      <c r="C883" s="70"/>
      <c r="G883" s="30"/>
      <c r="H883" s="77"/>
      <c r="I883" s="77"/>
      <c r="J883" s="58"/>
      <c r="K883" s="58"/>
      <c r="L883" s="3"/>
    </row>
    <row r="884" spans="1:12" s="71" customFormat="1">
      <c r="A884" s="87"/>
      <c r="B884" s="30"/>
      <c r="C884" s="70"/>
      <c r="G884" s="30"/>
      <c r="H884" s="77"/>
      <c r="I884" s="77"/>
      <c r="J884" s="58"/>
      <c r="K884" s="58"/>
      <c r="L884" s="3"/>
    </row>
    <row r="885" spans="1:12" s="71" customFormat="1">
      <c r="A885" s="87"/>
      <c r="B885" s="30"/>
      <c r="C885" s="70"/>
      <c r="G885" s="30"/>
      <c r="H885" s="77"/>
      <c r="I885" s="77"/>
      <c r="J885" s="58"/>
      <c r="K885" s="58"/>
      <c r="L885" s="3"/>
    </row>
    <row r="886" spans="1:12" s="71" customFormat="1">
      <c r="A886" s="87"/>
      <c r="B886" s="30"/>
      <c r="C886" s="70"/>
      <c r="G886" s="30"/>
      <c r="H886" s="77"/>
      <c r="I886" s="77"/>
      <c r="J886" s="58"/>
      <c r="K886" s="58"/>
      <c r="L886" s="3"/>
    </row>
    <row r="887" spans="1:12" s="71" customFormat="1">
      <c r="A887" s="87"/>
      <c r="B887" s="30"/>
      <c r="C887" s="70"/>
      <c r="G887" s="30"/>
      <c r="H887" s="77"/>
      <c r="I887" s="77"/>
      <c r="J887" s="58"/>
      <c r="K887" s="58"/>
      <c r="L887" s="3"/>
    </row>
    <row r="888" spans="1:12" s="71" customFormat="1">
      <c r="A888" s="87"/>
      <c r="B888" s="30"/>
      <c r="C888" s="70"/>
      <c r="G888" s="30"/>
      <c r="H888" s="77"/>
      <c r="I888" s="77"/>
      <c r="J888" s="58"/>
      <c r="K888" s="58"/>
      <c r="L888" s="3"/>
    </row>
    <row r="889" spans="1:12" s="71" customFormat="1">
      <c r="A889" s="87"/>
      <c r="B889" s="30"/>
      <c r="C889" s="70"/>
      <c r="G889" s="30"/>
      <c r="H889" s="77"/>
      <c r="I889" s="77"/>
      <c r="J889" s="58"/>
      <c r="K889" s="58"/>
      <c r="L889" s="3"/>
    </row>
    <row r="890" spans="1:12" s="71" customFormat="1">
      <c r="A890" s="87"/>
      <c r="B890" s="30"/>
      <c r="C890" s="70"/>
      <c r="G890" s="30"/>
      <c r="H890" s="77"/>
      <c r="I890" s="77"/>
      <c r="J890" s="58"/>
      <c r="K890" s="58"/>
      <c r="L890" s="3"/>
    </row>
    <row r="891" spans="1:12" s="71" customFormat="1">
      <c r="A891" s="87"/>
      <c r="B891" s="30"/>
      <c r="C891" s="70"/>
      <c r="G891" s="30"/>
      <c r="H891" s="77"/>
      <c r="I891" s="77"/>
      <c r="J891" s="58"/>
      <c r="K891" s="58"/>
      <c r="L891" s="3"/>
    </row>
    <row r="892" spans="1:12" s="71" customFormat="1">
      <c r="A892" s="87"/>
      <c r="B892" s="30"/>
      <c r="C892" s="70"/>
      <c r="G892" s="30"/>
      <c r="H892" s="77"/>
      <c r="I892" s="77"/>
      <c r="J892" s="58"/>
      <c r="K892" s="58"/>
      <c r="L892" s="3"/>
    </row>
    <row r="893" spans="1:12" s="71" customFormat="1">
      <c r="A893" s="87"/>
      <c r="B893" s="30"/>
      <c r="C893" s="70"/>
      <c r="G893" s="30"/>
      <c r="H893" s="77"/>
      <c r="I893" s="77"/>
      <c r="J893" s="58"/>
      <c r="K893" s="58"/>
      <c r="L893" s="3"/>
    </row>
    <row r="894" spans="1:12" s="71" customFormat="1">
      <c r="A894" s="87"/>
      <c r="B894" s="30"/>
      <c r="C894" s="70"/>
      <c r="G894" s="30"/>
      <c r="H894" s="77"/>
      <c r="I894" s="77"/>
      <c r="J894" s="58"/>
      <c r="K894" s="58"/>
      <c r="L894" s="3"/>
    </row>
    <row r="895" spans="1:12" s="71" customFormat="1">
      <c r="A895" s="87"/>
      <c r="B895" s="30"/>
      <c r="C895" s="70"/>
      <c r="G895" s="30"/>
      <c r="H895" s="77"/>
      <c r="I895" s="77"/>
      <c r="J895" s="58"/>
      <c r="K895" s="58"/>
      <c r="L895" s="3"/>
    </row>
    <row r="896" spans="1:12" s="71" customFormat="1">
      <c r="A896" s="87"/>
      <c r="B896" s="30"/>
      <c r="C896" s="70"/>
      <c r="G896" s="30"/>
      <c r="H896" s="77"/>
      <c r="I896" s="77"/>
      <c r="J896" s="58"/>
      <c r="K896" s="58"/>
      <c r="L896" s="3"/>
    </row>
    <row r="897" spans="1:12" s="71" customFormat="1">
      <c r="A897" s="87"/>
      <c r="B897" s="30"/>
      <c r="C897" s="70"/>
      <c r="G897" s="30"/>
      <c r="H897" s="77"/>
      <c r="I897" s="77"/>
      <c r="J897" s="58"/>
      <c r="K897" s="58"/>
      <c r="L897" s="3"/>
    </row>
    <row r="898" spans="1:12" s="71" customFormat="1">
      <c r="A898" s="87"/>
      <c r="B898" s="30"/>
      <c r="C898" s="70"/>
      <c r="G898" s="30"/>
      <c r="H898" s="77"/>
      <c r="I898" s="77"/>
      <c r="J898" s="58"/>
      <c r="K898" s="58"/>
      <c r="L898" s="3"/>
    </row>
    <row r="899" spans="1:12" s="71" customFormat="1">
      <c r="A899" s="87"/>
      <c r="B899" s="30"/>
      <c r="C899" s="70"/>
      <c r="G899" s="30"/>
      <c r="H899" s="77"/>
      <c r="I899" s="77"/>
      <c r="J899" s="58"/>
      <c r="K899" s="58"/>
      <c r="L899" s="3"/>
    </row>
    <row r="900" spans="1:12" s="71" customFormat="1">
      <c r="A900" s="87"/>
      <c r="B900" s="30"/>
      <c r="C900" s="70"/>
      <c r="G900" s="30"/>
      <c r="H900" s="77"/>
      <c r="I900" s="77"/>
      <c r="J900" s="58"/>
      <c r="K900" s="58"/>
      <c r="L900" s="3"/>
    </row>
    <row r="901" spans="1:12" s="71" customFormat="1">
      <c r="A901" s="87"/>
      <c r="B901" s="30"/>
      <c r="C901" s="70"/>
      <c r="G901" s="30"/>
      <c r="H901" s="77"/>
      <c r="I901" s="77"/>
      <c r="J901" s="58"/>
      <c r="K901" s="58"/>
      <c r="L901" s="3"/>
    </row>
    <row r="902" spans="1:12" s="71" customFormat="1">
      <c r="A902" s="87"/>
      <c r="B902" s="30"/>
      <c r="C902" s="70"/>
      <c r="G902" s="30"/>
      <c r="H902" s="77"/>
      <c r="I902" s="77"/>
      <c r="J902" s="58"/>
      <c r="K902" s="58"/>
      <c r="L902" s="3"/>
    </row>
    <row r="903" spans="1:12" s="71" customFormat="1">
      <c r="A903" s="87"/>
      <c r="B903" s="30"/>
      <c r="C903" s="70"/>
      <c r="G903" s="30"/>
      <c r="H903" s="77"/>
      <c r="I903" s="77"/>
      <c r="J903" s="58"/>
      <c r="K903" s="58"/>
      <c r="L903" s="3"/>
    </row>
    <row r="904" spans="1:12" s="71" customFormat="1">
      <c r="A904" s="87"/>
      <c r="B904" s="30"/>
      <c r="C904" s="70"/>
      <c r="G904" s="30"/>
      <c r="H904" s="77"/>
      <c r="I904" s="77"/>
      <c r="J904" s="58"/>
      <c r="K904" s="58"/>
      <c r="L904" s="3"/>
    </row>
    <row r="905" spans="1:12" s="71" customFormat="1">
      <c r="A905" s="87"/>
      <c r="B905" s="30"/>
      <c r="C905" s="70"/>
      <c r="G905" s="30"/>
      <c r="H905" s="77"/>
      <c r="I905" s="77"/>
      <c r="J905" s="58"/>
      <c r="K905" s="58"/>
      <c r="L905" s="3"/>
    </row>
    <row r="906" spans="1:12" s="71" customFormat="1">
      <c r="A906" s="87"/>
      <c r="B906" s="30"/>
      <c r="C906" s="70"/>
      <c r="G906" s="30"/>
      <c r="H906" s="77"/>
      <c r="I906" s="77"/>
      <c r="J906" s="58"/>
      <c r="K906" s="58"/>
      <c r="L906" s="3"/>
    </row>
    <row r="907" spans="1:12" s="71" customFormat="1">
      <c r="A907" s="87"/>
      <c r="B907" s="30"/>
      <c r="C907" s="70"/>
      <c r="G907" s="30"/>
      <c r="H907" s="77"/>
      <c r="I907" s="77"/>
      <c r="J907" s="58"/>
      <c r="K907" s="58"/>
      <c r="L907" s="3"/>
    </row>
    <row r="908" spans="1:12" s="71" customFormat="1">
      <c r="A908" s="87"/>
      <c r="B908" s="30"/>
      <c r="C908" s="70"/>
      <c r="G908" s="30"/>
      <c r="H908" s="77"/>
      <c r="I908" s="77"/>
      <c r="J908" s="58"/>
      <c r="K908" s="58"/>
      <c r="L908" s="3"/>
    </row>
    <row r="909" spans="1:12" s="71" customFormat="1">
      <c r="A909" s="87"/>
      <c r="B909" s="30"/>
      <c r="C909" s="70"/>
      <c r="G909" s="30"/>
      <c r="H909" s="77"/>
      <c r="I909" s="77"/>
      <c r="J909" s="58"/>
      <c r="K909" s="58"/>
      <c r="L909" s="3"/>
    </row>
    <row r="910" spans="1:12" s="71" customFormat="1">
      <c r="A910" s="87"/>
      <c r="B910" s="30"/>
      <c r="C910" s="70"/>
      <c r="G910" s="30"/>
      <c r="H910" s="77"/>
      <c r="I910" s="77"/>
      <c r="J910" s="58"/>
      <c r="K910" s="58"/>
      <c r="L910" s="3"/>
    </row>
    <row r="911" spans="1:12" s="71" customFormat="1">
      <c r="A911" s="87"/>
      <c r="B911" s="30"/>
      <c r="C911" s="70"/>
      <c r="G911" s="30"/>
      <c r="H911" s="77"/>
      <c r="I911" s="77"/>
      <c r="J911" s="58"/>
      <c r="K911" s="58"/>
      <c r="L911" s="3"/>
    </row>
    <row r="912" spans="1:12" s="71" customFormat="1">
      <c r="A912" s="87"/>
      <c r="B912" s="30"/>
      <c r="C912" s="70"/>
      <c r="G912" s="30"/>
      <c r="H912" s="77"/>
      <c r="I912" s="77"/>
      <c r="J912" s="58"/>
      <c r="K912" s="58"/>
      <c r="L912" s="3"/>
    </row>
    <row r="913" spans="1:12" s="71" customFormat="1">
      <c r="A913" s="87"/>
      <c r="B913" s="30"/>
      <c r="C913" s="70"/>
      <c r="G913" s="30"/>
      <c r="H913" s="77"/>
      <c r="I913" s="77"/>
      <c r="J913" s="58"/>
      <c r="K913" s="58"/>
      <c r="L913" s="3"/>
    </row>
    <row r="914" spans="1:12" s="71" customFormat="1">
      <c r="A914" s="87"/>
      <c r="B914" s="30"/>
      <c r="C914" s="70"/>
      <c r="G914" s="30"/>
      <c r="H914" s="77"/>
      <c r="I914" s="77"/>
      <c r="J914" s="58"/>
      <c r="K914" s="58"/>
      <c r="L914" s="3"/>
    </row>
    <row r="915" spans="1:12" s="71" customFormat="1">
      <c r="A915" s="87"/>
      <c r="B915" s="30"/>
      <c r="C915" s="70"/>
      <c r="G915" s="30"/>
      <c r="H915" s="77"/>
      <c r="I915" s="77"/>
      <c r="J915" s="58"/>
      <c r="K915" s="58"/>
      <c r="L915" s="3"/>
    </row>
    <row r="916" spans="1:12" s="71" customFormat="1">
      <c r="A916" s="87"/>
      <c r="B916" s="30"/>
      <c r="C916" s="70"/>
      <c r="G916" s="30"/>
      <c r="H916" s="77"/>
      <c r="I916" s="77"/>
      <c r="J916" s="58"/>
      <c r="K916" s="58"/>
      <c r="L916" s="3"/>
    </row>
    <row r="917" spans="1:12" s="71" customFormat="1">
      <c r="A917" s="87"/>
      <c r="B917" s="30"/>
      <c r="C917" s="70"/>
      <c r="G917" s="30"/>
      <c r="H917" s="77"/>
      <c r="I917" s="77"/>
      <c r="J917" s="58"/>
      <c r="K917" s="58"/>
      <c r="L917" s="3"/>
    </row>
    <row r="918" spans="1:12" s="71" customFormat="1">
      <c r="A918" s="87"/>
      <c r="B918" s="30"/>
      <c r="C918" s="70"/>
      <c r="G918" s="30"/>
      <c r="H918" s="77"/>
      <c r="I918" s="77"/>
      <c r="J918" s="58"/>
      <c r="K918" s="58"/>
      <c r="L918" s="3"/>
    </row>
    <row r="919" spans="1:12" s="71" customFormat="1">
      <c r="A919" s="87"/>
      <c r="B919" s="30"/>
      <c r="C919" s="70"/>
      <c r="G919" s="30"/>
      <c r="H919" s="77"/>
      <c r="I919" s="77"/>
      <c r="J919" s="58"/>
      <c r="K919" s="58"/>
      <c r="L919" s="3"/>
    </row>
    <row r="920" spans="1:12" s="71" customFormat="1">
      <c r="A920" s="87"/>
      <c r="B920" s="30"/>
      <c r="C920" s="70"/>
      <c r="G920" s="30"/>
      <c r="H920" s="77"/>
      <c r="I920" s="77"/>
      <c r="J920" s="58"/>
      <c r="K920" s="58"/>
      <c r="L920" s="3"/>
    </row>
    <row r="921" spans="1:12" s="71" customFormat="1">
      <c r="A921" s="87"/>
      <c r="B921" s="30"/>
      <c r="C921" s="70"/>
      <c r="G921" s="30"/>
      <c r="H921" s="77"/>
      <c r="I921" s="77"/>
      <c r="J921" s="58"/>
      <c r="K921" s="58"/>
      <c r="L921" s="3"/>
    </row>
    <row r="922" spans="1:12" s="71" customFormat="1">
      <c r="A922" s="87"/>
      <c r="B922" s="30"/>
      <c r="C922" s="70"/>
      <c r="G922" s="30"/>
      <c r="H922" s="77"/>
      <c r="I922" s="77"/>
      <c r="J922" s="58"/>
      <c r="K922" s="58"/>
      <c r="L922" s="3"/>
    </row>
    <row r="923" spans="1:12" s="71" customFormat="1">
      <c r="A923" s="87"/>
      <c r="B923" s="30"/>
      <c r="C923" s="70"/>
      <c r="G923" s="30"/>
      <c r="H923" s="77"/>
      <c r="I923" s="77"/>
      <c r="J923" s="58"/>
      <c r="K923" s="58"/>
      <c r="L923" s="3"/>
    </row>
    <row r="924" spans="1:12" s="71" customFormat="1">
      <c r="A924" s="87"/>
      <c r="B924" s="30"/>
      <c r="C924" s="70"/>
      <c r="G924" s="30"/>
      <c r="H924" s="77"/>
      <c r="I924" s="77"/>
      <c r="J924" s="58"/>
      <c r="K924" s="58"/>
      <c r="L924" s="3"/>
    </row>
    <row r="925" spans="1:12" s="71" customFormat="1">
      <c r="A925" s="87"/>
      <c r="B925" s="30"/>
      <c r="C925" s="70"/>
      <c r="G925" s="30"/>
      <c r="H925" s="77"/>
      <c r="I925" s="77"/>
      <c r="J925" s="58"/>
      <c r="K925" s="58"/>
      <c r="L925" s="3"/>
    </row>
    <row r="926" spans="1:12" s="71" customFormat="1">
      <c r="A926" s="87"/>
      <c r="B926" s="30"/>
      <c r="C926" s="70"/>
      <c r="G926" s="30"/>
      <c r="H926" s="77"/>
      <c r="I926" s="77"/>
      <c r="J926" s="58"/>
      <c r="K926" s="58"/>
      <c r="L926" s="3"/>
    </row>
    <row r="927" spans="1:12" s="71" customFormat="1">
      <c r="A927" s="87"/>
      <c r="B927" s="30"/>
      <c r="C927" s="70"/>
      <c r="G927" s="30"/>
      <c r="H927" s="77"/>
      <c r="I927" s="77"/>
      <c r="J927" s="58"/>
      <c r="K927" s="58"/>
      <c r="L927" s="3"/>
    </row>
    <row r="928" spans="1:12" s="71" customFormat="1">
      <c r="A928" s="87"/>
      <c r="B928" s="30"/>
      <c r="C928" s="70"/>
      <c r="G928" s="30"/>
      <c r="H928" s="77"/>
      <c r="I928" s="77"/>
      <c r="J928" s="58"/>
      <c r="K928" s="58"/>
      <c r="L928" s="3"/>
    </row>
    <row r="929" spans="1:12" s="71" customFormat="1">
      <c r="A929" s="87"/>
      <c r="B929" s="30"/>
      <c r="C929" s="70"/>
      <c r="G929" s="30"/>
      <c r="H929" s="77"/>
      <c r="I929" s="77"/>
      <c r="J929" s="58"/>
      <c r="K929" s="58"/>
      <c r="L929" s="3"/>
    </row>
    <row r="930" spans="1:12" s="71" customFormat="1">
      <c r="A930" s="87"/>
      <c r="B930" s="30"/>
      <c r="C930" s="70"/>
      <c r="G930" s="30"/>
      <c r="H930" s="77"/>
      <c r="I930" s="77"/>
      <c r="J930" s="58"/>
      <c r="K930" s="58"/>
      <c r="L930" s="3"/>
    </row>
    <row r="931" spans="1:12" s="71" customFormat="1">
      <c r="A931" s="87"/>
      <c r="B931" s="30"/>
      <c r="C931" s="70"/>
      <c r="G931" s="30"/>
      <c r="H931" s="77"/>
      <c r="I931" s="77"/>
      <c r="J931" s="58"/>
      <c r="K931" s="58"/>
      <c r="L931" s="3"/>
    </row>
    <row r="932" spans="1:12" s="71" customFormat="1">
      <c r="A932" s="87"/>
      <c r="B932" s="30"/>
      <c r="C932" s="70"/>
      <c r="G932" s="30"/>
      <c r="H932" s="77"/>
      <c r="I932" s="77"/>
      <c r="J932" s="58"/>
      <c r="K932" s="58"/>
      <c r="L932" s="3"/>
    </row>
    <row r="933" spans="1:12" s="71" customFormat="1">
      <c r="A933" s="87"/>
      <c r="B933" s="30"/>
      <c r="C933" s="70"/>
      <c r="G933" s="30"/>
      <c r="H933" s="77"/>
      <c r="I933" s="77"/>
      <c r="J933" s="58"/>
      <c r="K933" s="58"/>
      <c r="L933" s="3"/>
    </row>
    <row r="934" spans="1:12" s="71" customFormat="1">
      <c r="A934" s="87"/>
      <c r="B934" s="30"/>
      <c r="C934" s="70"/>
      <c r="G934" s="30"/>
      <c r="H934" s="77"/>
      <c r="I934" s="77"/>
      <c r="J934" s="58"/>
      <c r="K934" s="58"/>
      <c r="L934" s="3"/>
    </row>
    <row r="935" spans="1:12" s="71" customFormat="1">
      <c r="A935" s="87"/>
      <c r="B935" s="30"/>
      <c r="C935" s="70"/>
      <c r="G935" s="30"/>
      <c r="H935" s="77"/>
      <c r="I935" s="77"/>
      <c r="J935" s="58"/>
      <c r="K935" s="58"/>
      <c r="L935" s="3"/>
    </row>
    <row r="936" spans="1:12" s="71" customFormat="1">
      <c r="A936" s="87"/>
      <c r="B936" s="30"/>
      <c r="C936" s="70"/>
      <c r="G936" s="30"/>
      <c r="H936" s="77"/>
      <c r="I936" s="77"/>
      <c r="J936" s="58"/>
      <c r="K936" s="58"/>
      <c r="L936" s="3"/>
    </row>
    <row r="937" spans="1:12" s="71" customFormat="1">
      <c r="A937" s="87"/>
      <c r="B937" s="30"/>
      <c r="C937" s="70"/>
      <c r="G937" s="30"/>
      <c r="H937" s="77"/>
      <c r="I937" s="77"/>
      <c r="J937" s="58"/>
      <c r="K937" s="58"/>
      <c r="L937" s="3"/>
    </row>
    <row r="938" spans="1:12" s="71" customFormat="1">
      <c r="A938" s="87"/>
      <c r="B938" s="30"/>
      <c r="C938" s="70"/>
      <c r="G938" s="30"/>
      <c r="H938" s="77"/>
      <c r="I938" s="77"/>
      <c r="J938" s="58"/>
      <c r="K938" s="58"/>
      <c r="L938" s="3"/>
    </row>
    <row r="939" spans="1:12" s="71" customFormat="1">
      <c r="A939" s="87"/>
      <c r="B939" s="30"/>
      <c r="C939" s="70"/>
      <c r="G939" s="30"/>
      <c r="H939" s="77"/>
      <c r="I939" s="77"/>
      <c r="J939" s="58"/>
      <c r="K939" s="58"/>
      <c r="L939" s="3"/>
    </row>
    <row r="940" spans="1:12" s="71" customFormat="1">
      <c r="A940" s="87"/>
      <c r="B940" s="30"/>
      <c r="C940" s="70"/>
      <c r="G940" s="30"/>
      <c r="H940" s="77"/>
      <c r="I940" s="77"/>
      <c r="J940" s="58"/>
      <c r="K940" s="58"/>
      <c r="L940" s="3"/>
    </row>
    <row r="941" spans="1:12" s="71" customFormat="1">
      <c r="A941" s="87"/>
      <c r="B941" s="30"/>
      <c r="C941" s="70"/>
      <c r="G941" s="30"/>
      <c r="H941" s="77"/>
      <c r="I941" s="77"/>
      <c r="J941" s="58"/>
      <c r="K941" s="58"/>
      <c r="L941" s="3"/>
    </row>
    <row r="942" spans="1:12" s="71" customFormat="1">
      <c r="A942" s="87"/>
      <c r="B942" s="30"/>
      <c r="C942" s="70"/>
      <c r="G942" s="30"/>
      <c r="H942" s="77"/>
      <c r="I942" s="77"/>
      <c r="J942" s="58"/>
      <c r="K942" s="58"/>
      <c r="L942" s="3"/>
    </row>
    <row r="943" spans="1:12" s="71" customFormat="1">
      <c r="A943" s="87"/>
      <c r="B943" s="30"/>
      <c r="C943" s="70"/>
      <c r="G943" s="30"/>
      <c r="H943" s="77"/>
      <c r="I943" s="77"/>
      <c r="J943" s="58"/>
      <c r="K943" s="58"/>
      <c r="L943" s="3"/>
    </row>
    <row r="944" spans="1:12" s="71" customFormat="1">
      <c r="A944" s="87"/>
      <c r="B944" s="30"/>
      <c r="C944" s="70"/>
      <c r="G944" s="30"/>
      <c r="H944" s="77"/>
      <c r="I944" s="77"/>
      <c r="J944" s="58"/>
      <c r="K944" s="58"/>
      <c r="L944" s="3"/>
    </row>
    <row r="945" spans="1:12" s="71" customFormat="1">
      <c r="A945" s="87"/>
      <c r="B945" s="30"/>
      <c r="C945" s="70"/>
      <c r="G945" s="30"/>
      <c r="H945" s="77"/>
      <c r="I945" s="77"/>
      <c r="J945" s="58"/>
      <c r="K945" s="58"/>
      <c r="L945" s="3"/>
    </row>
    <row r="946" spans="1:12" s="71" customFormat="1">
      <c r="A946" s="87"/>
      <c r="B946" s="30"/>
      <c r="C946" s="70"/>
      <c r="G946" s="30"/>
      <c r="H946" s="77"/>
      <c r="I946" s="77"/>
      <c r="J946" s="58"/>
      <c r="K946" s="58"/>
      <c r="L946" s="3"/>
    </row>
    <row r="947" spans="1:12" s="71" customFormat="1">
      <c r="A947" s="87"/>
      <c r="B947" s="30"/>
      <c r="C947" s="70"/>
      <c r="G947" s="30"/>
      <c r="H947" s="77"/>
      <c r="I947" s="77"/>
      <c r="J947" s="58"/>
      <c r="K947" s="58"/>
      <c r="L947" s="3"/>
    </row>
    <row r="948" spans="1:12" s="71" customFormat="1">
      <c r="A948" s="87"/>
      <c r="B948" s="30"/>
      <c r="C948" s="70"/>
      <c r="G948" s="30"/>
      <c r="H948" s="77"/>
      <c r="I948" s="77"/>
      <c r="J948" s="58"/>
      <c r="K948" s="58"/>
      <c r="L948" s="3"/>
    </row>
    <row r="949" spans="1:12" s="71" customFormat="1">
      <c r="A949" s="87"/>
      <c r="B949" s="30"/>
      <c r="C949" s="70"/>
      <c r="G949" s="30"/>
      <c r="H949" s="77"/>
      <c r="I949" s="77"/>
      <c r="J949" s="58"/>
      <c r="K949" s="58"/>
      <c r="L949" s="3"/>
    </row>
    <row r="950" spans="1:12" s="71" customFormat="1">
      <c r="A950" s="87"/>
      <c r="B950" s="30"/>
      <c r="C950" s="70"/>
      <c r="G950" s="30"/>
      <c r="H950" s="77"/>
      <c r="I950" s="77"/>
      <c r="J950" s="58"/>
      <c r="K950" s="58"/>
      <c r="L950" s="3"/>
    </row>
    <row r="951" spans="1:12" s="71" customFormat="1">
      <c r="A951" s="87"/>
      <c r="B951" s="30"/>
      <c r="C951" s="70"/>
      <c r="G951" s="30"/>
      <c r="H951" s="77"/>
      <c r="I951" s="77"/>
      <c r="J951" s="58"/>
      <c r="K951" s="58"/>
      <c r="L951" s="3"/>
    </row>
    <row r="952" spans="1:12" s="71" customFormat="1">
      <c r="A952" s="87"/>
      <c r="B952" s="30"/>
      <c r="C952" s="70"/>
      <c r="G952" s="30"/>
      <c r="H952" s="77"/>
      <c r="I952" s="77"/>
      <c r="J952" s="58"/>
      <c r="K952" s="58"/>
      <c r="L952" s="3"/>
    </row>
    <row r="953" spans="1:12" s="71" customFormat="1">
      <c r="A953" s="87"/>
      <c r="B953" s="30"/>
      <c r="C953" s="70"/>
      <c r="G953" s="30"/>
      <c r="H953" s="77"/>
      <c r="I953" s="77"/>
      <c r="J953" s="58"/>
      <c r="K953" s="58"/>
      <c r="L953" s="3"/>
    </row>
    <row r="954" spans="1:12" s="71" customFormat="1">
      <c r="A954" s="87"/>
      <c r="B954" s="30"/>
      <c r="C954" s="70"/>
      <c r="G954" s="30"/>
      <c r="H954" s="77"/>
      <c r="I954" s="77"/>
      <c r="J954" s="58"/>
      <c r="K954" s="58"/>
      <c r="L954" s="3"/>
    </row>
    <row r="955" spans="1:12" s="71" customFormat="1">
      <c r="A955" s="87"/>
      <c r="B955" s="30"/>
      <c r="C955" s="70"/>
      <c r="G955" s="30"/>
      <c r="H955" s="77"/>
      <c r="I955" s="77"/>
      <c r="J955" s="58"/>
      <c r="K955" s="58"/>
      <c r="L955" s="3"/>
    </row>
    <row r="956" spans="1:12" s="71" customFormat="1">
      <c r="A956" s="87"/>
      <c r="B956" s="30"/>
      <c r="C956" s="70"/>
      <c r="G956" s="30"/>
      <c r="H956" s="77"/>
      <c r="I956" s="77"/>
      <c r="J956" s="58"/>
      <c r="K956" s="58"/>
      <c r="L956" s="3"/>
    </row>
    <row r="957" spans="1:12" s="71" customFormat="1">
      <c r="A957" s="87"/>
      <c r="B957" s="30"/>
      <c r="C957" s="70"/>
      <c r="G957" s="30"/>
      <c r="H957" s="77"/>
      <c r="I957" s="77"/>
      <c r="J957" s="58"/>
      <c r="K957" s="58"/>
      <c r="L957" s="3"/>
    </row>
    <row r="958" spans="1:12" s="71" customFormat="1">
      <c r="A958" s="87"/>
      <c r="B958" s="30"/>
      <c r="C958" s="70"/>
      <c r="G958" s="30"/>
      <c r="H958" s="77"/>
      <c r="I958" s="77"/>
      <c r="J958" s="58"/>
      <c r="K958" s="58"/>
      <c r="L958" s="3"/>
    </row>
    <row r="959" spans="1:12" s="71" customFormat="1">
      <c r="A959" s="87"/>
      <c r="B959" s="30"/>
      <c r="C959" s="70"/>
      <c r="G959" s="30"/>
      <c r="H959" s="77"/>
      <c r="I959" s="77"/>
      <c r="J959" s="58"/>
      <c r="K959" s="58"/>
      <c r="L959" s="3"/>
    </row>
    <row r="960" spans="1:12" s="71" customFormat="1">
      <c r="A960" s="87"/>
      <c r="B960" s="30"/>
      <c r="C960" s="70"/>
      <c r="G960" s="30"/>
      <c r="H960" s="77"/>
      <c r="I960" s="77"/>
      <c r="J960" s="58"/>
      <c r="K960" s="58"/>
      <c r="L960" s="3"/>
    </row>
    <row r="961" spans="1:12" s="71" customFormat="1">
      <c r="A961" s="87"/>
      <c r="B961" s="30"/>
      <c r="C961" s="70"/>
      <c r="G961" s="30"/>
      <c r="H961" s="77"/>
      <c r="I961" s="77"/>
      <c r="J961" s="58"/>
      <c r="K961" s="58"/>
      <c r="L961" s="3"/>
    </row>
    <row r="962" spans="1:12" s="71" customFormat="1">
      <c r="A962" s="87"/>
      <c r="B962" s="30"/>
      <c r="C962" s="70"/>
      <c r="G962" s="30"/>
      <c r="H962" s="77"/>
      <c r="I962" s="77"/>
      <c r="J962" s="58"/>
      <c r="K962" s="58"/>
      <c r="L962" s="3"/>
    </row>
    <row r="963" spans="1:12" s="71" customFormat="1">
      <c r="A963" s="87"/>
      <c r="B963" s="30"/>
      <c r="C963" s="70"/>
      <c r="G963" s="30"/>
      <c r="H963" s="77"/>
      <c r="I963" s="77"/>
      <c r="J963" s="58"/>
      <c r="K963" s="58"/>
      <c r="L963" s="3"/>
    </row>
    <row r="964" spans="1:12" s="71" customFormat="1">
      <c r="A964" s="87"/>
      <c r="B964" s="30"/>
      <c r="C964" s="70"/>
      <c r="G964" s="30"/>
      <c r="H964" s="77"/>
      <c r="I964" s="77"/>
      <c r="J964" s="58"/>
      <c r="K964" s="58"/>
      <c r="L964" s="3"/>
    </row>
    <row r="965" spans="1:12" s="71" customFormat="1">
      <c r="A965" s="87"/>
      <c r="B965" s="30"/>
      <c r="C965" s="70"/>
      <c r="G965" s="30"/>
      <c r="H965" s="77"/>
      <c r="I965" s="77"/>
      <c r="J965" s="58"/>
      <c r="K965" s="58"/>
      <c r="L965" s="3"/>
    </row>
    <row r="966" spans="1:12" s="71" customFormat="1">
      <c r="A966" s="87"/>
      <c r="B966" s="30"/>
      <c r="C966" s="70"/>
      <c r="G966" s="30"/>
      <c r="H966" s="77"/>
      <c r="I966" s="77"/>
      <c r="J966" s="58"/>
      <c r="K966" s="58"/>
      <c r="L966" s="3"/>
    </row>
    <row r="967" spans="1:12" s="71" customFormat="1">
      <c r="A967" s="87"/>
      <c r="B967" s="30"/>
      <c r="C967" s="70"/>
      <c r="G967" s="30"/>
      <c r="H967" s="77"/>
      <c r="I967" s="77"/>
      <c r="J967" s="58"/>
      <c r="K967" s="58"/>
      <c r="L967" s="3"/>
    </row>
    <row r="968" spans="1:12" s="71" customFormat="1">
      <c r="A968" s="87"/>
      <c r="B968" s="30"/>
      <c r="C968" s="70"/>
      <c r="G968" s="30"/>
      <c r="H968" s="77"/>
      <c r="I968" s="77"/>
      <c r="J968" s="58"/>
      <c r="K968" s="58"/>
      <c r="L968" s="3"/>
    </row>
    <row r="969" spans="1:12" s="71" customFormat="1">
      <c r="A969" s="87"/>
      <c r="B969" s="30"/>
      <c r="C969" s="70"/>
      <c r="G969" s="30"/>
      <c r="H969" s="77"/>
      <c r="I969" s="77"/>
      <c r="J969" s="58"/>
      <c r="K969" s="58"/>
      <c r="L969" s="3"/>
    </row>
    <row r="970" spans="1:12" s="71" customFormat="1">
      <c r="A970" s="87"/>
      <c r="B970" s="30"/>
      <c r="C970" s="70"/>
      <c r="G970" s="30"/>
      <c r="H970" s="77"/>
      <c r="I970" s="77"/>
      <c r="J970" s="58"/>
      <c r="K970" s="58"/>
      <c r="L970" s="3"/>
    </row>
    <row r="971" spans="1:12" s="71" customFormat="1">
      <c r="A971" s="87"/>
      <c r="B971" s="30"/>
      <c r="C971" s="70"/>
      <c r="G971" s="30"/>
      <c r="H971" s="77"/>
      <c r="I971" s="77"/>
      <c r="J971" s="58"/>
      <c r="K971" s="58"/>
      <c r="L971" s="3"/>
    </row>
    <row r="972" spans="1:12" s="71" customFormat="1">
      <c r="A972" s="87"/>
      <c r="B972" s="30"/>
      <c r="C972" s="70"/>
      <c r="G972" s="30"/>
      <c r="H972" s="77"/>
      <c r="I972" s="77"/>
      <c r="J972" s="58"/>
      <c r="K972" s="58"/>
      <c r="L972" s="3"/>
    </row>
    <row r="973" spans="1:12" s="71" customFormat="1">
      <c r="A973" s="87"/>
      <c r="B973" s="30"/>
      <c r="C973" s="70"/>
      <c r="G973" s="30"/>
      <c r="H973" s="77"/>
      <c r="I973" s="77"/>
      <c r="J973" s="58"/>
      <c r="K973" s="58"/>
      <c r="L973" s="3"/>
    </row>
    <row r="974" spans="1:12" s="71" customFormat="1">
      <c r="A974" s="87"/>
      <c r="B974" s="30"/>
      <c r="C974" s="70"/>
      <c r="G974" s="30"/>
      <c r="H974" s="77"/>
      <c r="I974" s="77"/>
      <c r="J974" s="58"/>
      <c r="K974" s="58"/>
      <c r="L974" s="3"/>
    </row>
    <row r="975" spans="1:12" s="71" customFormat="1">
      <c r="A975" s="87"/>
      <c r="B975" s="30"/>
      <c r="C975" s="70"/>
      <c r="G975" s="30"/>
      <c r="H975" s="77"/>
      <c r="I975" s="77"/>
      <c r="J975" s="58"/>
      <c r="K975" s="58"/>
      <c r="L975" s="3"/>
    </row>
    <row r="976" spans="1:12" s="71" customFormat="1">
      <c r="A976" s="87"/>
      <c r="B976" s="30"/>
      <c r="C976" s="70"/>
      <c r="G976" s="30"/>
      <c r="H976" s="77"/>
      <c r="I976" s="77"/>
      <c r="J976" s="58"/>
      <c r="K976" s="58"/>
      <c r="L976" s="3"/>
    </row>
    <row r="977" spans="1:12" s="71" customFormat="1">
      <c r="A977" s="87"/>
      <c r="B977" s="30"/>
      <c r="C977" s="70"/>
      <c r="G977" s="30"/>
      <c r="H977" s="77"/>
      <c r="I977" s="77"/>
      <c r="J977" s="58"/>
      <c r="K977" s="58"/>
      <c r="L977" s="3"/>
    </row>
    <row r="978" spans="1:12" s="71" customFormat="1">
      <c r="A978" s="87"/>
      <c r="B978" s="30"/>
      <c r="C978" s="70"/>
      <c r="G978" s="30"/>
      <c r="H978" s="77"/>
      <c r="I978" s="77"/>
      <c r="J978" s="58"/>
      <c r="K978" s="58"/>
      <c r="L978" s="3"/>
    </row>
    <row r="979" spans="1:12" s="71" customFormat="1">
      <c r="A979" s="87"/>
      <c r="B979" s="30"/>
      <c r="C979" s="70"/>
      <c r="G979" s="30"/>
      <c r="H979" s="77"/>
      <c r="I979" s="77"/>
      <c r="J979" s="58"/>
      <c r="K979" s="58"/>
      <c r="L979" s="3"/>
    </row>
    <row r="980" spans="1:12" s="71" customFormat="1">
      <c r="A980" s="87"/>
      <c r="B980" s="30"/>
      <c r="C980" s="70"/>
      <c r="G980" s="30"/>
      <c r="H980" s="77"/>
      <c r="I980" s="77"/>
      <c r="J980" s="58"/>
      <c r="K980" s="58"/>
      <c r="L980" s="3"/>
    </row>
    <row r="981" spans="1:12" s="71" customFormat="1">
      <c r="A981" s="87"/>
      <c r="B981" s="30"/>
      <c r="C981" s="70"/>
      <c r="G981" s="30"/>
      <c r="H981" s="77"/>
      <c r="I981" s="77"/>
      <c r="J981" s="58"/>
      <c r="K981" s="58"/>
      <c r="L981" s="3"/>
    </row>
    <row r="982" spans="1:12" s="71" customFormat="1">
      <c r="A982" s="87"/>
      <c r="B982" s="30"/>
      <c r="C982" s="70"/>
      <c r="G982" s="30"/>
      <c r="H982" s="77"/>
      <c r="I982" s="77"/>
      <c r="J982" s="58"/>
      <c r="K982" s="58"/>
      <c r="L982" s="3"/>
    </row>
    <row r="983" spans="1:12" s="71" customFormat="1">
      <c r="A983" s="87"/>
      <c r="B983" s="30"/>
      <c r="C983" s="70"/>
      <c r="G983" s="30"/>
      <c r="H983" s="77"/>
      <c r="I983" s="77"/>
      <c r="J983" s="58"/>
      <c r="K983" s="58"/>
      <c r="L983" s="3"/>
    </row>
    <row r="984" spans="1:12" s="71" customFormat="1">
      <c r="A984" s="87"/>
      <c r="B984" s="30"/>
      <c r="C984" s="70"/>
      <c r="G984" s="30"/>
      <c r="H984" s="77"/>
      <c r="I984" s="77"/>
      <c r="J984" s="58"/>
      <c r="K984" s="58"/>
      <c r="L984" s="3"/>
    </row>
    <row r="985" spans="1:12" s="71" customFormat="1">
      <c r="A985" s="87"/>
      <c r="B985" s="30"/>
      <c r="C985" s="70"/>
      <c r="G985" s="30"/>
      <c r="H985" s="77"/>
      <c r="I985" s="77"/>
      <c r="J985" s="58"/>
      <c r="K985" s="58"/>
      <c r="L985" s="3"/>
    </row>
    <row r="986" spans="1:12" s="71" customFormat="1">
      <c r="A986" s="87"/>
      <c r="B986" s="30"/>
      <c r="C986" s="70"/>
      <c r="G986" s="30"/>
      <c r="H986" s="77"/>
      <c r="I986" s="77"/>
      <c r="J986" s="58"/>
      <c r="K986" s="58"/>
      <c r="L986" s="3"/>
    </row>
    <row r="987" spans="1:12" s="71" customFormat="1">
      <c r="A987" s="87"/>
      <c r="B987" s="30"/>
      <c r="C987" s="70"/>
      <c r="G987" s="30"/>
      <c r="H987" s="77"/>
      <c r="I987" s="77"/>
      <c r="J987" s="58"/>
      <c r="K987" s="58"/>
      <c r="L987" s="3"/>
    </row>
    <row r="988" spans="1:12" s="71" customFormat="1">
      <c r="A988" s="87"/>
      <c r="B988" s="30"/>
      <c r="C988" s="70"/>
      <c r="G988" s="30"/>
      <c r="H988" s="77"/>
      <c r="I988" s="77"/>
      <c r="J988" s="58"/>
      <c r="K988" s="58"/>
      <c r="L988" s="3"/>
    </row>
    <row r="989" spans="1:12" s="71" customFormat="1">
      <c r="A989" s="87"/>
      <c r="B989" s="30"/>
      <c r="C989" s="70"/>
      <c r="G989" s="30"/>
      <c r="H989" s="77"/>
      <c r="I989" s="77"/>
      <c r="J989" s="58"/>
      <c r="K989" s="58"/>
      <c r="L989" s="3"/>
    </row>
    <row r="990" spans="1:12" s="71" customFormat="1">
      <c r="A990" s="87"/>
      <c r="B990" s="30"/>
      <c r="C990" s="70"/>
      <c r="G990" s="30"/>
      <c r="H990" s="77"/>
      <c r="I990" s="77"/>
      <c r="J990" s="58"/>
      <c r="K990" s="58"/>
      <c r="L990" s="3"/>
    </row>
    <row r="991" spans="1:12" s="71" customFormat="1">
      <c r="A991" s="87"/>
      <c r="B991" s="30"/>
      <c r="C991" s="70"/>
      <c r="G991" s="30"/>
      <c r="H991" s="77"/>
      <c r="I991" s="77"/>
      <c r="J991" s="58"/>
      <c r="K991" s="58"/>
      <c r="L991" s="3"/>
    </row>
    <row r="992" spans="1:12" s="71" customFormat="1">
      <c r="A992" s="87"/>
      <c r="B992" s="30"/>
      <c r="C992" s="70"/>
      <c r="G992" s="30"/>
      <c r="H992" s="77"/>
      <c r="I992" s="77"/>
      <c r="J992" s="58"/>
      <c r="K992" s="58"/>
      <c r="L992" s="3"/>
    </row>
    <row r="993" spans="1:12" s="71" customFormat="1">
      <c r="A993" s="87"/>
      <c r="B993" s="30"/>
      <c r="C993" s="70"/>
      <c r="G993" s="30"/>
      <c r="H993" s="77"/>
      <c r="I993" s="77"/>
      <c r="J993" s="58"/>
      <c r="K993" s="58"/>
      <c r="L993" s="3"/>
    </row>
    <row r="994" spans="1:12" s="71" customFormat="1">
      <c r="A994" s="87"/>
      <c r="B994" s="30"/>
      <c r="C994" s="70"/>
      <c r="G994" s="30"/>
      <c r="H994" s="77"/>
      <c r="I994" s="77"/>
      <c r="J994" s="58"/>
      <c r="K994" s="58"/>
      <c r="L994" s="3"/>
    </row>
    <row r="995" spans="1:12" s="71" customFormat="1">
      <c r="A995" s="87"/>
      <c r="B995" s="30"/>
      <c r="C995" s="70"/>
      <c r="G995" s="30"/>
      <c r="H995" s="77"/>
      <c r="I995" s="77"/>
      <c r="J995" s="58"/>
      <c r="K995" s="58"/>
      <c r="L995" s="3"/>
    </row>
    <row r="996" spans="1:12" s="71" customFormat="1">
      <c r="A996" s="87"/>
      <c r="B996" s="30"/>
      <c r="C996" s="70"/>
      <c r="G996" s="30"/>
      <c r="H996" s="77"/>
      <c r="I996" s="77"/>
      <c r="J996" s="58"/>
      <c r="K996" s="58"/>
      <c r="L996" s="3"/>
    </row>
    <row r="997" spans="1:12" s="71" customFormat="1">
      <c r="A997" s="87"/>
      <c r="B997" s="30"/>
      <c r="C997" s="70"/>
      <c r="G997" s="30"/>
      <c r="H997" s="77"/>
      <c r="I997" s="77"/>
      <c r="J997" s="58"/>
      <c r="K997" s="58"/>
      <c r="L997" s="3"/>
    </row>
    <row r="998" spans="1:12" s="71" customFormat="1">
      <c r="A998" s="87"/>
      <c r="B998" s="30"/>
      <c r="C998" s="70"/>
      <c r="G998" s="30"/>
      <c r="H998" s="77"/>
      <c r="I998" s="77"/>
      <c r="J998" s="58"/>
      <c r="K998" s="58"/>
      <c r="L998" s="3"/>
    </row>
    <row r="999" spans="1:12" s="71" customFormat="1">
      <c r="A999" s="87"/>
      <c r="B999" s="30"/>
      <c r="C999" s="70"/>
      <c r="G999" s="30"/>
      <c r="H999" s="77"/>
      <c r="I999" s="77"/>
      <c r="J999" s="58"/>
      <c r="K999" s="58"/>
      <c r="L999" s="3"/>
    </row>
    <row r="1000" spans="1:12" s="71" customFormat="1">
      <c r="A1000" s="87"/>
      <c r="B1000" s="30"/>
      <c r="C1000" s="70"/>
      <c r="G1000" s="30"/>
      <c r="H1000" s="77"/>
      <c r="I1000" s="77"/>
      <c r="J1000" s="58"/>
      <c r="K1000" s="58"/>
      <c r="L1000" s="3"/>
    </row>
    <row r="1001" spans="1:12" s="71" customFormat="1">
      <c r="A1001" s="87"/>
      <c r="B1001" s="30"/>
      <c r="C1001" s="70"/>
      <c r="G1001" s="30"/>
      <c r="H1001" s="77"/>
      <c r="I1001" s="77"/>
      <c r="J1001" s="58"/>
      <c r="K1001" s="58"/>
      <c r="L1001" s="3"/>
    </row>
    <row r="1002" spans="1:12" s="71" customFormat="1">
      <c r="A1002" s="87"/>
      <c r="B1002" s="30"/>
      <c r="C1002" s="70"/>
      <c r="G1002" s="30"/>
      <c r="H1002" s="77"/>
      <c r="I1002" s="77"/>
      <c r="J1002" s="58"/>
      <c r="K1002" s="58"/>
      <c r="L1002" s="3"/>
    </row>
    <row r="1003" spans="1:12" s="71" customFormat="1">
      <c r="A1003" s="87"/>
      <c r="B1003" s="30"/>
      <c r="C1003" s="70"/>
      <c r="G1003" s="30"/>
      <c r="H1003" s="77"/>
      <c r="I1003" s="77"/>
      <c r="J1003" s="58"/>
      <c r="K1003" s="58"/>
      <c r="L1003" s="3"/>
    </row>
    <row r="1004" spans="1:12" s="71" customFormat="1">
      <c r="A1004" s="87"/>
      <c r="B1004" s="30"/>
      <c r="C1004" s="70"/>
      <c r="G1004" s="30"/>
      <c r="H1004" s="77"/>
      <c r="I1004" s="77"/>
      <c r="J1004" s="58"/>
      <c r="K1004" s="58"/>
      <c r="L1004" s="3"/>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L1005"/>
  <sheetViews>
    <sheetView showZeros="0" topLeftCell="A59" zoomScale="80" zoomScaleNormal="80" workbookViewId="0">
      <selection activeCell="D27" sqref="D27:D113"/>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5.7109375" style="77" customWidth="1"/>
    <col min="10" max="10" width="43.5703125" style="58" customWidth="1"/>
    <col min="11" max="11" width="9.140625" style="58" customWidth="1"/>
    <col min="12" max="16384" width="8.85546875" style="3"/>
  </cols>
  <sheetData>
    <row r="1" spans="2:12" ht="15.75">
      <c r="B1" s="1" t="str">
        <f>'Drawings &amp; Data'!A1</f>
        <v>ESTATE NAME</v>
      </c>
      <c r="C1" s="1"/>
      <c r="D1" s="1"/>
      <c r="E1" s="1"/>
      <c r="F1" s="1"/>
      <c r="G1" s="1"/>
      <c r="H1" s="1"/>
      <c r="I1" s="1"/>
      <c r="J1" s="3"/>
      <c r="K1" s="3"/>
    </row>
    <row r="2" spans="2:12" ht="15.75">
      <c r="B2" s="4" t="str">
        <f>'Drawings &amp; Data'!A2</f>
        <v>STAGE X</v>
      </c>
      <c r="C2" s="1"/>
      <c r="D2" s="1"/>
      <c r="E2" s="1"/>
      <c r="F2" s="1"/>
      <c r="G2" s="1"/>
      <c r="H2" s="1"/>
      <c r="I2" s="1"/>
      <c r="J2" s="3"/>
      <c r="K2" s="3"/>
    </row>
    <row r="3" spans="2:12" ht="15.75">
      <c r="B3" s="1"/>
      <c r="C3" s="1"/>
      <c r="D3" s="1"/>
      <c r="E3" s="1"/>
      <c r="F3" s="1"/>
      <c r="G3" s="1"/>
      <c r="H3" s="1"/>
      <c r="I3" s="1"/>
      <c r="J3" s="3"/>
      <c r="K3" s="3"/>
    </row>
    <row r="4" spans="2:12" ht="15.75">
      <c r="B4" s="5" t="s">
        <v>9</v>
      </c>
      <c r="C4" s="1"/>
      <c r="D4" s="1"/>
      <c r="E4" s="1"/>
      <c r="F4" s="1"/>
      <c r="G4" s="1"/>
      <c r="H4" s="1"/>
      <c r="I4" s="1"/>
      <c r="J4" s="3"/>
      <c r="K4" s="3"/>
    </row>
    <row r="5" spans="2:12" ht="15.75">
      <c r="B5" s="6" t="str">
        <f>'Drawings &amp; Data'!A5</f>
        <v>Name and/or entity</v>
      </c>
      <c r="C5" s="1"/>
      <c r="D5" s="1"/>
      <c r="E5" s="1"/>
      <c r="F5" s="1"/>
      <c r="G5" s="1"/>
      <c r="H5" s="1"/>
      <c r="I5" s="1"/>
      <c r="J5" s="3"/>
      <c r="K5" s="3"/>
    </row>
    <row r="6" spans="2:12" ht="15.75">
      <c r="B6" s="6" t="str">
        <f>'Drawings &amp; Data'!A6</f>
        <v>Address 1</v>
      </c>
      <c r="C6" s="1"/>
      <c r="D6" s="1"/>
      <c r="E6" s="1"/>
      <c r="F6" s="1"/>
      <c r="G6" s="1"/>
      <c r="H6" s="1"/>
      <c r="I6" s="1"/>
      <c r="J6" s="3"/>
      <c r="K6" s="3"/>
    </row>
    <row r="7" spans="2:12" ht="15.75">
      <c r="B7" s="6" t="str">
        <f>'Drawings &amp; Data'!A7</f>
        <v>Address 2</v>
      </c>
      <c r="C7" s="1"/>
      <c r="D7" s="1"/>
      <c r="E7" s="1"/>
      <c r="F7" s="1"/>
      <c r="G7" s="1"/>
      <c r="H7" s="1"/>
      <c r="I7" s="1"/>
      <c r="J7" s="3"/>
      <c r="K7" s="3"/>
    </row>
    <row r="8" spans="2:12">
      <c r="B8" s="6"/>
      <c r="C8" s="6"/>
      <c r="D8" s="6"/>
      <c r="E8" s="6"/>
      <c r="F8" s="6"/>
      <c r="G8" s="6"/>
      <c r="H8" s="6"/>
      <c r="I8" s="6"/>
    </row>
    <row r="9" spans="2:12" ht="15">
      <c r="B9" s="5" t="s">
        <v>10</v>
      </c>
      <c r="C9" s="6"/>
      <c r="D9" s="6"/>
      <c r="E9" s="6"/>
      <c r="F9" s="6"/>
      <c r="G9" s="6"/>
      <c r="H9" s="6"/>
      <c r="I9" s="6"/>
    </row>
    <row r="10" spans="2:12">
      <c r="B10" s="6" t="s">
        <v>282</v>
      </c>
      <c r="C10" s="6"/>
      <c r="D10" s="6"/>
      <c r="E10" s="6"/>
      <c r="F10" s="6"/>
      <c r="G10" s="6"/>
      <c r="H10" s="6"/>
      <c r="I10" s="6"/>
      <c r="L10" s="58"/>
    </row>
    <row r="11" spans="2:12">
      <c r="B11" s="6" t="s">
        <v>530</v>
      </c>
      <c r="C11" s="6"/>
      <c r="D11" s="6"/>
      <c r="E11" s="6"/>
      <c r="F11" s="6"/>
      <c r="G11" s="6"/>
      <c r="H11" s="6"/>
      <c r="I11" s="6"/>
    </row>
    <row r="12" spans="2:12">
      <c r="B12" s="6" t="s">
        <v>529</v>
      </c>
      <c r="C12" s="6"/>
      <c r="D12" s="6"/>
      <c r="E12" s="6"/>
      <c r="F12" s="6"/>
      <c r="G12" s="6"/>
      <c r="H12" s="6"/>
      <c r="I12" s="6"/>
    </row>
    <row r="13" spans="2:12">
      <c r="B13" s="6"/>
      <c r="C13" s="6"/>
      <c r="D13" s="6"/>
      <c r="E13" s="6"/>
      <c r="F13" s="6"/>
      <c r="G13" s="6"/>
      <c r="H13" s="6"/>
      <c r="I13" s="6"/>
    </row>
    <row r="14" spans="2:12" ht="15.75">
      <c r="B14" s="4" t="s">
        <v>348</v>
      </c>
      <c r="C14" s="6"/>
      <c r="D14" s="6"/>
      <c r="E14" s="6"/>
      <c r="F14" s="6"/>
      <c r="G14" s="6"/>
      <c r="H14" s="6"/>
      <c r="I14" s="6"/>
    </row>
    <row r="15" spans="2:12" ht="15.75">
      <c r="B15" s="1" t="s">
        <v>30</v>
      </c>
      <c r="C15" s="6"/>
      <c r="D15" s="6"/>
      <c r="E15" s="6"/>
      <c r="F15" s="6"/>
      <c r="G15" s="6"/>
      <c r="H15" s="6"/>
      <c r="I15" s="6"/>
    </row>
    <row r="16" spans="2:12">
      <c r="B16" s="6"/>
      <c r="C16" s="6"/>
      <c r="D16" s="6"/>
      <c r="E16" s="6"/>
      <c r="F16" s="6"/>
      <c r="G16" s="6"/>
      <c r="H16" s="6"/>
      <c r="I16" s="6"/>
    </row>
    <row r="17" spans="1:11" ht="72"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72.599999999999994"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60.6" customHeight="1">
      <c r="B21" s="110" t="s">
        <v>183</v>
      </c>
      <c r="C21" s="110"/>
      <c r="D21" s="38"/>
      <c r="E21" s="38"/>
      <c r="F21" s="38"/>
      <c r="G21" s="39"/>
      <c r="H21" s="40"/>
      <c r="I21" s="40"/>
    </row>
    <row r="22" spans="1:11" s="41" customFormat="1" ht="15">
      <c r="A22" s="43" t="s">
        <v>513</v>
      </c>
      <c r="B22" s="94"/>
      <c r="C22" s="30"/>
      <c r="D22" s="38"/>
      <c r="E22" s="38"/>
      <c r="F22" s="38"/>
      <c r="G22" s="39"/>
      <c r="H22" s="40"/>
      <c r="I22" s="40"/>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49"/>
    </row>
    <row r="25" spans="1:11" s="41" customFormat="1" ht="15">
      <c r="A25" s="50">
        <v>1</v>
      </c>
      <c r="B25" s="51">
        <f ca="1">IF($A25="","",NumList())</f>
        <v>1</v>
      </c>
      <c r="C25" s="52" t="s">
        <v>75</v>
      </c>
      <c r="D25" s="48"/>
      <c r="E25" s="46"/>
      <c r="F25" s="46"/>
      <c r="G25" s="46"/>
      <c r="H25" s="49"/>
      <c r="I25" s="53">
        <f t="shared" ref="I25:I88" si="0">F25*H25</f>
        <v>0</v>
      </c>
    </row>
    <row r="26" spans="1:11" s="41" customFormat="1" ht="15">
      <c r="A26" s="50">
        <v>2</v>
      </c>
      <c r="B26" s="51" t="str">
        <f ca="1">IF($A26="","",NumList())</f>
        <v>1.1</v>
      </c>
      <c r="C26" s="54" t="s">
        <v>76</v>
      </c>
      <c r="D26" s="55"/>
      <c r="E26" s="51"/>
      <c r="F26" s="51"/>
      <c r="G26" s="46"/>
      <c r="H26" s="49"/>
      <c r="I26" s="53">
        <f t="shared" si="0"/>
        <v>0</v>
      </c>
    </row>
    <row r="27" spans="1:11" s="41" customFormat="1" ht="99.75">
      <c r="A27" s="50">
        <v>3</v>
      </c>
      <c r="B27" s="51" t="str">
        <f ca="1">IF($A27="","",NumList())</f>
        <v>1.1.1</v>
      </c>
      <c r="C27" s="54" t="s">
        <v>349</v>
      </c>
      <c r="D27" s="55">
        <f ca="1">IF(ISTEXT(G27),RANDBETWEEN(1,1),0)</f>
        <v>1</v>
      </c>
      <c r="E27" s="51"/>
      <c r="F27" s="89">
        <f ca="1">IF(ISTEXT(G27),RANDBETWEEN(1,100),0)</f>
        <v>73</v>
      </c>
      <c r="G27" s="51" t="s">
        <v>0</v>
      </c>
      <c r="H27" s="49">
        <f ca="1">IF(ISTEXT(G27),RANDBETWEEN(1,100),0)</f>
        <v>87</v>
      </c>
      <c r="I27" s="53">
        <f t="shared" ca="1" si="0"/>
        <v>6351</v>
      </c>
    </row>
    <row r="28" spans="1:11" s="41" customFormat="1" ht="85.5">
      <c r="A28" s="50">
        <v>3</v>
      </c>
      <c r="B28" s="51" t="str">
        <f ca="1">IF($A28="","",NumList())</f>
        <v>1.1.2</v>
      </c>
      <c r="C28" s="54" t="s">
        <v>350</v>
      </c>
      <c r="D28" s="55">
        <f t="shared" ref="D28:D91" ca="1" si="1">IF(ISTEXT(G28),RANDBETWEEN(1,1),0)</f>
        <v>1</v>
      </c>
      <c r="E28" s="51"/>
      <c r="F28" s="89">
        <f t="shared" ref="F28:F91" ca="1" si="2">IF(ISTEXT(G28),RANDBETWEEN(1,100),0)</f>
        <v>17</v>
      </c>
      <c r="G28" s="51" t="s">
        <v>0</v>
      </c>
      <c r="H28" s="49">
        <f t="shared" ref="H28:H91" ca="1" si="3">IF(ISTEXT(G28),RANDBETWEEN(1,100),0)</f>
        <v>19</v>
      </c>
      <c r="I28" s="53">
        <f t="shared" ca="1" si="0"/>
        <v>323</v>
      </c>
    </row>
    <row r="29" spans="1:11" s="41" customFormat="1" ht="15">
      <c r="A29" s="50">
        <v>3</v>
      </c>
      <c r="B29" s="51" t="str">
        <f ca="1">IF($A29="","",NumList())</f>
        <v>1.1.3</v>
      </c>
      <c r="C29" s="96" t="s">
        <v>351</v>
      </c>
      <c r="D29" s="55">
        <f t="shared" ca="1" si="1"/>
        <v>1</v>
      </c>
      <c r="E29" s="51"/>
      <c r="F29" s="89">
        <f t="shared" ca="1" si="2"/>
        <v>3</v>
      </c>
      <c r="G29" s="51" t="s">
        <v>0</v>
      </c>
      <c r="H29" s="49">
        <f t="shared" ca="1" si="3"/>
        <v>59</v>
      </c>
      <c r="I29" s="53">
        <f t="shared" ca="1" si="0"/>
        <v>177</v>
      </c>
    </row>
    <row r="30" spans="1:11" s="41" customFormat="1" ht="15">
      <c r="A30" s="50">
        <v>3</v>
      </c>
      <c r="B30" s="51" t="str">
        <f ca="1">IF($A30="","",NumList())</f>
        <v>1.1.4</v>
      </c>
      <c r="C30" s="96" t="s">
        <v>352</v>
      </c>
      <c r="D30" s="55">
        <f t="shared" ca="1" si="1"/>
        <v>1</v>
      </c>
      <c r="E30" s="51"/>
      <c r="F30" s="89">
        <f t="shared" ca="1" si="2"/>
        <v>80</v>
      </c>
      <c r="G30" s="51" t="s">
        <v>0</v>
      </c>
      <c r="H30" s="49">
        <f t="shared" ca="1" si="3"/>
        <v>78</v>
      </c>
      <c r="I30" s="53">
        <f t="shared" ca="1" si="0"/>
        <v>6240</v>
      </c>
    </row>
    <row r="31" spans="1:11" s="41" customFormat="1" ht="15">
      <c r="A31" s="50">
        <v>3</v>
      </c>
      <c r="B31" s="51" t="str">
        <f ca="1">IF($A31="","",NumList())</f>
        <v>1.1.5</v>
      </c>
      <c r="C31" s="96" t="s">
        <v>353</v>
      </c>
      <c r="D31" s="55">
        <f t="shared" ca="1" si="1"/>
        <v>1</v>
      </c>
      <c r="E31" s="51"/>
      <c r="F31" s="89">
        <f t="shared" ca="1" si="2"/>
        <v>13</v>
      </c>
      <c r="G31" s="51" t="s">
        <v>0</v>
      </c>
      <c r="H31" s="49">
        <f t="shared" ca="1" si="3"/>
        <v>93</v>
      </c>
      <c r="I31" s="53">
        <f t="shared" ca="1" si="0"/>
        <v>1209</v>
      </c>
    </row>
    <row r="32" spans="1:11" s="41" customFormat="1" ht="15">
      <c r="A32" s="50">
        <v>3</v>
      </c>
      <c r="B32" s="51" t="str">
        <f ca="1">IF($A32="","",NumList())</f>
        <v>1.1.6</v>
      </c>
      <c r="C32" s="96" t="s">
        <v>354</v>
      </c>
      <c r="D32" s="55">
        <f t="shared" ca="1" si="1"/>
        <v>1</v>
      </c>
      <c r="E32" s="51"/>
      <c r="F32" s="89">
        <f t="shared" ca="1" si="2"/>
        <v>63</v>
      </c>
      <c r="G32" s="51" t="s">
        <v>0</v>
      </c>
      <c r="H32" s="49">
        <f t="shared" ca="1" si="3"/>
        <v>55</v>
      </c>
      <c r="I32" s="53">
        <f t="shared" ca="1" si="0"/>
        <v>3465</v>
      </c>
    </row>
    <row r="33" spans="1:10" s="41" customFormat="1" ht="15">
      <c r="A33" s="50" t="s">
        <v>516</v>
      </c>
      <c r="B33" s="51" t="str">
        <f>IF($A33="","",NumList())</f>
        <v/>
      </c>
      <c r="C33" s="47"/>
      <c r="D33" s="55">
        <f t="shared" ca="1" si="1"/>
        <v>0</v>
      </c>
      <c r="E33" s="48"/>
      <c r="F33" s="89">
        <f t="shared" ca="1" si="2"/>
        <v>0</v>
      </c>
      <c r="G33" s="46"/>
      <c r="H33" s="49">
        <f t="shared" ca="1" si="3"/>
        <v>0</v>
      </c>
      <c r="I33" s="53">
        <f t="shared" ca="1" si="0"/>
        <v>0</v>
      </c>
    </row>
    <row r="34" spans="1:10" s="41" customFormat="1" ht="45">
      <c r="A34" s="50">
        <v>1</v>
      </c>
      <c r="B34" s="51">
        <f ca="1">IF($A34="","",NumList())</f>
        <v>2</v>
      </c>
      <c r="C34" s="63" t="s">
        <v>618</v>
      </c>
      <c r="D34" s="55">
        <f t="shared" ca="1" si="1"/>
        <v>0</v>
      </c>
      <c r="E34" s="48"/>
      <c r="F34" s="89">
        <f t="shared" ca="1" si="2"/>
        <v>0</v>
      </c>
      <c r="G34" s="46"/>
      <c r="H34" s="49">
        <f t="shared" ca="1" si="3"/>
        <v>0</v>
      </c>
      <c r="I34" s="53">
        <f t="shared" ca="1" si="0"/>
        <v>0</v>
      </c>
    </row>
    <row r="35" spans="1:10" s="41" customFormat="1" ht="34.5" customHeight="1">
      <c r="A35" s="50" t="s">
        <v>516</v>
      </c>
      <c r="B35" s="51" t="str">
        <f>IF($A35="","",NumList())</f>
        <v/>
      </c>
      <c r="C35" s="63" t="s">
        <v>288</v>
      </c>
      <c r="D35" s="55">
        <f t="shared" ca="1" si="1"/>
        <v>0</v>
      </c>
      <c r="E35" s="48"/>
      <c r="F35" s="89">
        <f t="shared" ca="1" si="2"/>
        <v>0</v>
      </c>
      <c r="G35" s="46"/>
      <c r="H35" s="49">
        <f t="shared" ca="1" si="3"/>
        <v>0</v>
      </c>
      <c r="I35" s="53">
        <f t="shared" ca="1" si="0"/>
        <v>0</v>
      </c>
    </row>
    <row r="36" spans="1:10" s="41" customFormat="1" ht="15">
      <c r="A36" s="50">
        <v>2</v>
      </c>
      <c r="B36" s="51" t="str">
        <f ca="1">IF($A36="","",NumList())</f>
        <v>2.1</v>
      </c>
      <c r="C36" s="61" t="s">
        <v>43</v>
      </c>
      <c r="D36" s="55">
        <f t="shared" ca="1" si="1"/>
        <v>1</v>
      </c>
      <c r="E36" s="55"/>
      <c r="F36" s="89">
        <f t="shared" ca="1" si="2"/>
        <v>100</v>
      </c>
      <c r="G36" s="51" t="s">
        <v>6</v>
      </c>
      <c r="H36" s="49">
        <f t="shared" ca="1" si="3"/>
        <v>81</v>
      </c>
      <c r="I36" s="53">
        <f t="shared" ca="1" si="0"/>
        <v>8100</v>
      </c>
      <c r="J36" s="58"/>
    </row>
    <row r="37" spans="1:10" s="41" customFormat="1" ht="15">
      <c r="A37" s="50">
        <v>2</v>
      </c>
      <c r="B37" s="51" t="str">
        <f ca="1">IF($A37="","",NumList())</f>
        <v>2.2</v>
      </c>
      <c r="C37" s="61" t="s">
        <v>267</v>
      </c>
      <c r="D37" s="55">
        <f t="shared" ca="1" si="1"/>
        <v>1</v>
      </c>
      <c r="E37" s="55"/>
      <c r="F37" s="89">
        <f t="shared" ca="1" si="2"/>
        <v>1</v>
      </c>
      <c r="G37" s="51" t="s">
        <v>6</v>
      </c>
      <c r="H37" s="49">
        <f t="shared" ca="1" si="3"/>
        <v>90</v>
      </c>
      <c r="I37" s="53">
        <f t="shared" ca="1" si="0"/>
        <v>90</v>
      </c>
      <c r="J37" s="58"/>
    </row>
    <row r="38" spans="1:10" s="41" customFormat="1" ht="15">
      <c r="A38" s="50">
        <v>2</v>
      </c>
      <c r="B38" s="51" t="str">
        <f ca="1">IF($A38="","",NumList())</f>
        <v>2.3</v>
      </c>
      <c r="C38" s="61" t="s">
        <v>268</v>
      </c>
      <c r="D38" s="55">
        <f t="shared" ca="1" si="1"/>
        <v>1</v>
      </c>
      <c r="E38" s="55"/>
      <c r="F38" s="89">
        <f t="shared" ca="1" si="2"/>
        <v>83</v>
      </c>
      <c r="G38" s="51" t="s">
        <v>6</v>
      </c>
      <c r="H38" s="49">
        <f t="shared" ca="1" si="3"/>
        <v>20</v>
      </c>
      <c r="I38" s="53">
        <f t="shared" ca="1" si="0"/>
        <v>1660</v>
      </c>
      <c r="J38" s="58"/>
    </row>
    <row r="39" spans="1:10" s="41" customFormat="1" ht="15">
      <c r="A39" s="50">
        <v>2</v>
      </c>
      <c r="B39" s="51" t="str">
        <f ca="1">IF($A39="","",NumList())</f>
        <v>2.4</v>
      </c>
      <c r="C39" s="61" t="s">
        <v>355</v>
      </c>
      <c r="D39" s="55">
        <f t="shared" ca="1" si="1"/>
        <v>1</v>
      </c>
      <c r="E39" s="55"/>
      <c r="F39" s="89">
        <f t="shared" ca="1" si="2"/>
        <v>63</v>
      </c>
      <c r="G39" s="51" t="s">
        <v>6</v>
      </c>
      <c r="H39" s="49">
        <f t="shared" ca="1" si="3"/>
        <v>1</v>
      </c>
      <c r="I39" s="53">
        <f t="shared" ca="1" si="0"/>
        <v>63</v>
      </c>
      <c r="J39" s="58"/>
    </row>
    <row r="40" spans="1:10" s="41" customFormat="1" ht="15">
      <c r="A40" s="50">
        <v>2</v>
      </c>
      <c r="B40" s="51" t="str">
        <f ca="1">IF($A40="","",NumList())</f>
        <v>2.5</v>
      </c>
      <c r="C40" s="61" t="s">
        <v>502</v>
      </c>
      <c r="D40" s="55">
        <f t="shared" ca="1" si="1"/>
        <v>1</v>
      </c>
      <c r="E40" s="55"/>
      <c r="F40" s="89">
        <f t="shared" ca="1" si="2"/>
        <v>41</v>
      </c>
      <c r="G40" s="51" t="s">
        <v>6</v>
      </c>
      <c r="H40" s="49">
        <f t="shared" ca="1" si="3"/>
        <v>44</v>
      </c>
      <c r="I40" s="53">
        <f t="shared" ca="1" si="0"/>
        <v>1804</v>
      </c>
      <c r="J40" s="58"/>
    </row>
    <row r="41" spans="1:10" s="41" customFormat="1" ht="15">
      <c r="A41" s="50">
        <v>2</v>
      </c>
      <c r="B41" s="51" t="str">
        <f ca="1">IF($A41="","",NumList())</f>
        <v>2.6</v>
      </c>
      <c r="C41" s="61" t="s">
        <v>356</v>
      </c>
      <c r="D41" s="55">
        <f t="shared" ca="1" si="1"/>
        <v>1</v>
      </c>
      <c r="E41" s="55"/>
      <c r="F41" s="89">
        <f t="shared" ca="1" si="2"/>
        <v>39</v>
      </c>
      <c r="G41" s="51" t="s">
        <v>6</v>
      </c>
      <c r="H41" s="49">
        <f t="shared" ca="1" si="3"/>
        <v>80</v>
      </c>
      <c r="I41" s="53">
        <f t="shared" ca="1" si="0"/>
        <v>3120</v>
      </c>
      <c r="J41" s="58"/>
    </row>
    <row r="42" spans="1:10" s="41" customFormat="1" ht="15">
      <c r="A42" s="50">
        <v>2</v>
      </c>
      <c r="B42" s="51" t="str">
        <f ca="1">IF($A42="","",NumList())</f>
        <v>2.7</v>
      </c>
      <c r="C42" s="61" t="s">
        <v>357</v>
      </c>
      <c r="D42" s="55">
        <f t="shared" ca="1" si="1"/>
        <v>1</v>
      </c>
      <c r="E42" s="55"/>
      <c r="F42" s="89">
        <f t="shared" ca="1" si="2"/>
        <v>51</v>
      </c>
      <c r="G42" s="51" t="s">
        <v>6</v>
      </c>
      <c r="H42" s="49">
        <f t="shared" ca="1" si="3"/>
        <v>63</v>
      </c>
      <c r="I42" s="53">
        <f t="shared" ca="1" si="0"/>
        <v>3213</v>
      </c>
      <c r="J42" s="58"/>
    </row>
    <row r="43" spans="1:10" s="41" customFormat="1" ht="15">
      <c r="A43" s="50">
        <v>2</v>
      </c>
      <c r="B43" s="51" t="str">
        <f ca="1">IF($A43="","",NumList())</f>
        <v>2.8</v>
      </c>
      <c r="C43" s="61" t="s">
        <v>358</v>
      </c>
      <c r="D43" s="55">
        <f t="shared" ca="1" si="1"/>
        <v>1</v>
      </c>
      <c r="E43" s="55"/>
      <c r="F43" s="89">
        <f t="shared" ca="1" si="2"/>
        <v>57</v>
      </c>
      <c r="G43" s="51" t="s">
        <v>6</v>
      </c>
      <c r="H43" s="49">
        <f t="shared" ca="1" si="3"/>
        <v>24</v>
      </c>
      <c r="I43" s="53">
        <f t="shared" ca="1" si="0"/>
        <v>1368</v>
      </c>
      <c r="J43" s="58"/>
    </row>
    <row r="44" spans="1:10" s="41" customFormat="1" ht="15">
      <c r="A44" s="50">
        <v>2</v>
      </c>
      <c r="B44" s="51" t="str">
        <f ca="1">IF($A44="","",NumList())</f>
        <v>2.9</v>
      </c>
      <c r="C44" s="61" t="s">
        <v>503</v>
      </c>
      <c r="D44" s="55">
        <f t="shared" ca="1" si="1"/>
        <v>1</v>
      </c>
      <c r="E44" s="55"/>
      <c r="F44" s="89">
        <f t="shared" ca="1" si="2"/>
        <v>25</v>
      </c>
      <c r="G44" s="51" t="s">
        <v>6</v>
      </c>
      <c r="H44" s="49">
        <f t="shared" ca="1" si="3"/>
        <v>72</v>
      </c>
      <c r="I44" s="53">
        <f t="shared" ca="1" si="0"/>
        <v>1800</v>
      </c>
      <c r="J44" s="58"/>
    </row>
    <row r="45" spans="1:10" s="41" customFormat="1" ht="15">
      <c r="A45" s="50">
        <v>2</v>
      </c>
      <c r="B45" s="51" t="str">
        <f ca="1">IF($A45="","",NumList())</f>
        <v>2.10</v>
      </c>
      <c r="C45" s="61" t="s">
        <v>344</v>
      </c>
      <c r="D45" s="55">
        <f t="shared" ca="1" si="1"/>
        <v>1</v>
      </c>
      <c r="E45" s="55"/>
      <c r="F45" s="89">
        <f t="shared" ca="1" si="2"/>
        <v>13</v>
      </c>
      <c r="G45" s="51" t="s">
        <v>6</v>
      </c>
      <c r="H45" s="49">
        <f t="shared" ca="1" si="3"/>
        <v>78</v>
      </c>
      <c r="I45" s="53">
        <f t="shared" ca="1" si="0"/>
        <v>1014</v>
      </c>
      <c r="J45" s="58"/>
    </row>
    <row r="46" spans="1:10" s="41" customFormat="1" ht="15">
      <c r="A46" s="50">
        <v>2</v>
      </c>
      <c r="B46" s="51" t="str">
        <f ca="1">IF($A46="","",NumList())</f>
        <v>2.11</v>
      </c>
      <c r="C46" s="61" t="s">
        <v>345</v>
      </c>
      <c r="D46" s="55">
        <f t="shared" ca="1" si="1"/>
        <v>1</v>
      </c>
      <c r="E46" s="55"/>
      <c r="F46" s="89">
        <f t="shared" ca="1" si="2"/>
        <v>61</v>
      </c>
      <c r="G46" s="51" t="s">
        <v>6</v>
      </c>
      <c r="H46" s="49">
        <f t="shared" ca="1" si="3"/>
        <v>25</v>
      </c>
      <c r="I46" s="53">
        <f t="shared" ca="1" si="0"/>
        <v>1525</v>
      </c>
      <c r="J46" s="58"/>
    </row>
    <row r="47" spans="1:10" s="41" customFormat="1" ht="15">
      <c r="A47" s="50">
        <v>2</v>
      </c>
      <c r="B47" s="51" t="str">
        <f ca="1">IF($A47="","",NumList())</f>
        <v>2.12</v>
      </c>
      <c r="C47" s="61" t="s">
        <v>363</v>
      </c>
      <c r="D47" s="55">
        <f t="shared" ca="1" si="1"/>
        <v>1</v>
      </c>
      <c r="E47" s="55"/>
      <c r="F47" s="89">
        <f t="shared" ca="1" si="2"/>
        <v>66</v>
      </c>
      <c r="G47" s="51" t="s">
        <v>6</v>
      </c>
      <c r="H47" s="49">
        <f t="shared" ca="1" si="3"/>
        <v>92</v>
      </c>
      <c r="I47" s="53">
        <f t="shared" ca="1" si="0"/>
        <v>6072</v>
      </c>
      <c r="J47" s="58"/>
    </row>
    <row r="48" spans="1:10" s="41" customFormat="1" ht="15">
      <c r="A48" s="50">
        <v>2</v>
      </c>
      <c r="B48" s="51" t="str">
        <f ca="1">IF($A48="","",NumList())</f>
        <v>2.13</v>
      </c>
      <c r="C48" s="61" t="s">
        <v>504</v>
      </c>
      <c r="D48" s="55">
        <f t="shared" ca="1" si="1"/>
        <v>1</v>
      </c>
      <c r="E48" s="55"/>
      <c r="F48" s="89">
        <f t="shared" ca="1" si="2"/>
        <v>87</v>
      </c>
      <c r="G48" s="51" t="s">
        <v>6</v>
      </c>
      <c r="H48" s="49">
        <f t="shared" ca="1" si="3"/>
        <v>74</v>
      </c>
      <c r="I48" s="53">
        <f t="shared" ca="1" si="0"/>
        <v>6438</v>
      </c>
      <c r="J48" s="58"/>
    </row>
    <row r="49" spans="1:10" s="41" customFormat="1" ht="15">
      <c r="A49" s="50">
        <v>2</v>
      </c>
      <c r="B49" s="51" t="str">
        <f ca="1">IF($A49="","",NumList())</f>
        <v>2.14</v>
      </c>
      <c r="C49" s="61" t="s">
        <v>346</v>
      </c>
      <c r="D49" s="55">
        <f t="shared" ca="1" si="1"/>
        <v>1</v>
      </c>
      <c r="E49" s="55"/>
      <c r="F49" s="89">
        <f t="shared" ca="1" si="2"/>
        <v>89</v>
      </c>
      <c r="G49" s="51" t="s">
        <v>6</v>
      </c>
      <c r="H49" s="49">
        <f t="shared" ca="1" si="3"/>
        <v>98</v>
      </c>
      <c r="I49" s="53">
        <f t="shared" ca="1" si="0"/>
        <v>8722</v>
      </c>
      <c r="J49" s="58"/>
    </row>
    <row r="50" spans="1:10" s="41" customFormat="1" ht="15">
      <c r="A50" s="50">
        <v>2</v>
      </c>
      <c r="B50" s="51" t="str">
        <f ca="1">IF($A50="","",NumList())</f>
        <v>2.15</v>
      </c>
      <c r="C50" s="61" t="s">
        <v>347</v>
      </c>
      <c r="D50" s="55">
        <f t="shared" ca="1" si="1"/>
        <v>1</v>
      </c>
      <c r="E50" s="55"/>
      <c r="F50" s="89">
        <f t="shared" ca="1" si="2"/>
        <v>33</v>
      </c>
      <c r="G50" s="51" t="s">
        <v>6</v>
      </c>
      <c r="H50" s="49">
        <f t="shared" ca="1" si="3"/>
        <v>31</v>
      </c>
      <c r="I50" s="53">
        <f t="shared" ca="1" si="0"/>
        <v>1023</v>
      </c>
      <c r="J50" s="58"/>
    </row>
    <row r="51" spans="1:10" s="41" customFormat="1" ht="15">
      <c r="A51" s="50">
        <v>2</v>
      </c>
      <c r="B51" s="51" t="str">
        <f ca="1">IF($A51="","",NumList())</f>
        <v>2.16</v>
      </c>
      <c r="C51" s="61" t="s">
        <v>359</v>
      </c>
      <c r="D51" s="55">
        <f t="shared" ca="1" si="1"/>
        <v>1</v>
      </c>
      <c r="E51" s="55"/>
      <c r="F51" s="89">
        <f t="shared" ca="1" si="2"/>
        <v>90</v>
      </c>
      <c r="G51" s="51" t="s">
        <v>6</v>
      </c>
      <c r="H51" s="49">
        <f t="shared" ca="1" si="3"/>
        <v>75</v>
      </c>
      <c r="I51" s="53">
        <f t="shared" ca="1" si="0"/>
        <v>6750</v>
      </c>
      <c r="J51" s="58"/>
    </row>
    <row r="52" spans="1:10" s="41" customFormat="1" ht="15">
      <c r="A52" s="50">
        <v>2</v>
      </c>
      <c r="B52" s="51" t="str">
        <f ca="1">IF($A52="","",NumList())</f>
        <v>2.17</v>
      </c>
      <c r="C52" s="61" t="s">
        <v>295</v>
      </c>
      <c r="D52" s="55">
        <f t="shared" ca="1" si="1"/>
        <v>1</v>
      </c>
      <c r="E52" s="55"/>
      <c r="F52" s="89">
        <f t="shared" ca="1" si="2"/>
        <v>36</v>
      </c>
      <c r="G52" s="51" t="s">
        <v>6</v>
      </c>
      <c r="H52" s="49">
        <f t="shared" ca="1" si="3"/>
        <v>97</v>
      </c>
      <c r="I52" s="53">
        <f t="shared" ca="1" si="0"/>
        <v>3492</v>
      </c>
      <c r="J52" s="58"/>
    </row>
    <row r="53" spans="1:10" s="41" customFormat="1" ht="15">
      <c r="A53" s="50">
        <v>2</v>
      </c>
      <c r="B53" s="51" t="str">
        <f ca="1">IF($A53="","",NumList())</f>
        <v>2.18</v>
      </c>
      <c r="C53" s="61" t="s">
        <v>360</v>
      </c>
      <c r="D53" s="55">
        <f t="shared" ca="1" si="1"/>
        <v>1</v>
      </c>
      <c r="E53" s="55"/>
      <c r="F53" s="89">
        <f t="shared" ca="1" si="2"/>
        <v>4</v>
      </c>
      <c r="G53" s="51" t="s">
        <v>6</v>
      </c>
      <c r="H53" s="49">
        <f t="shared" ca="1" si="3"/>
        <v>11</v>
      </c>
      <c r="I53" s="53">
        <f t="shared" ca="1" si="0"/>
        <v>44</v>
      </c>
      <c r="J53" s="58"/>
    </row>
    <row r="54" spans="1:10" s="41" customFormat="1" ht="15">
      <c r="A54" s="50">
        <v>2</v>
      </c>
      <c r="B54" s="51" t="str">
        <f ca="1">IF($A54="","",NumList())</f>
        <v>2.19</v>
      </c>
      <c r="C54" s="61" t="s">
        <v>361</v>
      </c>
      <c r="D54" s="55">
        <f t="shared" ca="1" si="1"/>
        <v>1</v>
      </c>
      <c r="E54" s="55"/>
      <c r="F54" s="89">
        <f t="shared" ca="1" si="2"/>
        <v>8</v>
      </c>
      <c r="G54" s="51" t="s">
        <v>6</v>
      </c>
      <c r="H54" s="49">
        <f t="shared" ca="1" si="3"/>
        <v>3</v>
      </c>
      <c r="I54" s="53">
        <f t="shared" ca="1" si="0"/>
        <v>24</v>
      </c>
      <c r="J54" s="58"/>
    </row>
    <row r="55" spans="1:10" s="41" customFormat="1" ht="15">
      <c r="A55" s="50">
        <v>2</v>
      </c>
      <c r="B55" s="51" t="str">
        <f ca="1">IF($A55="","",NumList())</f>
        <v>2.20</v>
      </c>
      <c r="C55" s="61" t="s">
        <v>362</v>
      </c>
      <c r="D55" s="55">
        <f t="shared" ca="1" si="1"/>
        <v>1</v>
      </c>
      <c r="E55" s="55"/>
      <c r="F55" s="89">
        <f t="shared" ca="1" si="2"/>
        <v>68</v>
      </c>
      <c r="G55" s="51" t="s">
        <v>6</v>
      </c>
      <c r="H55" s="49">
        <f t="shared" ca="1" si="3"/>
        <v>80</v>
      </c>
      <c r="I55" s="53">
        <f t="shared" ca="1" si="0"/>
        <v>5440</v>
      </c>
      <c r="J55" s="58"/>
    </row>
    <row r="56" spans="1:10" s="41" customFormat="1" ht="15">
      <c r="A56" s="50" t="s">
        <v>516</v>
      </c>
      <c r="B56" s="51" t="str">
        <f>IF($A56="","",NumList())</f>
        <v/>
      </c>
      <c r="C56" s="61"/>
      <c r="D56" s="55">
        <f t="shared" ca="1" si="1"/>
        <v>0</v>
      </c>
      <c r="E56" s="55"/>
      <c r="F56" s="89">
        <f t="shared" ca="1" si="2"/>
        <v>0</v>
      </c>
      <c r="G56" s="51"/>
      <c r="H56" s="49">
        <f t="shared" ca="1" si="3"/>
        <v>0</v>
      </c>
      <c r="I56" s="53">
        <f t="shared" ca="1" si="0"/>
        <v>0</v>
      </c>
      <c r="J56" s="58"/>
    </row>
    <row r="57" spans="1:10" s="41" customFormat="1" ht="29.25" customHeight="1">
      <c r="A57" s="50">
        <v>1</v>
      </c>
      <c r="B57" s="51">
        <f ca="1">IF($A57="","",NumList())</f>
        <v>3</v>
      </c>
      <c r="C57" s="52" t="s">
        <v>619</v>
      </c>
      <c r="D57" s="55">
        <f t="shared" ca="1" si="1"/>
        <v>0</v>
      </c>
      <c r="E57" s="48"/>
      <c r="F57" s="89">
        <f t="shared" ca="1" si="2"/>
        <v>0</v>
      </c>
      <c r="G57" s="46"/>
      <c r="H57" s="49">
        <f t="shared" ca="1" si="3"/>
        <v>0</v>
      </c>
      <c r="I57" s="53">
        <f t="shared" ca="1" si="0"/>
        <v>0</v>
      </c>
      <c r="J57" s="95" t="s">
        <v>495</v>
      </c>
    </row>
    <row r="58" spans="1:10" s="58" customFormat="1" ht="28.5">
      <c r="A58" s="50">
        <v>2</v>
      </c>
      <c r="B58" s="51" t="str">
        <f ca="1">IF($A58="","",NumList())</f>
        <v>3.1</v>
      </c>
      <c r="C58" s="61" t="s">
        <v>501</v>
      </c>
      <c r="D58" s="55">
        <f t="shared" ca="1" si="1"/>
        <v>0</v>
      </c>
      <c r="E58" s="55"/>
      <c r="F58" s="89">
        <f t="shared" ca="1" si="2"/>
        <v>0</v>
      </c>
      <c r="G58" s="51"/>
      <c r="H58" s="49">
        <f t="shared" ca="1" si="3"/>
        <v>0</v>
      </c>
      <c r="I58" s="53">
        <f t="shared" ca="1" si="0"/>
        <v>0</v>
      </c>
    </row>
    <row r="59" spans="1:10" s="58" customFormat="1" ht="15" customHeight="1">
      <c r="A59" s="50">
        <v>3</v>
      </c>
      <c r="B59" s="51" t="str">
        <f ca="1">IF($A59="","",NumList())</f>
        <v>3.1.1</v>
      </c>
      <c r="C59" s="61" t="s">
        <v>620</v>
      </c>
      <c r="D59" s="55">
        <f t="shared" ca="1" si="1"/>
        <v>1</v>
      </c>
      <c r="E59" s="55"/>
      <c r="F59" s="89">
        <f t="shared" ca="1" si="2"/>
        <v>93</v>
      </c>
      <c r="G59" s="51" t="s">
        <v>8</v>
      </c>
      <c r="H59" s="49">
        <f t="shared" ca="1" si="3"/>
        <v>66</v>
      </c>
      <c r="I59" s="53">
        <f t="shared" ca="1" si="0"/>
        <v>6138</v>
      </c>
    </row>
    <row r="60" spans="1:10" s="58" customFormat="1" ht="15" customHeight="1">
      <c r="A60" s="50">
        <v>3</v>
      </c>
      <c r="B60" s="51" t="str">
        <f ca="1">IF($A60="","",NumList())</f>
        <v>3.1.2</v>
      </c>
      <c r="C60" s="61" t="s">
        <v>621</v>
      </c>
      <c r="D60" s="55">
        <f t="shared" ca="1" si="1"/>
        <v>1</v>
      </c>
      <c r="E60" s="55"/>
      <c r="F60" s="89">
        <f t="shared" ca="1" si="2"/>
        <v>28</v>
      </c>
      <c r="G60" s="51" t="s">
        <v>8</v>
      </c>
      <c r="H60" s="49">
        <f t="shared" ca="1" si="3"/>
        <v>62</v>
      </c>
      <c r="I60" s="53">
        <f t="shared" ca="1" si="0"/>
        <v>1736</v>
      </c>
    </row>
    <row r="61" spans="1:10" s="58" customFormat="1" ht="15" customHeight="1">
      <c r="A61" s="50">
        <v>3</v>
      </c>
      <c r="B61" s="51" t="str">
        <f ca="1">IF($A61="","",NumList())</f>
        <v>3.1.3</v>
      </c>
      <c r="C61" s="61" t="s">
        <v>622</v>
      </c>
      <c r="D61" s="55">
        <f t="shared" ca="1" si="1"/>
        <v>1</v>
      </c>
      <c r="E61" s="55"/>
      <c r="F61" s="89">
        <f t="shared" ca="1" si="2"/>
        <v>46</v>
      </c>
      <c r="G61" s="51" t="s">
        <v>8</v>
      </c>
      <c r="H61" s="49">
        <f t="shared" ca="1" si="3"/>
        <v>33</v>
      </c>
      <c r="I61" s="53">
        <f t="shared" ca="1" si="0"/>
        <v>1518</v>
      </c>
    </row>
    <row r="62" spans="1:10" s="58" customFormat="1" ht="15" customHeight="1">
      <c r="A62" s="50">
        <v>3</v>
      </c>
      <c r="B62" s="51" t="str">
        <f ca="1">IF($A62="","",NumList())</f>
        <v>3.1.4</v>
      </c>
      <c r="C62" s="61" t="s">
        <v>623</v>
      </c>
      <c r="D62" s="55">
        <f t="shared" ca="1" si="1"/>
        <v>1</v>
      </c>
      <c r="E62" s="55"/>
      <c r="F62" s="89">
        <f t="shared" ca="1" si="2"/>
        <v>33</v>
      </c>
      <c r="G62" s="51" t="s">
        <v>8</v>
      </c>
      <c r="H62" s="49">
        <f t="shared" ca="1" si="3"/>
        <v>8</v>
      </c>
      <c r="I62" s="53">
        <f t="shared" ca="1" si="0"/>
        <v>264</v>
      </c>
    </row>
    <row r="63" spans="1:10" s="58" customFormat="1" ht="15" customHeight="1">
      <c r="A63" s="50">
        <v>3</v>
      </c>
      <c r="B63" s="51" t="str">
        <f ca="1">IF($A63="","",NumList())</f>
        <v>3.1.5</v>
      </c>
      <c r="C63" s="62" t="s">
        <v>500</v>
      </c>
      <c r="D63" s="55">
        <f t="shared" ca="1" si="1"/>
        <v>1</v>
      </c>
      <c r="E63" s="55"/>
      <c r="F63" s="89">
        <f t="shared" ca="1" si="2"/>
        <v>64</v>
      </c>
      <c r="G63" s="51" t="s">
        <v>8</v>
      </c>
      <c r="H63" s="49">
        <f t="shared" ca="1" si="3"/>
        <v>90</v>
      </c>
      <c r="I63" s="53">
        <f t="shared" ca="1" si="0"/>
        <v>5760</v>
      </c>
    </row>
    <row r="64" spans="1:10" s="58" customFormat="1" ht="42.75">
      <c r="A64" s="50">
        <v>2</v>
      </c>
      <c r="B64" s="51" t="str">
        <f ca="1">IF($A64="","",NumList())</f>
        <v>3.2</v>
      </c>
      <c r="C64" s="62" t="s">
        <v>509</v>
      </c>
      <c r="D64" s="55">
        <f t="shared" ca="1" si="1"/>
        <v>0</v>
      </c>
      <c r="E64" s="55"/>
      <c r="F64" s="89">
        <f t="shared" ca="1" si="2"/>
        <v>0</v>
      </c>
      <c r="G64" s="51"/>
      <c r="H64" s="49">
        <f t="shared" ca="1" si="3"/>
        <v>0</v>
      </c>
      <c r="I64" s="53">
        <f t="shared" ca="1" si="0"/>
        <v>0</v>
      </c>
    </row>
    <row r="65" spans="1:9" s="58" customFormat="1" ht="15" customHeight="1">
      <c r="A65" s="50">
        <v>3</v>
      </c>
      <c r="B65" s="51" t="str">
        <f ca="1">IF($A65="","",NumList())</f>
        <v>3.2.1</v>
      </c>
      <c r="C65" s="62" t="s">
        <v>505</v>
      </c>
      <c r="D65" s="55">
        <f t="shared" ca="1" si="1"/>
        <v>1</v>
      </c>
      <c r="E65" s="55"/>
      <c r="F65" s="89">
        <f t="shared" ca="1" si="2"/>
        <v>85</v>
      </c>
      <c r="G65" s="51" t="s">
        <v>8</v>
      </c>
      <c r="H65" s="49">
        <f t="shared" ca="1" si="3"/>
        <v>22</v>
      </c>
      <c r="I65" s="53">
        <f t="shared" ca="1" si="0"/>
        <v>1870</v>
      </c>
    </row>
    <row r="66" spans="1:9" s="58" customFormat="1" ht="15" customHeight="1">
      <c r="A66" s="50">
        <v>3</v>
      </c>
      <c r="B66" s="51" t="str">
        <f ca="1">IF($A66="","",NumList())</f>
        <v>3.2.2</v>
      </c>
      <c r="C66" s="62" t="s">
        <v>364</v>
      </c>
      <c r="D66" s="55">
        <f t="shared" ca="1" si="1"/>
        <v>1</v>
      </c>
      <c r="E66" s="55"/>
      <c r="F66" s="89">
        <f t="shared" ca="1" si="2"/>
        <v>99</v>
      </c>
      <c r="G66" s="51" t="s">
        <v>8</v>
      </c>
      <c r="H66" s="49">
        <f t="shared" ca="1" si="3"/>
        <v>63</v>
      </c>
      <c r="I66" s="53">
        <f t="shared" ca="1" si="0"/>
        <v>6237</v>
      </c>
    </row>
    <row r="67" spans="1:9" s="58" customFormat="1" ht="15" customHeight="1">
      <c r="A67" s="50">
        <v>3</v>
      </c>
      <c r="B67" s="51" t="str">
        <f ca="1">IF($A67="","",NumList())</f>
        <v>3.2.3</v>
      </c>
      <c r="C67" s="62" t="s">
        <v>365</v>
      </c>
      <c r="D67" s="55">
        <f t="shared" ca="1" si="1"/>
        <v>1</v>
      </c>
      <c r="E67" s="55"/>
      <c r="F67" s="89">
        <f t="shared" ca="1" si="2"/>
        <v>100</v>
      </c>
      <c r="G67" s="51" t="s">
        <v>8</v>
      </c>
      <c r="H67" s="49">
        <f t="shared" ca="1" si="3"/>
        <v>33</v>
      </c>
      <c r="I67" s="53">
        <f t="shared" ca="1" si="0"/>
        <v>3300</v>
      </c>
    </row>
    <row r="68" spans="1:9" s="58" customFormat="1" ht="15" customHeight="1">
      <c r="A68" s="50">
        <v>3</v>
      </c>
      <c r="B68" s="51" t="str">
        <f ca="1">IF($A68="","",NumList())</f>
        <v>3.2.4</v>
      </c>
      <c r="C68" s="62" t="s">
        <v>366</v>
      </c>
      <c r="D68" s="55">
        <f t="shared" ca="1" si="1"/>
        <v>1</v>
      </c>
      <c r="E68" s="55"/>
      <c r="F68" s="89">
        <f t="shared" ca="1" si="2"/>
        <v>90</v>
      </c>
      <c r="G68" s="51" t="s">
        <v>8</v>
      </c>
      <c r="H68" s="49">
        <f t="shared" ca="1" si="3"/>
        <v>58</v>
      </c>
      <c r="I68" s="53">
        <f t="shared" ca="1" si="0"/>
        <v>5220</v>
      </c>
    </row>
    <row r="69" spans="1:9" s="58" customFormat="1" ht="15" customHeight="1">
      <c r="A69" s="50">
        <v>2</v>
      </c>
      <c r="B69" s="51" t="str">
        <f ca="1">IF($A69="","",NumList())</f>
        <v>3.3</v>
      </c>
      <c r="C69" s="62" t="s">
        <v>508</v>
      </c>
      <c r="D69" s="55">
        <f t="shared" ca="1" si="1"/>
        <v>0</v>
      </c>
      <c r="E69" s="55"/>
      <c r="F69" s="89">
        <f t="shared" ca="1" si="2"/>
        <v>0</v>
      </c>
      <c r="G69" s="51"/>
      <c r="H69" s="49">
        <f t="shared" ca="1" si="3"/>
        <v>0</v>
      </c>
      <c r="I69" s="53">
        <f t="shared" ca="1" si="0"/>
        <v>0</v>
      </c>
    </row>
    <row r="70" spans="1:9" s="58" customFormat="1" ht="15" customHeight="1">
      <c r="A70" s="50">
        <v>3</v>
      </c>
      <c r="B70" s="51" t="str">
        <f ca="1">IF($A70="","",NumList())</f>
        <v>3.3.1</v>
      </c>
      <c r="C70" s="62" t="s">
        <v>505</v>
      </c>
      <c r="D70" s="55">
        <f t="shared" ca="1" si="1"/>
        <v>1</v>
      </c>
      <c r="E70" s="55"/>
      <c r="F70" s="89">
        <f t="shared" ca="1" si="2"/>
        <v>38</v>
      </c>
      <c r="G70" s="51" t="s">
        <v>8</v>
      </c>
      <c r="H70" s="49">
        <f t="shared" ca="1" si="3"/>
        <v>78</v>
      </c>
      <c r="I70" s="53">
        <f t="shared" ca="1" si="0"/>
        <v>2964</v>
      </c>
    </row>
    <row r="71" spans="1:9" s="58" customFormat="1" ht="15" customHeight="1">
      <c r="A71" s="50">
        <v>3</v>
      </c>
      <c r="B71" s="51" t="str">
        <f ca="1">IF($A71="","",NumList())</f>
        <v>3.3.2</v>
      </c>
      <c r="C71" s="62" t="s">
        <v>364</v>
      </c>
      <c r="D71" s="55">
        <f t="shared" ca="1" si="1"/>
        <v>1</v>
      </c>
      <c r="E71" s="55"/>
      <c r="F71" s="89">
        <f t="shared" ca="1" si="2"/>
        <v>76</v>
      </c>
      <c r="G71" s="51" t="s">
        <v>8</v>
      </c>
      <c r="H71" s="49">
        <f t="shared" ca="1" si="3"/>
        <v>66</v>
      </c>
      <c r="I71" s="53">
        <f t="shared" ca="1" si="0"/>
        <v>5016</v>
      </c>
    </row>
    <row r="72" spans="1:9" s="58" customFormat="1" ht="15" customHeight="1">
      <c r="A72" s="50">
        <v>3</v>
      </c>
      <c r="B72" s="51" t="str">
        <f ca="1">IF($A72="","",NumList())</f>
        <v>3.3.3</v>
      </c>
      <c r="C72" s="62" t="s">
        <v>365</v>
      </c>
      <c r="D72" s="55">
        <f t="shared" ca="1" si="1"/>
        <v>1</v>
      </c>
      <c r="E72" s="55"/>
      <c r="F72" s="89">
        <f t="shared" ca="1" si="2"/>
        <v>69</v>
      </c>
      <c r="G72" s="51" t="s">
        <v>8</v>
      </c>
      <c r="H72" s="49">
        <f t="shared" ca="1" si="3"/>
        <v>32</v>
      </c>
      <c r="I72" s="53">
        <f t="shared" ca="1" si="0"/>
        <v>2208</v>
      </c>
    </row>
    <row r="73" spans="1:9" s="58" customFormat="1" ht="15" customHeight="1">
      <c r="A73" s="50">
        <v>3</v>
      </c>
      <c r="B73" s="51" t="str">
        <f ca="1">IF($A73="","",NumList())</f>
        <v>3.3.4</v>
      </c>
      <c r="C73" s="62" t="s">
        <v>366</v>
      </c>
      <c r="D73" s="55">
        <f t="shared" ca="1" si="1"/>
        <v>1</v>
      </c>
      <c r="E73" s="55"/>
      <c r="F73" s="89">
        <f t="shared" ca="1" si="2"/>
        <v>1</v>
      </c>
      <c r="G73" s="51" t="s">
        <v>8</v>
      </c>
      <c r="H73" s="49">
        <f t="shared" ca="1" si="3"/>
        <v>90</v>
      </c>
      <c r="I73" s="53">
        <f t="shared" ca="1" si="0"/>
        <v>90</v>
      </c>
    </row>
    <row r="74" spans="1:9" s="58" customFormat="1" ht="15" customHeight="1">
      <c r="A74" s="50">
        <v>2</v>
      </c>
      <c r="B74" s="51" t="str">
        <f ca="1">IF($A74="","",NumList())</f>
        <v>3.4</v>
      </c>
      <c r="C74" s="62" t="s">
        <v>507</v>
      </c>
      <c r="D74" s="55">
        <f t="shared" ca="1" si="1"/>
        <v>0</v>
      </c>
      <c r="E74" s="55"/>
      <c r="F74" s="89">
        <f t="shared" ca="1" si="2"/>
        <v>0</v>
      </c>
      <c r="G74" s="51"/>
      <c r="H74" s="49">
        <f t="shared" ca="1" si="3"/>
        <v>0</v>
      </c>
      <c r="I74" s="53">
        <f t="shared" ca="1" si="0"/>
        <v>0</v>
      </c>
    </row>
    <row r="75" spans="1:9" s="58" customFormat="1" ht="15" customHeight="1">
      <c r="A75" s="50">
        <v>3</v>
      </c>
      <c r="B75" s="51" t="str">
        <f ca="1">IF($A75="","",NumList())</f>
        <v>3.4.1</v>
      </c>
      <c r="C75" s="62" t="s">
        <v>505</v>
      </c>
      <c r="D75" s="55">
        <f t="shared" ca="1" si="1"/>
        <v>1</v>
      </c>
      <c r="E75" s="55"/>
      <c r="F75" s="89">
        <f t="shared" ca="1" si="2"/>
        <v>88</v>
      </c>
      <c r="G75" s="51" t="s">
        <v>8</v>
      </c>
      <c r="H75" s="49">
        <f t="shared" ca="1" si="3"/>
        <v>95</v>
      </c>
      <c r="I75" s="53">
        <f t="shared" ca="1" si="0"/>
        <v>8360</v>
      </c>
    </row>
    <row r="76" spans="1:9" s="58" customFormat="1" ht="15" customHeight="1">
      <c r="A76" s="50">
        <v>3</v>
      </c>
      <c r="B76" s="51" t="str">
        <f ca="1">IF($A76="","",NumList())</f>
        <v>3.4.2</v>
      </c>
      <c r="C76" s="62" t="s">
        <v>364</v>
      </c>
      <c r="D76" s="55">
        <f t="shared" ca="1" si="1"/>
        <v>1</v>
      </c>
      <c r="E76" s="55"/>
      <c r="F76" s="89">
        <f t="shared" ca="1" si="2"/>
        <v>43</v>
      </c>
      <c r="G76" s="51" t="s">
        <v>8</v>
      </c>
      <c r="H76" s="49">
        <f t="shared" ca="1" si="3"/>
        <v>96</v>
      </c>
      <c r="I76" s="53">
        <f t="shared" ca="1" si="0"/>
        <v>4128</v>
      </c>
    </row>
    <row r="77" spans="1:9" s="58" customFormat="1" ht="15" customHeight="1">
      <c r="A77" s="50">
        <v>3</v>
      </c>
      <c r="B77" s="51" t="str">
        <f ca="1">IF($A77="","",NumList())</f>
        <v>3.4.3</v>
      </c>
      <c r="C77" s="62" t="s">
        <v>365</v>
      </c>
      <c r="D77" s="55">
        <f t="shared" ca="1" si="1"/>
        <v>1</v>
      </c>
      <c r="E77" s="55"/>
      <c r="F77" s="89">
        <f t="shared" ca="1" si="2"/>
        <v>74</v>
      </c>
      <c r="G77" s="51" t="s">
        <v>8</v>
      </c>
      <c r="H77" s="49">
        <f t="shared" ca="1" si="3"/>
        <v>96</v>
      </c>
      <c r="I77" s="53">
        <f t="shared" ca="1" si="0"/>
        <v>7104</v>
      </c>
    </row>
    <row r="78" spans="1:9" s="58" customFormat="1" ht="15" customHeight="1">
      <c r="A78" s="50">
        <v>3</v>
      </c>
      <c r="B78" s="51" t="str">
        <f ca="1">IF($A78="","",NumList())</f>
        <v>3.4.4</v>
      </c>
      <c r="C78" s="62" t="s">
        <v>366</v>
      </c>
      <c r="D78" s="55">
        <f t="shared" ca="1" si="1"/>
        <v>1</v>
      </c>
      <c r="E78" s="55"/>
      <c r="F78" s="89">
        <f t="shared" ca="1" si="2"/>
        <v>59</v>
      </c>
      <c r="G78" s="51" t="s">
        <v>8</v>
      </c>
      <c r="H78" s="49">
        <f t="shared" ca="1" si="3"/>
        <v>59</v>
      </c>
      <c r="I78" s="53">
        <f t="shared" ca="1" si="0"/>
        <v>3481</v>
      </c>
    </row>
    <row r="79" spans="1:9" s="58" customFormat="1" ht="15" customHeight="1">
      <c r="A79" s="50">
        <v>2</v>
      </c>
      <c r="B79" s="51" t="str">
        <f ca="1">IF($A79="","",NumList())</f>
        <v>3.5</v>
      </c>
      <c r="C79" s="62" t="s">
        <v>506</v>
      </c>
      <c r="D79" s="55">
        <f t="shared" ca="1" si="1"/>
        <v>0</v>
      </c>
      <c r="E79" s="55"/>
      <c r="F79" s="89">
        <f t="shared" ca="1" si="2"/>
        <v>0</v>
      </c>
      <c r="G79" s="51"/>
      <c r="H79" s="49">
        <f t="shared" ca="1" si="3"/>
        <v>0</v>
      </c>
      <c r="I79" s="53">
        <f t="shared" ca="1" si="0"/>
        <v>0</v>
      </c>
    </row>
    <row r="80" spans="1:9" s="58" customFormat="1" ht="15" customHeight="1">
      <c r="A80" s="50">
        <v>3</v>
      </c>
      <c r="B80" s="51" t="str">
        <f ca="1">IF($A80="","",NumList())</f>
        <v>3.5.1</v>
      </c>
      <c r="C80" s="62" t="s">
        <v>505</v>
      </c>
      <c r="D80" s="55">
        <f t="shared" ca="1" si="1"/>
        <v>1</v>
      </c>
      <c r="E80" s="55"/>
      <c r="F80" s="89">
        <f t="shared" ca="1" si="2"/>
        <v>62</v>
      </c>
      <c r="G80" s="51" t="s">
        <v>8</v>
      </c>
      <c r="H80" s="49">
        <f t="shared" ca="1" si="3"/>
        <v>55</v>
      </c>
      <c r="I80" s="53">
        <f t="shared" ca="1" si="0"/>
        <v>3410</v>
      </c>
    </row>
    <row r="81" spans="1:10" s="58" customFormat="1" ht="15" customHeight="1">
      <c r="A81" s="50">
        <v>3</v>
      </c>
      <c r="B81" s="51" t="str">
        <f ca="1">IF($A81="","",NumList())</f>
        <v>3.5.2</v>
      </c>
      <c r="C81" s="62" t="s">
        <v>364</v>
      </c>
      <c r="D81" s="55">
        <f t="shared" ca="1" si="1"/>
        <v>1</v>
      </c>
      <c r="E81" s="55"/>
      <c r="F81" s="89">
        <f t="shared" ca="1" si="2"/>
        <v>65</v>
      </c>
      <c r="G81" s="51" t="s">
        <v>8</v>
      </c>
      <c r="H81" s="49">
        <f t="shared" ca="1" si="3"/>
        <v>29</v>
      </c>
      <c r="I81" s="53">
        <f t="shared" ca="1" si="0"/>
        <v>1885</v>
      </c>
    </row>
    <row r="82" spans="1:10" s="58" customFormat="1" ht="15" customHeight="1">
      <c r="A82" s="50">
        <v>3</v>
      </c>
      <c r="B82" s="51" t="str">
        <f ca="1">IF($A82="","",NumList())</f>
        <v>3.5.3</v>
      </c>
      <c r="C82" s="62" t="s">
        <v>365</v>
      </c>
      <c r="D82" s="55">
        <f t="shared" ca="1" si="1"/>
        <v>1</v>
      </c>
      <c r="E82" s="55"/>
      <c r="F82" s="89">
        <f t="shared" ca="1" si="2"/>
        <v>39</v>
      </c>
      <c r="G82" s="51" t="s">
        <v>8</v>
      </c>
      <c r="H82" s="49">
        <f t="shared" ca="1" si="3"/>
        <v>21</v>
      </c>
      <c r="I82" s="53">
        <f t="shared" ca="1" si="0"/>
        <v>819</v>
      </c>
    </row>
    <row r="83" spans="1:10" s="58" customFormat="1" ht="30.75" customHeight="1">
      <c r="A83" s="50">
        <v>2</v>
      </c>
      <c r="B83" s="51" t="str">
        <f ca="1">IF($A83="","",NumList())</f>
        <v>3.6</v>
      </c>
      <c r="C83" s="62" t="s">
        <v>367</v>
      </c>
      <c r="D83" s="55">
        <f t="shared" ca="1" si="1"/>
        <v>1</v>
      </c>
      <c r="E83" s="55"/>
      <c r="F83" s="89">
        <f t="shared" ca="1" si="2"/>
        <v>14</v>
      </c>
      <c r="G83" s="51" t="s">
        <v>8</v>
      </c>
      <c r="H83" s="49">
        <f t="shared" ca="1" si="3"/>
        <v>84</v>
      </c>
      <c r="I83" s="53">
        <f t="shared" ca="1" si="0"/>
        <v>1176</v>
      </c>
    </row>
    <row r="84" spans="1:10" s="58" customFormat="1" ht="15" customHeight="1">
      <c r="A84" s="50" t="s">
        <v>516</v>
      </c>
      <c r="B84" s="51" t="str">
        <f>IF($A84="","",NumList())</f>
        <v/>
      </c>
      <c r="C84" s="61"/>
      <c r="D84" s="55">
        <f t="shared" ca="1" si="1"/>
        <v>0</v>
      </c>
      <c r="E84" s="55"/>
      <c r="F84" s="89">
        <f t="shared" ca="1" si="2"/>
        <v>0</v>
      </c>
      <c r="G84" s="51"/>
      <c r="H84" s="49">
        <f t="shared" ca="1" si="3"/>
        <v>0</v>
      </c>
      <c r="I84" s="53">
        <f t="shared" ca="1" si="0"/>
        <v>0</v>
      </c>
    </row>
    <row r="85" spans="1:10" s="41" customFormat="1" ht="15">
      <c r="A85" s="50">
        <v>1</v>
      </c>
      <c r="B85" s="51">
        <f ca="1">IF($A85="","",NumList())</f>
        <v>4</v>
      </c>
      <c r="C85" s="63" t="s">
        <v>497</v>
      </c>
      <c r="D85" s="55">
        <f t="shared" ca="1" si="1"/>
        <v>0</v>
      </c>
      <c r="E85" s="48"/>
      <c r="F85" s="89">
        <f t="shared" ca="1" si="2"/>
        <v>0</v>
      </c>
      <c r="G85" s="46"/>
      <c r="H85" s="49">
        <f t="shared" ca="1" si="3"/>
        <v>0</v>
      </c>
      <c r="I85" s="53">
        <f t="shared" ca="1" si="0"/>
        <v>0</v>
      </c>
    </row>
    <row r="86" spans="1:10" s="58" customFormat="1" ht="44.25">
      <c r="A86" s="50">
        <v>2</v>
      </c>
      <c r="B86" s="51" t="str">
        <f ca="1">IF($A86="","",NumList())</f>
        <v>4.1</v>
      </c>
      <c r="C86" s="62" t="s">
        <v>612</v>
      </c>
      <c r="D86" s="55">
        <f t="shared" ca="1" si="1"/>
        <v>0</v>
      </c>
      <c r="E86" s="55"/>
      <c r="F86" s="89">
        <f t="shared" ca="1" si="2"/>
        <v>0</v>
      </c>
      <c r="G86" s="51"/>
      <c r="H86" s="49">
        <f t="shared" ca="1" si="3"/>
        <v>0</v>
      </c>
      <c r="I86" s="53">
        <f t="shared" ca="1" si="0"/>
        <v>0</v>
      </c>
      <c r="J86" s="95" t="s">
        <v>494</v>
      </c>
    </row>
    <row r="87" spans="1:10" s="58" customFormat="1" ht="15" customHeight="1">
      <c r="A87" s="50">
        <v>3</v>
      </c>
      <c r="B87" s="51" t="str">
        <f ca="1">IF($A87="","",NumList())</f>
        <v>4.1.1</v>
      </c>
      <c r="C87" s="62" t="s">
        <v>613</v>
      </c>
      <c r="D87" s="55">
        <f t="shared" ca="1" si="1"/>
        <v>1</v>
      </c>
      <c r="E87" s="55"/>
      <c r="F87" s="89">
        <f t="shared" ca="1" si="2"/>
        <v>26</v>
      </c>
      <c r="G87" s="51" t="s">
        <v>8</v>
      </c>
      <c r="H87" s="49">
        <f t="shared" ca="1" si="3"/>
        <v>34</v>
      </c>
      <c r="I87" s="53">
        <f t="shared" ca="1" si="0"/>
        <v>884</v>
      </c>
    </row>
    <row r="88" spans="1:10" s="58" customFormat="1" ht="15" customHeight="1">
      <c r="A88" s="50">
        <v>3</v>
      </c>
      <c r="B88" s="51" t="str">
        <f ca="1">IF($A88="","",NumList())</f>
        <v>4.1.2</v>
      </c>
      <c r="C88" s="62" t="s">
        <v>614</v>
      </c>
      <c r="D88" s="55">
        <f t="shared" ca="1" si="1"/>
        <v>1</v>
      </c>
      <c r="E88" s="55"/>
      <c r="F88" s="89">
        <f t="shared" ca="1" si="2"/>
        <v>18</v>
      </c>
      <c r="G88" s="51" t="s">
        <v>8</v>
      </c>
      <c r="H88" s="49">
        <f t="shared" ca="1" si="3"/>
        <v>71</v>
      </c>
      <c r="I88" s="53">
        <f t="shared" ca="1" si="0"/>
        <v>1278</v>
      </c>
    </row>
    <row r="89" spans="1:10" s="58" customFormat="1" ht="15" customHeight="1">
      <c r="A89" s="50">
        <v>3</v>
      </c>
      <c r="B89" s="51" t="str">
        <f ca="1">IF($A89="","",NumList())</f>
        <v>4.1.3</v>
      </c>
      <c r="C89" s="62" t="s">
        <v>615</v>
      </c>
      <c r="D89" s="55">
        <f t="shared" ca="1" si="1"/>
        <v>1</v>
      </c>
      <c r="E89" s="55"/>
      <c r="F89" s="89">
        <f t="shared" ca="1" si="2"/>
        <v>33</v>
      </c>
      <c r="G89" s="51" t="s">
        <v>8</v>
      </c>
      <c r="H89" s="49">
        <f t="shared" ca="1" si="3"/>
        <v>83</v>
      </c>
      <c r="I89" s="53">
        <f t="shared" ref="I89:I111" ca="1" si="4">F89*H89</f>
        <v>2739</v>
      </c>
    </row>
    <row r="90" spans="1:10" s="58" customFormat="1" ht="15" customHeight="1">
      <c r="A90" s="50" t="s">
        <v>516</v>
      </c>
      <c r="B90" s="51" t="str">
        <f>IF($A90="","",NumList())</f>
        <v/>
      </c>
      <c r="C90" s="62"/>
      <c r="D90" s="55">
        <f t="shared" ca="1" si="1"/>
        <v>0</v>
      </c>
      <c r="E90" s="55"/>
      <c r="F90" s="89">
        <f t="shared" ca="1" si="2"/>
        <v>0</v>
      </c>
      <c r="G90" s="51"/>
      <c r="H90" s="49">
        <f t="shared" ca="1" si="3"/>
        <v>0</v>
      </c>
      <c r="I90" s="53">
        <f t="shared" ca="1" si="4"/>
        <v>0</v>
      </c>
    </row>
    <row r="91" spans="1:10" s="58" customFormat="1" ht="31.5" customHeight="1">
      <c r="A91" s="50">
        <v>2</v>
      </c>
      <c r="B91" s="51" t="str">
        <f ca="1">IF($A91="","",NumList())</f>
        <v>4.2</v>
      </c>
      <c r="C91" s="62" t="s">
        <v>616</v>
      </c>
      <c r="D91" s="55">
        <f t="shared" ca="1" si="1"/>
        <v>1</v>
      </c>
      <c r="E91" s="55"/>
      <c r="F91" s="89">
        <f t="shared" ca="1" si="2"/>
        <v>45</v>
      </c>
      <c r="G91" s="51" t="s">
        <v>8</v>
      </c>
      <c r="H91" s="49">
        <f t="shared" ca="1" si="3"/>
        <v>19</v>
      </c>
      <c r="I91" s="53">
        <f t="shared" ca="1" si="4"/>
        <v>855</v>
      </c>
      <c r="J91" s="95" t="s">
        <v>494</v>
      </c>
    </row>
    <row r="92" spans="1:10" s="58" customFormat="1" ht="15" customHeight="1">
      <c r="A92" s="50">
        <v>3</v>
      </c>
      <c r="B92" s="51" t="str">
        <f ca="1">IF($A92="","",NumList())</f>
        <v>4.2.1</v>
      </c>
      <c r="C92" s="62" t="s">
        <v>613</v>
      </c>
      <c r="D92" s="55">
        <f t="shared" ref="D92:D113" ca="1" si="5">IF(ISTEXT(G92),RANDBETWEEN(1,1),0)</f>
        <v>1</v>
      </c>
      <c r="E92" s="55"/>
      <c r="F92" s="89">
        <f t="shared" ref="F92:F110" ca="1" si="6">IF(ISTEXT(G92),RANDBETWEEN(1,100),0)</f>
        <v>12</v>
      </c>
      <c r="G92" s="51" t="s">
        <v>8</v>
      </c>
      <c r="H92" s="49">
        <f t="shared" ref="H92:H110" ca="1" si="7">IF(ISTEXT(G92),RANDBETWEEN(1,100),0)</f>
        <v>92</v>
      </c>
      <c r="I92" s="53">
        <f t="shared" ca="1" si="4"/>
        <v>1104</v>
      </c>
    </row>
    <row r="93" spans="1:10" s="58" customFormat="1" ht="15" customHeight="1">
      <c r="A93" s="50">
        <v>3</v>
      </c>
      <c r="B93" s="51" t="str">
        <f ca="1">IF($A93="","",NumList())</f>
        <v>4.2.2</v>
      </c>
      <c r="C93" s="62" t="s">
        <v>614</v>
      </c>
      <c r="D93" s="55">
        <f t="shared" ca="1" si="5"/>
        <v>1</v>
      </c>
      <c r="E93" s="55"/>
      <c r="F93" s="89">
        <f t="shared" ca="1" si="6"/>
        <v>84</v>
      </c>
      <c r="G93" s="51" t="s">
        <v>8</v>
      </c>
      <c r="H93" s="49">
        <f t="shared" ca="1" si="7"/>
        <v>43</v>
      </c>
      <c r="I93" s="53">
        <f t="shared" ca="1" si="4"/>
        <v>3612</v>
      </c>
    </row>
    <row r="94" spans="1:10" s="58" customFormat="1" ht="15" customHeight="1">
      <c r="A94" s="50">
        <v>3</v>
      </c>
      <c r="B94" s="51" t="str">
        <f ca="1">IF($A94="","",NumList())</f>
        <v>4.2.3</v>
      </c>
      <c r="C94" s="62" t="s">
        <v>615</v>
      </c>
      <c r="D94" s="55">
        <f t="shared" ca="1" si="5"/>
        <v>1</v>
      </c>
      <c r="E94" s="55"/>
      <c r="F94" s="89">
        <f t="shared" ca="1" si="6"/>
        <v>66</v>
      </c>
      <c r="G94" s="51" t="s">
        <v>8</v>
      </c>
      <c r="H94" s="49">
        <f t="shared" ca="1" si="7"/>
        <v>79</v>
      </c>
      <c r="I94" s="53">
        <f t="shared" ca="1" si="4"/>
        <v>5214</v>
      </c>
    </row>
    <row r="95" spans="1:10" s="58" customFormat="1" ht="15" customHeight="1">
      <c r="A95" s="50" t="s">
        <v>516</v>
      </c>
      <c r="B95" s="51" t="str">
        <f>IF($A95="","",NumList())</f>
        <v/>
      </c>
      <c r="C95" s="61"/>
      <c r="D95" s="55">
        <f t="shared" ca="1" si="5"/>
        <v>0</v>
      </c>
      <c r="E95" s="55"/>
      <c r="F95" s="89">
        <f t="shared" ca="1" si="6"/>
        <v>0</v>
      </c>
      <c r="G95" s="51"/>
      <c r="H95" s="49">
        <f t="shared" ca="1" si="7"/>
        <v>0</v>
      </c>
      <c r="I95" s="53">
        <f t="shared" ca="1" si="4"/>
        <v>0</v>
      </c>
    </row>
    <row r="96" spans="1:10" s="41" customFormat="1" ht="15">
      <c r="A96" s="50">
        <v>1</v>
      </c>
      <c r="B96" s="51">
        <f ca="1">IF($A96="","",NumList())</f>
        <v>5</v>
      </c>
      <c r="C96" s="63" t="s">
        <v>231</v>
      </c>
      <c r="D96" s="55">
        <f t="shared" ca="1" si="5"/>
        <v>0</v>
      </c>
      <c r="E96" s="48"/>
      <c r="F96" s="89">
        <f t="shared" ca="1" si="6"/>
        <v>0</v>
      </c>
      <c r="G96" s="46"/>
      <c r="H96" s="49">
        <f t="shared" ca="1" si="7"/>
        <v>0</v>
      </c>
      <c r="I96" s="53">
        <f t="shared" ca="1" si="4"/>
        <v>0</v>
      </c>
    </row>
    <row r="97" spans="1:11" s="58" customFormat="1" ht="30">
      <c r="A97" s="50">
        <v>2</v>
      </c>
      <c r="B97" s="51" t="str">
        <f ca="1">IF($A97="","",NumList())</f>
        <v>5.1</v>
      </c>
      <c r="C97" s="61" t="s">
        <v>624</v>
      </c>
      <c r="D97" s="55">
        <f t="shared" ca="1" si="5"/>
        <v>1</v>
      </c>
      <c r="E97" s="55"/>
      <c r="F97" s="89">
        <f t="shared" ca="1" si="6"/>
        <v>30</v>
      </c>
      <c r="G97" s="51" t="s">
        <v>8</v>
      </c>
      <c r="H97" s="49">
        <f t="shared" ca="1" si="7"/>
        <v>56</v>
      </c>
      <c r="I97" s="53">
        <f t="shared" ca="1" si="4"/>
        <v>1680</v>
      </c>
    </row>
    <row r="98" spans="1:11" s="41" customFormat="1" ht="15">
      <c r="A98" s="50">
        <v>2</v>
      </c>
      <c r="B98" s="51" t="str">
        <f ca="1">IF($A98="","",NumList())</f>
        <v>5.2</v>
      </c>
      <c r="C98" s="62" t="s">
        <v>47</v>
      </c>
      <c r="D98" s="55">
        <f t="shared" ca="1" si="5"/>
        <v>1</v>
      </c>
      <c r="E98" s="55"/>
      <c r="F98" s="89">
        <f t="shared" ca="1" si="6"/>
        <v>40</v>
      </c>
      <c r="G98" s="51" t="s">
        <v>0</v>
      </c>
      <c r="H98" s="49">
        <f t="shared" ca="1" si="7"/>
        <v>80</v>
      </c>
      <c r="I98" s="53">
        <f t="shared" ca="1" si="4"/>
        <v>3200</v>
      </c>
      <c r="K98" s="58"/>
    </row>
    <row r="99" spans="1:11" s="41" customFormat="1" ht="15">
      <c r="A99" s="50" t="s">
        <v>516</v>
      </c>
      <c r="B99" s="51" t="str">
        <f>IF($A99="","",NumList())</f>
        <v/>
      </c>
      <c r="C99" s="61"/>
      <c r="D99" s="55">
        <f t="shared" ca="1" si="5"/>
        <v>0</v>
      </c>
      <c r="E99" s="55"/>
      <c r="F99" s="89">
        <f t="shared" ca="1" si="6"/>
        <v>0</v>
      </c>
      <c r="G99" s="51"/>
      <c r="H99" s="49">
        <f t="shared" ca="1" si="7"/>
        <v>0</v>
      </c>
      <c r="I99" s="53">
        <f t="shared" ca="1" si="4"/>
        <v>0</v>
      </c>
      <c r="K99" s="58"/>
    </row>
    <row r="100" spans="1:11" s="41" customFormat="1" ht="15">
      <c r="A100" s="50">
        <v>1</v>
      </c>
      <c r="B100" s="51">
        <f ca="1">IF($A100="","",NumList())</f>
        <v>6</v>
      </c>
      <c r="C100" s="69" t="s">
        <v>7</v>
      </c>
      <c r="D100" s="55">
        <f t="shared" ca="1" si="5"/>
        <v>0</v>
      </c>
      <c r="E100" s="48"/>
      <c r="F100" s="89">
        <f t="shared" ca="1" si="6"/>
        <v>0</v>
      </c>
      <c r="G100" s="46"/>
      <c r="H100" s="49">
        <f t="shared" ca="1" si="7"/>
        <v>0</v>
      </c>
      <c r="I100" s="53">
        <f t="shared" ca="1" si="4"/>
        <v>0</v>
      </c>
    </row>
    <row r="101" spans="1:11" s="41" customFormat="1" ht="28.5">
      <c r="A101" s="50">
        <v>2</v>
      </c>
      <c r="B101" s="51" t="str">
        <f ca="1">IF($A101="","",NumList())</f>
        <v>6.1</v>
      </c>
      <c r="C101" s="62" t="s">
        <v>368</v>
      </c>
      <c r="D101" s="55">
        <f t="shared" ca="1" si="5"/>
        <v>1</v>
      </c>
      <c r="E101" s="55"/>
      <c r="F101" s="89">
        <f t="shared" ca="1" si="6"/>
        <v>3</v>
      </c>
      <c r="G101" s="51" t="s">
        <v>0</v>
      </c>
      <c r="H101" s="49">
        <f t="shared" ca="1" si="7"/>
        <v>32</v>
      </c>
      <c r="I101" s="53">
        <f t="shared" ca="1" si="4"/>
        <v>96</v>
      </c>
      <c r="K101" s="58"/>
    </row>
    <row r="102" spans="1:11" s="41" customFormat="1" ht="15">
      <c r="A102" s="50" t="s">
        <v>516</v>
      </c>
      <c r="B102" s="51" t="str">
        <f>IF($A102="","",NumList())</f>
        <v/>
      </c>
      <c r="C102" s="62"/>
      <c r="D102" s="55">
        <f t="shared" ca="1" si="5"/>
        <v>0</v>
      </c>
      <c r="E102" s="55"/>
      <c r="F102" s="89">
        <f t="shared" ca="1" si="6"/>
        <v>0</v>
      </c>
      <c r="G102" s="51"/>
      <c r="H102" s="49">
        <f t="shared" ca="1" si="7"/>
        <v>0</v>
      </c>
      <c r="I102" s="53">
        <f t="shared" ca="1" si="4"/>
        <v>0</v>
      </c>
      <c r="K102" s="58"/>
    </row>
    <row r="103" spans="1:11" s="41" customFormat="1" ht="30">
      <c r="A103" s="50">
        <v>1</v>
      </c>
      <c r="B103" s="51">
        <f ca="1">IF($A103="","",NumList())</f>
        <v>7</v>
      </c>
      <c r="C103" s="69" t="s">
        <v>339</v>
      </c>
      <c r="D103" s="55">
        <f t="shared" ca="1" si="5"/>
        <v>0</v>
      </c>
      <c r="E103" s="55"/>
      <c r="F103" s="89">
        <f t="shared" ca="1" si="6"/>
        <v>0</v>
      </c>
      <c r="G103" s="51"/>
      <c r="H103" s="49">
        <f t="shared" ca="1" si="7"/>
        <v>0</v>
      </c>
      <c r="I103" s="53">
        <f t="shared" ca="1" si="4"/>
        <v>0</v>
      </c>
      <c r="K103" s="58"/>
    </row>
    <row r="104" spans="1:11" s="41" customFormat="1" ht="15">
      <c r="A104" s="50">
        <v>2</v>
      </c>
      <c r="B104" s="51" t="str">
        <f ca="1">IF($A104="","",NumList())</f>
        <v>7.1</v>
      </c>
      <c r="C104" s="62" t="s">
        <v>369</v>
      </c>
      <c r="D104" s="55">
        <f t="shared" ca="1" si="5"/>
        <v>1</v>
      </c>
      <c r="E104" s="55"/>
      <c r="F104" s="89">
        <f t="shared" ca="1" si="6"/>
        <v>67</v>
      </c>
      <c r="G104" s="51" t="s">
        <v>0</v>
      </c>
      <c r="H104" s="49">
        <f t="shared" ca="1" si="7"/>
        <v>4</v>
      </c>
      <c r="I104" s="53">
        <f t="shared" ca="1" si="4"/>
        <v>268</v>
      </c>
      <c r="K104" s="58"/>
    </row>
    <row r="105" spans="1:11" s="41" customFormat="1" ht="15">
      <c r="A105" s="50">
        <v>2</v>
      </c>
      <c r="B105" s="51" t="str">
        <f ca="1">IF($A105="","",NumList())</f>
        <v>7.2</v>
      </c>
      <c r="C105" s="62" t="s">
        <v>370</v>
      </c>
      <c r="D105" s="55">
        <f t="shared" ca="1" si="5"/>
        <v>1</v>
      </c>
      <c r="E105" s="55"/>
      <c r="F105" s="89">
        <f t="shared" ca="1" si="6"/>
        <v>76</v>
      </c>
      <c r="G105" s="51" t="s">
        <v>0</v>
      </c>
      <c r="H105" s="49">
        <f t="shared" ca="1" si="7"/>
        <v>50</v>
      </c>
      <c r="I105" s="53">
        <f t="shared" ca="1" si="4"/>
        <v>3800</v>
      </c>
      <c r="K105" s="58"/>
    </row>
    <row r="106" spans="1:11" s="41" customFormat="1" ht="15">
      <c r="A106" s="50">
        <v>2</v>
      </c>
      <c r="B106" s="51" t="str">
        <f ca="1">IF($A106="","",NumList())</f>
        <v>7.3</v>
      </c>
      <c r="C106" s="62" t="s">
        <v>512</v>
      </c>
      <c r="D106" s="55">
        <f t="shared" ca="1" si="5"/>
        <v>1</v>
      </c>
      <c r="E106" s="55"/>
      <c r="F106" s="89">
        <f t="shared" ca="1" si="6"/>
        <v>82</v>
      </c>
      <c r="G106" s="51" t="str">
        <f>G105</f>
        <v>Item</v>
      </c>
      <c r="H106" s="49">
        <f t="shared" ca="1" si="7"/>
        <v>71</v>
      </c>
      <c r="I106" s="53"/>
      <c r="J106" s="58"/>
    </row>
    <row r="107" spans="1:11" s="41" customFormat="1" ht="15">
      <c r="A107" s="50" t="s">
        <v>516</v>
      </c>
      <c r="B107" s="51" t="str">
        <f>IF($A107="","",NumList())</f>
        <v/>
      </c>
      <c r="C107" s="54"/>
      <c r="D107" s="55">
        <f t="shared" ca="1" si="5"/>
        <v>0</v>
      </c>
      <c r="E107" s="55"/>
      <c r="F107" s="89">
        <f t="shared" ca="1" si="6"/>
        <v>0</v>
      </c>
      <c r="G107" s="51"/>
      <c r="H107" s="49">
        <f t="shared" ca="1" si="7"/>
        <v>0</v>
      </c>
      <c r="I107" s="53">
        <f t="shared" ca="1" si="4"/>
        <v>0</v>
      </c>
      <c r="K107" s="58"/>
    </row>
    <row r="108" spans="1:11" s="41" customFormat="1" ht="15">
      <c r="A108" s="50">
        <v>1</v>
      </c>
      <c r="B108" s="51">
        <f ca="1">IF($A108="","",NumList())</f>
        <v>8</v>
      </c>
      <c r="C108" s="52" t="s">
        <v>11</v>
      </c>
      <c r="D108" s="55">
        <f t="shared" ca="1" si="5"/>
        <v>0</v>
      </c>
      <c r="E108" s="48"/>
      <c r="F108" s="89">
        <f t="shared" ca="1" si="6"/>
        <v>0</v>
      </c>
      <c r="G108" s="46"/>
      <c r="H108" s="49">
        <f t="shared" ca="1" si="7"/>
        <v>0</v>
      </c>
      <c r="I108" s="53">
        <f t="shared" ca="1" si="4"/>
        <v>0</v>
      </c>
      <c r="K108" s="58"/>
    </row>
    <row r="109" spans="1:11" s="41" customFormat="1" ht="57">
      <c r="A109" s="50">
        <v>2</v>
      </c>
      <c r="B109" s="51" t="str">
        <f ca="1">IF($A109="","",NumList())</f>
        <v>8.1</v>
      </c>
      <c r="C109" s="62" t="s">
        <v>276</v>
      </c>
      <c r="D109" s="55">
        <f t="shared" ca="1" si="5"/>
        <v>1</v>
      </c>
      <c r="E109" s="55"/>
      <c r="F109" s="89">
        <f t="shared" ca="1" si="6"/>
        <v>39</v>
      </c>
      <c r="G109" s="51" t="s">
        <v>0</v>
      </c>
      <c r="H109" s="49">
        <f t="shared" ca="1" si="7"/>
        <v>8</v>
      </c>
      <c r="I109" s="53">
        <f t="shared" ca="1" si="4"/>
        <v>312</v>
      </c>
      <c r="K109" s="58"/>
    </row>
    <row r="110" spans="1:11" s="41" customFormat="1" ht="28.5">
      <c r="A110" s="50">
        <v>2</v>
      </c>
      <c r="B110" s="51" t="str">
        <f ca="1">IF($A110="","",NumList())</f>
        <v>8.2</v>
      </c>
      <c r="C110" s="62" t="s">
        <v>48</v>
      </c>
      <c r="D110" s="55">
        <f t="shared" ca="1" si="5"/>
        <v>1</v>
      </c>
      <c r="E110" s="55"/>
      <c r="F110" s="89">
        <f t="shared" ca="1" si="6"/>
        <v>3</v>
      </c>
      <c r="G110" s="51" t="s">
        <v>0</v>
      </c>
      <c r="H110" s="49">
        <f t="shared" ca="1" si="7"/>
        <v>65</v>
      </c>
      <c r="I110" s="53">
        <f t="shared" ca="1" si="4"/>
        <v>195</v>
      </c>
      <c r="K110" s="58"/>
    </row>
    <row r="111" spans="1:11" s="41" customFormat="1" ht="15">
      <c r="A111" s="50" t="s">
        <v>516</v>
      </c>
      <c r="B111" s="51" t="str">
        <f>IF($A111="","",NumList())</f>
        <v/>
      </c>
      <c r="C111" s="62"/>
      <c r="D111" s="55">
        <f t="shared" ca="1" si="5"/>
        <v>0</v>
      </c>
      <c r="E111" s="55"/>
      <c r="F111" s="55"/>
      <c r="G111" s="51"/>
      <c r="H111" s="78"/>
      <c r="I111" s="53">
        <f t="shared" si="4"/>
        <v>0</v>
      </c>
      <c r="K111" s="58"/>
    </row>
    <row r="112" spans="1:11" s="41" customFormat="1" ht="15">
      <c r="A112" s="50">
        <v>1</v>
      </c>
      <c r="B112" s="51">
        <f ca="1">IF($A112="","",NumList())</f>
        <v>9</v>
      </c>
      <c r="C112" s="52" t="s">
        <v>65</v>
      </c>
      <c r="D112" s="55">
        <f t="shared" ca="1" si="5"/>
        <v>0</v>
      </c>
      <c r="E112" s="55"/>
      <c r="F112" s="55"/>
      <c r="G112" s="51"/>
      <c r="H112" s="78"/>
      <c r="I112" s="53">
        <f>F112*H112</f>
        <v>0</v>
      </c>
      <c r="K112" s="58"/>
    </row>
    <row r="113" spans="1:12" s="41" customFormat="1" ht="28.5">
      <c r="A113" s="50" t="s">
        <v>516</v>
      </c>
      <c r="B113" s="51" t="str">
        <f>IF($A113="","",NumList())</f>
        <v/>
      </c>
      <c r="C113" s="62" t="s">
        <v>283</v>
      </c>
      <c r="D113" s="55">
        <f t="shared" ca="1" si="5"/>
        <v>1</v>
      </c>
      <c r="E113" s="55"/>
      <c r="F113" s="55">
        <v>1</v>
      </c>
      <c r="G113" s="51" t="s">
        <v>0</v>
      </c>
      <c r="H113" s="62" t="s">
        <v>73</v>
      </c>
      <c r="I113" s="53"/>
      <c r="K113" s="58"/>
    </row>
    <row r="114" spans="1:12" s="58" customFormat="1" ht="15" customHeight="1">
      <c r="A114" s="50"/>
      <c r="B114" s="32"/>
      <c r="C114" s="70"/>
      <c r="D114" s="71"/>
      <c r="E114" s="71"/>
      <c r="F114" s="71"/>
      <c r="G114" s="30"/>
      <c r="H114" s="82" t="s">
        <v>274</v>
      </c>
      <c r="I114" s="78">
        <f ca="1">SUM(I25:I113)</f>
        <v>177448</v>
      </c>
    </row>
    <row r="115" spans="1:12" s="58" customFormat="1" ht="14.25" customHeight="1">
      <c r="A115" s="50"/>
      <c r="B115" s="32"/>
      <c r="C115" s="70"/>
      <c r="D115" s="71"/>
      <c r="E115" s="71"/>
      <c r="F115" s="71"/>
      <c r="G115" s="30"/>
      <c r="H115" s="83"/>
      <c r="I115" s="77"/>
    </row>
    <row r="116" spans="1:12" s="58" customFormat="1" ht="14.25" customHeight="1">
      <c r="A116" s="50"/>
      <c r="B116" s="30"/>
      <c r="C116" s="70"/>
      <c r="D116" s="71"/>
      <c r="E116" s="71"/>
      <c r="F116" s="71"/>
      <c r="G116" s="30"/>
      <c r="H116" s="77"/>
      <c r="I116" s="77"/>
    </row>
    <row r="117" spans="1:12" s="58" customFormat="1" ht="14.25" customHeight="1">
      <c r="A117" s="50"/>
      <c r="B117" s="30"/>
      <c r="C117" s="30" t="s">
        <v>18</v>
      </c>
      <c r="D117" s="31"/>
      <c r="E117" s="31"/>
      <c r="F117" s="31"/>
      <c r="G117" s="31"/>
      <c r="H117" s="31"/>
      <c r="I117" s="31"/>
      <c r="J117" s="30"/>
    </row>
    <row r="118" spans="1:12" s="58" customFormat="1" ht="14.25" customHeight="1">
      <c r="A118" s="50"/>
      <c r="B118" s="30"/>
      <c r="C118" s="30"/>
      <c r="D118" s="34"/>
      <c r="E118" s="34"/>
      <c r="F118" s="34"/>
      <c r="G118" s="32"/>
      <c r="H118" s="33"/>
      <c r="I118" s="30"/>
      <c r="J118" s="30"/>
    </row>
    <row r="119" spans="1:12" s="58" customFormat="1" ht="14.25" customHeight="1">
      <c r="A119" s="50"/>
      <c r="B119" s="30"/>
      <c r="C119" s="30" t="s">
        <v>19</v>
      </c>
      <c r="D119" s="31"/>
      <c r="E119" s="31"/>
      <c r="F119" s="31"/>
      <c r="G119" s="31"/>
      <c r="H119" s="31"/>
      <c r="I119" s="31"/>
      <c r="J119" s="30"/>
    </row>
    <row r="120" spans="1:12" s="58" customFormat="1" ht="14.25" customHeight="1">
      <c r="A120" s="50"/>
      <c r="B120" s="30"/>
      <c r="C120" s="30"/>
      <c r="D120" s="34"/>
      <c r="E120" s="34"/>
      <c r="F120" s="34"/>
      <c r="G120" s="32"/>
      <c r="H120" s="33"/>
      <c r="I120" s="30"/>
      <c r="J120" s="30"/>
    </row>
    <row r="121" spans="1:12" ht="67.5">
      <c r="A121" s="50"/>
      <c r="C121" s="74" t="s">
        <v>188</v>
      </c>
    </row>
    <row r="122" spans="1:12">
      <c r="A122" s="50"/>
      <c r="C122" s="70"/>
    </row>
    <row r="123" spans="1:12">
      <c r="A123" s="50"/>
      <c r="C123" s="70"/>
    </row>
    <row r="124" spans="1:12" s="58" customFormat="1">
      <c r="A124" s="50"/>
      <c r="B124" s="30"/>
      <c r="C124" s="70"/>
      <c r="D124" s="71"/>
      <c r="E124" s="71"/>
      <c r="F124" s="71"/>
      <c r="G124" s="30"/>
      <c r="H124" s="77"/>
      <c r="I124" s="77"/>
      <c r="L124" s="3"/>
    </row>
    <row r="125" spans="1:12" s="58" customFormat="1">
      <c r="A125" s="50"/>
      <c r="B125" s="30"/>
      <c r="C125" s="70"/>
      <c r="D125" s="71"/>
      <c r="E125" s="71"/>
      <c r="F125" s="71"/>
      <c r="G125" s="30"/>
      <c r="H125" s="77"/>
      <c r="I125" s="77"/>
      <c r="L125" s="3"/>
    </row>
    <row r="126" spans="1:12" s="58" customFormat="1">
      <c r="A126" s="50"/>
      <c r="B126" s="30"/>
      <c r="C126" s="70"/>
      <c r="D126" s="71"/>
      <c r="E126" s="71"/>
      <c r="F126" s="71"/>
      <c r="G126" s="30"/>
      <c r="H126" s="77"/>
      <c r="I126" s="77"/>
      <c r="L126" s="3"/>
    </row>
    <row r="127" spans="1:12" s="58" customFormat="1">
      <c r="A127" s="50"/>
      <c r="B127" s="30"/>
      <c r="C127" s="70"/>
      <c r="D127" s="71"/>
      <c r="E127" s="71"/>
      <c r="F127" s="71"/>
      <c r="G127" s="30"/>
      <c r="H127" s="77"/>
      <c r="I127" s="77"/>
      <c r="L127" s="3"/>
    </row>
    <row r="128" spans="1:12" s="58" customFormat="1">
      <c r="A128" s="50"/>
      <c r="B128" s="30"/>
      <c r="C128" s="70"/>
      <c r="D128" s="71"/>
      <c r="E128" s="71"/>
      <c r="F128" s="71"/>
      <c r="G128" s="30"/>
      <c r="H128" s="77"/>
      <c r="I128" s="77"/>
      <c r="L128" s="3"/>
    </row>
    <row r="129" spans="1:12" s="58" customFormat="1">
      <c r="A129" s="50"/>
      <c r="B129" s="30"/>
      <c r="C129" s="70"/>
      <c r="D129" s="71"/>
      <c r="E129" s="71"/>
      <c r="F129" s="71"/>
      <c r="G129" s="30"/>
      <c r="H129" s="77"/>
      <c r="I129" s="77"/>
      <c r="L129" s="3"/>
    </row>
    <row r="130" spans="1:12" s="58" customFormat="1">
      <c r="A130" s="50"/>
      <c r="B130" s="30"/>
      <c r="C130" s="70"/>
      <c r="D130" s="71"/>
      <c r="E130" s="71"/>
      <c r="F130" s="71"/>
      <c r="G130" s="30"/>
      <c r="H130" s="77"/>
      <c r="I130" s="77"/>
      <c r="L130" s="3"/>
    </row>
    <row r="131" spans="1:12" s="58" customFormat="1">
      <c r="A131" s="50"/>
      <c r="B131" s="30"/>
      <c r="C131" s="70"/>
      <c r="D131" s="71"/>
      <c r="E131" s="71"/>
      <c r="F131" s="71"/>
      <c r="G131" s="30"/>
      <c r="H131" s="77"/>
      <c r="I131" s="77"/>
      <c r="L131" s="3"/>
    </row>
    <row r="132" spans="1:12" s="58" customFormat="1">
      <c r="A132" s="50"/>
      <c r="B132" s="30"/>
      <c r="C132" s="70"/>
      <c r="D132" s="71"/>
      <c r="E132" s="71"/>
      <c r="F132" s="71"/>
      <c r="G132" s="30"/>
      <c r="H132" s="77"/>
      <c r="I132" s="77"/>
      <c r="L132" s="3"/>
    </row>
    <row r="133" spans="1:12" s="58" customFormat="1">
      <c r="A133" s="50"/>
      <c r="B133" s="30"/>
      <c r="C133" s="70"/>
      <c r="D133" s="71"/>
      <c r="E133" s="71"/>
      <c r="F133" s="71"/>
      <c r="G133" s="30"/>
      <c r="H133" s="77"/>
      <c r="I133" s="77"/>
      <c r="L133" s="3"/>
    </row>
    <row r="134" spans="1:12" s="58" customFormat="1">
      <c r="A134" s="50"/>
      <c r="B134" s="30"/>
      <c r="C134" s="70"/>
      <c r="D134" s="71"/>
      <c r="E134" s="71"/>
      <c r="F134" s="71"/>
      <c r="G134" s="30"/>
      <c r="H134" s="77"/>
      <c r="I134" s="77"/>
      <c r="L134" s="3"/>
    </row>
    <row r="135" spans="1:12" s="58" customFormat="1">
      <c r="A135" s="50"/>
      <c r="B135" s="30"/>
      <c r="C135" s="70"/>
      <c r="D135" s="71"/>
      <c r="E135" s="71"/>
      <c r="F135" s="71"/>
      <c r="G135" s="30"/>
      <c r="H135" s="77"/>
      <c r="I135" s="77"/>
      <c r="L135" s="3"/>
    </row>
    <row r="136" spans="1:12" s="58" customFormat="1">
      <c r="A136" s="50"/>
      <c r="B136" s="30"/>
      <c r="C136" s="70"/>
      <c r="D136" s="71"/>
      <c r="E136" s="71"/>
      <c r="F136" s="71"/>
      <c r="G136" s="30"/>
      <c r="H136" s="77"/>
      <c r="I136" s="77"/>
      <c r="L136" s="3"/>
    </row>
    <row r="137" spans="1:12" s="58" customFormat="1">
      <c r="A137" s="50"/>
      <c r="B137" s="30"/>
      <c r="C137" s="70"/>
      <c r="D137" s="71"/>
      <c r="E137" s="71"/>
      <c r="F137" s="71"/>
      <c r="G137" s="30"/>
      <c r="H137" s="77"/>
      <c r="I137" s="77"/>
      <c r="L137" s="3"/>
    </row>
    <row r="138" spans="1:12" s="58" customFormat="1">
      <c r="A138" s="50"/>
      <c r="B138" s="30"/>
      <c r="C138" s="70"/>
      <c r="D138" s="71"/>
      <c r="E138" s="71"/>
      <c r="F138" s="71"/>
      <c r="G138" s="30"/>
      <c r="H138" s="77"/>
      <c r="I138" s="77"/>
      <c r="L138" s="3"/>
    </row>
    <row r="139" spans="1:12" s="58" customFormat="1">
      <c r="A139" s="50"/>
      <c r="B139" s="30"/>
      <c r="C139" s="70"/>
      <c r="D139" s="71"/>
      <c r="E139" s="71"/>
      <c r="F139" s="71"/>
      <c r="G139" s="30"/>
      <c r="H139" s="77"/>
      <c r="I139" s="77"/>
      <c r="L139" s="3"/>
    </row>
    <row r="140" spans="1:12" s="58" customFormat="1">
      <c r="A140" s="50"/>
      <c r="B140" s="30"/>
      <c r="C140" s="70"/>
      <c r="D140" s="71"/>
      <c r="E140" s="71"/>
      <c r="F140" s="71"/>
      <c r="G140" s="30"/>
      <c r="H140" s="77"/>
      <c r="I140" s="77"/>
      <c r="L140" s="3"/>
    </row>
    <row r="141" spans="1:12" s="58" customFormat="1">
      <c r="A141" s="50"/>
      <c r="B141" s="30"/>
      <c r="C141" s="70"/>
      <c r="D141" s="71"/>
      <c r="E141" s="71"/>
      <c r="F141" s="71"/>
      <c r="G141" s="30"/>
      <c r="H141" s="77"/>
      <c r="I141" s="77"/>
      <c r="L141" s="3"/>
    </row>
    <row r="142" spans="1:12" s="58" customFormat="1">
      <c r="A142" s="50"/>
      <c r="B142" s="30"/>
      <c r="C142" s="70"/>
      <c r="D142" s="71"/>
      <c r="E142" s="71"/>
      <c r="F142" s="71"/>
      <c r="G142" s="30"/>
      <c r="H142" s="77"/>
      <c r="I142" s="77"/>
      <c r="L142" s="3"/>
    </row>
    <row r="143" spans="1:12" s="58" customFormat="1">
      <c r="A143" s="50"/>
      <c r="B143" s="30"/>
      <c r="C143" s="70"/>
      <c r="D143" s="71"/>
      <c r="E143" s="71"/>
      <c r="F143" s="71"/>
      <c r="G143" s="30"/>
      <c r="H143" s="77"/>
      <c r="I143" s="77"/>
      <c r="L143" s="3"/>
    </row>
    <row r="144" spans="1:12" s="58" customFormat="1">
      <c r="A144" s="50"/>
      <c r="B144" s="30"/>
      <c r="C144" s="70"/>
      <c r="D144" s="71"/>
      <c r="E144" s="71"/>
      <c r="F144" s="71"/>
      <c r="G144" s="30"/>
      <c r="H144" s="77"/>
      <c r="I144" s="77"/>
      <c r="L144" s="3"/>
    </row>
    <row r="145" spans="1:12" s="58" customFormat="1">
      <c r="A145" s="50"/>
      <c r="B145" s="30"/>
      <c r="C145" s="70"/>
      <c r="D145" s="71"/>
      <c r="E145" s="71"/>
      <c r="F145" s="71"/>
      <c r="G145" s="30"/>
      <c r="H145" s="77"/>
      <c r="I145" s="77"/>
      <c r="L145" s="3"/>
    </row>
    <row r="146" spans="1:12" s="58" customFormat="1">
      <c r="A146" s="50"/>
      <c r="B146" s="30"/>
      <c r="C146" s="70"/>
      <c r="D146" s="71"/>
      <c r="E146" s="71"/>
      <c r="F146" s="71"/>
      <c r="G146" s="30"/>
      <c r="H146" s="77"/>
      <c r="I146" s="77"/>
      <c r="L146" s="3"/>
    </row>
    <row r="147" spans="1:12" s="58" customFormat="1">
      <c r="A147" s="50"/>
      <c r="B147" s="30"/>
      <c r="C147" s="70"/>
      <c r="D147" s="71"/>
      <c r="E147" s="71"/>
      <c r="F147" s="71"/>
      <c r="G147" s="30"/>
      <c r="H147" s="77"/>
      <c r="I147" s="77"/>
      <c r="L147" s="3"/>
    </row>
    <row r="148" spans="1:12" s="58" customFormat="1">
      <c r="A148" s="50"/>
      <c r="B148" s="30"/>
      <c r="C148" s="70"/>
      <c r="D148" s="71"/>
      <c r="E148" s="71"/>
      <c r="F148" s="71"/>
      <c r="G148" s="30"/>
      <c r="H148" s="77"/>
      <c r="I148" s="77"/>
      <c r="L148" s="3"/>
    </row>
    <row r="149" spans="1:12" s="58" customFormat="1">
      <c r="A149" s="50"/>
      <c r="B149" s="30"/>
      <c r="C149" s="70"/>
      <c r="D149" s="71"/>
      <c r="E149" s="71"/>
      <c r="F149" s="71"/>
      <c r="G149" s="30"/>
      <c r="H149" s="77"/>
      <c r="I149" s="77"/>
      <c r="L149" s="3"/>
    </row>
    <row r="150" spans="1:12" s="58" customFormat="1">
      <c r="A150" s="50"/>
      <c r="B150" s="30"/>
      <c r="C150" s="70"/>
      <c r="D150" s="71"/>
      <c r="E150" s="71"/>
      <c r="F150" s="71"/>
      <c r="G150" s="30"/>
      <c r="H150" s="77"/>
      <c r="I150" s="77"/>
      <c r="L150" s="3"/>
    </row>
    <row r="151" spans="1:12" s="58" customFormat="1">
      <c r="A151" s="50"/>
      <c r="B151" s="30"/>
      <c r="C151" s="70"/>
      <c r="D151" s="71"/>
      <c r="E151" s="71"/>
      <c r="F151" s="71"/>
      <c r="G151" s="30"/>
      <c r="H151" s="77"/>
      <c r="I151" s="77"/>
      <c r="L151" s="3"/>
    </row>
    <row r="152" spans="1:12" s="58" customFormat="1">
      <c r="A152" s="50"/>
      <c r="B152" s="30"/>
      <c r="C152" s="70"/>
      <c r="D152" s="71"/>
      <c r="E152" s="71"/>
      <c r="F152" s="71"/>
      <c r="G152" s="30"/>
      <c r="H152" s="77"/>
      <c r="I152" s="77"/>
      <c r="L152" s="3"/>
    </row>
    <row r="153" spans="1:12" s="58" customFormat="1">
      <c r="A153" s="50"/>
      <c r="B153" s="30"/>
      <c r="C153" s="70"/>
      <c r="D153" s="71"/>
      <c r="E153" s="71"/>
      <c r="F153" s="71"/>
      <c r="G153" s="30"/>
      <c r="H153" s="77"/>
      <c r="I153" s="77"/>
      <c r="L153" s="3"/>
    </row>
    <row r="154" spans="1:12" s="58" customFormat="1">
      <c r="A154" s="50"/>
      <c r="B154" s="30"/>
      <c r="C154" s="70"/>
      <c r="D154" s="71"/>
      <c r="E154" s="71"/>
      <c r="F154" s="71"/>
      <c r="G154" s="30"/>
      <c r="H154" s="77"/>
      <c r="I154" s="77"/>
      <c r="L154" s="3"/>
    </row>
    <row r="155" spans="1:12" s="58" customFormat="1">
      <c r="A155" s="50"/>
      <c r="B155" s="30"/>
      <c r="C155" s="70"/>
      <c r="D155" s="71"/>
      <c r="E155" s="71"/>
      <c r="F155" s="71"/>
      <c r="G155" s="30"/>
      <c r="H155" s="77"/>
      <c r="I155" s="77"/>
      <c r="L155" s="3"/>
    </row>
    <row r="156" spans="1:12" s="58" customFormat="1">
      <c r="A156" s="50"/>
      <c r="B156" s="30"/>
      <c r="C156" s="70"/>
      <c r="D156" s="71"/>
      <c r="E156" s="71"/>
      <c r="F156" s="71"/>
      <c r="G156" s="30"/>
      <c r="H156" s="77"/>
      <c r="I156" s="77"/>
      <c r="L156" s="3"/>
    </row>
    <row r="157" spans="1:12" s="58" customFormat="1">
      <c r="A157" s="50"/>
      <c r="B157" s="30"/>
      <c r="C157" s="70"/>
      <c r="D157" s="71"/>
      <c r="E157" s="71"/>
      <c r="F157" s="71"/>
      <c r="G157" s="30"/>
      <c r="H157" s="77"/>
      <c r="I157" s="77"/>
      <c r="L157" s="3"/>
    </row>
    <row r="158" spans="1:12" s="58" customFormat="1">
      <c r="A158" s="50"/>
      <c r="B158" s="30"/>
      <c r="C158" s="70"/>
      <c r="D158" s="71"/>
      <c r="E158" s="71"/>
      <c r="F158" s="71"/>
      <c r="G158" s="30"/>
      <c r="H158" s="77"/>
      <c r="I158" s="77"/>
      <c r="L158" s="3"/>
    </row>
    <row r="159" spans="1:12" s="58" customFormat="1">
      <c r="A159" s="50"/>
      <c r="B159" s="30"/>
      <c r="C159" s="70"/>
      <c r="D159" s="71"/>
      <c r="E159" s="71"/>
      <c r="F159" s="71"/>
      <c r="G159" s="30"/>
      <c r="H159" s="77"/>
      <c r="I159" s="77"/>
      <c r="L159" s="3"/>
    </row>
    <row r="160" spans="1:12" s="58" customFormat="1">
      <c r="A160" s="50"/>
      <c r="B160" s="30"/>
      <c r="C160" s="70"/>
      <c r="D160" s="71"/>
      <c r="E160" s="71"/>
      <c r="F160" s="71"/>
      <c r="G160" s="30"/>
      <c r="H160" s="77"/>
      <c r="I160" s="77"/>
      <c r="L160" s="3"/>
    </row>
    <row r="161" spans="1:12" s="58" customFormat="1">
      <c r="A161" s="50"/>
      <c r="B161" s="30"/>
      <c r="C161" s="70"/>
      <c r="D161" s="71"/>
      <c r="E161" s="71"/>
      <c r="F161" s="71"/>
      <c r="G161" s="30"/>
      <c r="H161" s="77"/>
      <c r="I161" s="77"/>
      <c r="L161" s="3"/>
    </row>
    <row r="162" spans="1:12" s="58" customFormat="1">
      <c r="A162" s="50"/>
      <c r="B162" s="30"/>
      <c r="C162" s="70"/>
      <c r="D162" s="71"/>
      <c r="E162" s="71"/>
      <c r="F162" s="71"/>
      <c r="G162" s="30"/>
      <c r="H162" s="77"/>
      <c r="I162" s="77"/>
      <c r="L162" s="3"/>
    </row>
    <row r="163" spans="1:12" s="58" customFormat="1">
      <c r="A163" s="50"/>
      <c r="B163" s="30"/>
      <c r="C163" s="70"/>
      <c r="D163" s="71"/>
      <c r="E163" s="71"/>
      <c r="F163" s="71"/>
      <c r="G163" s="30"/>
      <c r="H163" s="77"/>
      <c r="I163" s="77"/>
      <c r="L163" s="3"/>
    </row>
    <row r="164" spans="1:12" s="58" customFormat="1">
      <c r="A164" s="50"/>
      <c r="B164" s="30"/>
      <c r="C164" s="70"/>
      <c r="D164" s="71"/>
      <c r="E164" s="71"/>
      <c r="F164" s="71"/>
      <c r="G164" s="30"/>
      <c r="H164" s="77"/>
      <c r="I164" s="77"/>
      <c r="L164" s="3"/>
    </row>
    <row r="165" spans="1:12" s="58" customFormat="1">
      <c r="A165" s="50"/>
      <c r="B165" s="30"/>
      <c r="C165" s="70"/>
      <c r="D165" s="71"/>
      <c r="E165" s="71"/>
      <c r="F165" s="71"/>
      <c r="G165" s="30"/>
      <c r="H165" s="77"/>
      <c r="I165" s="77"/>
      <c r="L165" s="3"/>
    </row>
    <row r="166" spans="1:12" s="58" customFormat="1">
      <c r="A166" s="50"/>
      <c r="B166" s="30"/>
      <c r="C166" s="70"/>
      <c r="D166" s="71"/>
      <c r="E166" s="71"/>
      <c r="F166" s="71"/>
      <c r="G166" s="30"/>
      <c r="H166" s="77"/>
      <c r="I166" s="77"/>
      <c r="L166" s="3"/>
    </row>
    <row r="167" spans="1:12" s="58" customFormat="1">
      <c r="A167" s="50"/>
      <c r="B167" s="30"/>
      <c r="C167" s="70"/>
      <c r="D167" s="71"/>
      <c r="E167" s="71"/>
      <c r="F167" s="71"/>
      <c r="G167" s="30"/>
      <c r="H167" s="77"/>
      <c r="I167" s="77"/>
      <c r="L167" s="3"/>
    </row>
    <row r="168" spans="1:12" s="58" customFormat="1">
      <c r="A168" s="50"/>
      <c r="B168" s="30"/>
      <c r="C168" s="70"/>
      <c r="D168" s="71"/>
      <c r="E168" s="71"/>
      <c r="F168" s="71"/>
      <c r="G168" s="30"/>
      <c r="H168" s="77"/>
      <c r="I168" s="77"/>
      <c r="L168" s="3"/>
    </row>
    <row r="169" spans="1:12" s="58" customFormat="1">
      <c r="A169" s="50"/>
      <c r="B169" s="30"/>
      <c r="C169" s="70"/>
      <c r="D169" s="71"/>
      <c r="E169" s="71"/>
      <c r="F169" s="71"/>
      <c r="G169" s="30"/>
      <c r="H169" s="77"/>
      <c r="I169" s="77"/>
      <c r="L169" s="3"/>
    </row>
    <row r="170" spans="1:12" s="58" customFormat="1">
      <c r="A170" s="50"/>
      <c r="B170" s="30"/>
      <c r="C170" s="70"/>
      <c r="D170" s="71"/>
      <c r="E170" s="71"/>
      <c r="F170" s="71"/>
      <c r="G170" s="30"/>
      <c r="H170" s="77"/>
      <c r="I170" s="77"/>
      <c r="L170" s="3"/>
    </row>
    <row r="171" spans="1:12" s="58" customFormat="1">
      <c r="A171" s="50"/>
      <c r="B171" s="30"/>
      <c r="C171" s="70"/>
      <c r="D171" s="71"/>
      <c r="E171" s="71"/>
      <c r="F171" s="71"/>
      <c r="G171" s="30"/>
      <c r="H171" s="77"/>
      <c r="I171" s="77"/>
      <c r="L171" s="3"/>
    </row>
    <row r="172" spans="1:12" s="58" customFormat="1">
      <c r="A172" s="50"/>
      <c r="B172" s="30"/>
      <c r="C172" s="70"/>
      <c r="D172" s="71"/>
      <c r="E172" s="71"/>
      <c r="F172" s="71"/>
      <c r="G172" s="30"/>
      <c r="H172" s="77"/>
      <c r="I172" s="77"/>
      <c r="L172" s="3"/>
    </row>
    <row r="173" spans="1:12" s="58" customFormat="1">
      <c r="A173" s="50"/>
      <c r="B173" s="30"/>
      <c r="C173" s="70"/>
      <c r="D173" s="71"/>
      <c r="E173" s="71"/>
      <c r="F173" s="71"/>
      <c r="G173" s="30"/>
      <c r="H173" s="77"/>
      <c r="I173" s="77"/>
      <c r="L173" s="3"/>
    </row>
    <row r="174" spans="1:12" s="58" customFormat="1">
      <c r="A174" s="50"/>
      <c r="B174" s="30"/>
      <c r="C174" s="70"/>
      <c r="D174" s="71"/>
      <c r="E174" s="71"/>
      <c r="F174" s="71"/>
      <c r="G174" s="30"/>
      <c r="H174" s="77"/>
      <c r="I174" s="77"/>
      <c r="L174" s="3"/>
    </row>
    <row r="175" spans="1:12" s="58" customFormat="1">
      <c r="A175" s="50"/>
      <c r="B175" s="30"/>
      <c r="C175" s="70"/>
      <c r="D175" s="71"/>
      <c r="E175" s="71"/>
      <c r="F175" s="71"/>
      <c r="G175" s="30"/>
      <c r="H175" s="77"/>
      <c r="I175" s="77"/>
      <c r="L175" s="3"/>
    </row>
    <row r="176" spans="1:12" s="58" customFormat="1">
      <c r="A176" s="50"/>
      <c r="B176" s="30"/>
      <c r="C176" s="70"/>
      <c r="D176" s="71"/>
      <c r="E176" s="71"/>
      <c r="F176" s="71"/>
      <c r="G176" s="30"/>
      <c r="H176" s="77"/>
      <c r="I176" s="77"/>
      <c r="L176" s="3"/>
    </row>
    <row r="177" spans="1:12" s="58" customFormat="1">
      <c r="A177" s="50"/>
      <c r="B177" s="30"/>
      <c r="C177" s="70"/>
      <c r="D177" s="71"/>
      <c r="E177" s="71"/>
      <c r="F177" s="71"/>
      <c r="G177" s="30"/>
      <c r="H177" s="77"/>
      <c r="I177" s="77"/>
      <c r="L177" s="3"/>
    </row>
    <row r="178" spans="1:12" s="58" customFormat="1">
      <c r="A178" s="50"/>
      <c r="B178" s="30"/>
      <c r="C178" s="70"/>
      <c r="D178" s="71"/>
      <c r="E178" s="71"/>
      <c r="F178" s="71"/>
      <c r="G178" s="30"/>
      <c r="H178" s="77"/>
      <c r="I178" s="77"/>
      <c r="L178" s="3"/>
    </row>
    <row r="179" spans="1:12" s="58" customFormat="1">
      <c r="A179" s="50"/>
      <c r="B179" s="30"/>
      <c r="C179" s="70"/>
      <c r="D179" s="71"/>
      <c r="E179" s="71"/>
      <c r="F179" s="71"/>
      <c r="G179" s="30"/>
      <c r="H179" s="77"/>
      <c r="I179" s="77"/>
      <c r="L179" s="3"/>
    </row>
    <row r="180" spans="1:12" s="58" customFormat="1">
      <c r="A180" s="50"/>
      <c r="B180" s="30"/>
      <c r="C180" s="70"/>
      <c r="D180" s="71"/>
      <c r="E180" s="71"/>
      <c r="F180" s="71"/>
      <c r="G180" s="30"/>
      <c r="H180" s="77"/>
      <c r="I180" s="77"/>
      <c r="L180" s="3"/>
    </row>
    <row r="181" spans="1:12" s="58" customFormat="1">
      <c r="A181" s="50"/>
      <c r="B181" s="30"/>
      <c r="C181" s="70"/>
      <c r="D181" s="71"/>
      <c r="E181" s="71"/>
      <c r="F181" s="71"/>
      <c r="G181" s="30"/>
      <c r="H181" s="77"/>
      <c r="I181" s="77"/>
      <c r="L181" s="3"/>
    </row>
    <row r="182" spans="1:12" s="58" customFormat="1">
      <c r="A182" s="50"/>
      <c r="B182" s="30"/>
      <c r="C182" s="70"/>
      <c r="D182" s="71"/>
      <c r="E182" s="71"/>
      <c r="F182" s="71"/>
      <c r="G182" s="30"/>
      <c r="H182" s="77"/>
      <c r="I182" s="77"/>
      <c r="L182" s="3"/>
    </row>
    <row r="183" spans="1:12" s="58" customFormat="1">
      <c r="A183" s="50"/>
      <c r="B183" s="30"/>
      <c r="C183" s="70"/>
      <c r="D183" s="71"/>
      <c r="E183" s="71"/>
      <c r="F183" s="71"/>
      <c r="G183" s="30"/>
      <c r="H183" s="77"/>
      <c r="I183" s="77"/>
      <c r="L183" s="3"/>
    </row>
    <row r="184" spans="1:12" s="58" customFormat="1">
      <c r="A184" s="50"/>
      <c r="B184" s="30"/>
      <c r="C184" s="70"/>
      <c r="D184" s="71"/>
      <c r="E184" s="71"/>
      <c r="F184" s="71"/>
      <c r="G184" s="30"/>
      <c r="H184" s="77"/>
      <c r="I184" s="77"/>
      <c r="L184" s="3"/>
    </row>
    <row r="185" spans="1:12" s="58" customFormat="1">
      <c r="A185" s="50"/>
      <c r="B185" s="30"/>
      <c r="C185" s="70"/>
      <c r="D185" s="71"/>
      <c r="E185" s="71"/>
      <c r="F185" s="71"/>
      <c r="G185" s="30"/>
      <c r="H185" s="77"/>
      <c r="I185" s="77"/>
      <c r="L185" s="3"/>
    </row>
    <row r="186" spans="1:12" s="58" customFormat="1">
      <c r="A186" s="50"/>
      <c r="B186" s="30"/>
      <c r="C186" s="70"/>
      <c r="D186" s="71"/>
      <c r="E186" s="71"/>
      <c r="F186" s="71"/>
      <c r="G186" s="30"/>
      <c r="H186" s="77"/>
      <c r="I186" s="77"/>
      <c r="L186" s="3"/>
    </row>
    <row r="187" spans="1:12" s="58" customFormat="1">
      <c r="A187" s="50"/>
      <c r="B187" s="30"/>
      <c r="C187" s="70"/>
      <c r="D187" s="71"/>
      <c r="E187" s="71"/>
      <c r="F187" s="71"/>
      <c r="G187" s="30"/>
      <c r="H187" s="77"/>
      <c r="I187" s="77"/>
      <c r="L187" s="3"/>
    </row>
    <row r="188" spans="1:12" s="58" customFormat="1">
      <c r="A188" s="50"/>
      <c r="B188" s="30"/>
      <c r="C188" s="70"/>
      <c r="D188" s="71"/>
      <c r="E188" s="71"/>
      <c r="F188" s="71"/>
      <c r="G188" s="30"/>
      <c r="H188" s="77"/>
      <c r="I188" s="77"/>
      <c r="L188" s="3"/>
    </row>
    <row r="189" spans="1:12" s="58" customFormat="1">
      <c r="A189" s="50"/>
      <c r="B189" s="30"/>
      <c r="C189" s="70"/>
      <c r="D189" s="71"/>
      <c r="E189" s="71"/>
      <c r="F189" s="71"/>
      <c r="G189" s="30"/>
      <c r="H189" s="77"/>
      <c r="I189" s="77"/>
      <c r="L189" s="3"/>
    </row>
    <row r="190" spans="1:12" s="58" customFormat="1">
      <c r="A190" s="50"/>
      <c r="B190" s="30"/>
      <c r="C190" s="70"/>
      <c r="D190" s="71"/>
      <c r="E190" s="71"/>
      <c r="F190" s="71"/>
      <c r="G190" s="30"/>
      <c r="H190" s="77"/>
      <c r="I190" s="77"/>
      <c r="L190" s="3"/>
    </row>
    <row r="191" spans="1:12" s="58" customFormat="1">
      <c r="A191" s="50"/>
      <c r="B191" s="30"/>
      <c r="C191" s="70"/>
      <c r="D191" s="71"/>
      <c r="E191" s="71"/>
      <c r="F191" s="71"/>
      <c r="G191" s="30"/>
      <c r="H191" s="77"/>
      <c r="I191" s="77"/>
      <c r="L191" s="3"/>
    </row>
    <row r="192" spans="1:12" s="58" customFormat="1">
      <c r="A192" s="50"/>
      <c r="B192" s="30"/>
      <c r="C192" s="70"/>
      <c r="D192" s="71"/>
      <c r="E192" s="71"/>
      <c r="F192" s="71"/>
      <c r="G192" s="30"/>
      <c r="H192" s="77"/>
      <c r="I192" s="77"/>
      <c r="L192" s="3"/>
    </row>
    <row r="193" spans="1:12" s="58" customFormat="1">
      <c r="A193" s="50"/>
      <c r="B193" s="30"/>
      <c r="C193" s="70"/>
      <c r="D193" s="71"/>
      <c r="E193" s="71"/>
      <c r="F193" s="71"/>
      <c r="G193" s="30"/>
      <c r="H193" s="77"/>
      <c r="I193" s="77"/>
      <c r="L193" s="3"/>
    </row>
    <row r="194" spans="1:12" s="58" customFormat="1">
      <c r="A194" s="50"/>
      <c r="B194" s="30"/>
      <c r="C194" s="70"/>
      <c r="D194" s="71"/>
      <c r="E194" s="71"/>
      <c r="F194" s="71"/>
      <c r="G194" s="30"/>
      <c r="H194" s="77"/>
      <c r="I194" s="77"/>
      <c r="L194" s="3"/>
    </row>
    <row r="195" spans="1:12" s="58" customFormat="1">
      <c r="A195" s="50"/>
      <c r="B195" s="30"/>
      <c r="C195" s="70"/>
      <c r="D195" s="71"/>
      <c r="E195" s="71"/>
      <c r="F195" s="71"/>
      <c r="G195" s="30"/>
      <c r="H195" s="77"/>
      <c r="I195" s="77"/>
      <c r="L195" s="3"/>
    </row>
    <row r="196" spans="1:12" s="58" customFormat="1">
      <c r="A196" s="50"/>
      <c r="B196" s="30"/>
      <c r="C196" s="70"/>
      <c r="D196" s="71"/>
      <c r="E196" s="71"/>
      <c r="F196" s="71"/>
      <c r="G196" s="30"/>
      <c r="H196" s="77"/>
      <c r="I196" s="77"/>
      <c r="L196" s="3"/>
    </row>
    <row r="197" spans="1:12" s="58" customFormat="1">
      <c r="A197" s="50"/>
      <c r="B197" s="30"/>
      <c r="C197" s="70"/>
      <c r="D197" s="71"/>
      <c r="E197" s="71"/>
      <c r="F197" s="71"/>
      <c r="G197" s="30"/>
      <c r="H197" s="77"/>
      <c r="I197" s="77"/>
      <c r="L197" s="3"/>
    </row>
    <row r="198" spans="1:12" s="58" customFormat="1">
      <c r="A198" s="50"/>
      <c r="B198" s="30"/>
      <c r="C198" s="70"/>
      <c r="D198" s="71"/>
      <c r="E198" s="71"/>
      <c r="F198" s="71"/>
      <c r="G198" s="30"/>
      <c r="H198" s="77"/>
      <c r="I198" s="77"/>
      <c r="L198" s="3"/>
    </row>
    <row r="199" spans="1:12" s="58" customFormat="1">
      <c r="A199" s="50"/>
      <c r="B199" s="30"/>
      <c r="C199" s="70"/>
      <c r="D199" s="71"/>
      <c r="E199" s="71"/>
      <c r="F199" s="71"/>
      <c r="G199" s="30"/>
      <c r="H199" s="77"/>
      <c r="I199" s="77"/>
      <c r="L199" s="3"/>
    </row>
    <row r="200" spans="1:12" s="58" customFormat="1">
      <c r="A200" s="50"/>
      <c r="B200" s="30"/>
      <c r="C200" s="70"/>
      <c r="D200" s="71"/>
      <c r="E200" s="71"/>
      <c r="F200" s="71"/>
      <c r="G200" s="30"/>
      <c r="H200" s="77"/>
      <c r="I200" s="77"/>
      <c r="L200" s="3"/>
    </row>
    <row r="201" spans="1:12" s="58" customFormat="1">
      <c r="A201" s="50"/>
      <c r="B201" s="30"/>
      <c r="C201" s="70"/>
      <c r="D201" s="71"/>
      <c r="E201" s="71"/>
      <c r="F201" s="71"/>
      <c r="G201" s="30"/>
      <c r="H201" s="77"/>
      <c r="I201" s="77"/>
      <c r="L201" s="3"/>
    </row>
    <row r="202" spans="1:12" s="58" customFormat="1">
      <c r="A202" s="50"/>
      <c r="B202" s="30"/>
      <c r="C202" s="70"/>
      <c r="D202" s="71"/>
      <c r="E202" s="71"/>
      <c r="F202" s="71"/>
      <c r="G202" s="30"/>
      <c r="H202" s="77"/>
      <c r="I202" s="77"/>
      <c r="L202" s="3"/>
    </row>
    <row r="203" spans="1:12" s="58" customFormat="1">
      <c r="A203" s="50"/>
      <c r="B203" s="30"/>
      <c r="C203" s="70"/>
      <c r="D203" s="71"/>
      <c r="E203" s="71"/>
      <c r="F203" s="71"/>
      <c r="G203" s="30"/>
      <c r="H203" s="77"/>
      <c r="I203" s="77"/>
      <c r="L203" s="3"/>
    </row>
    <row r="204" spans="1:12" s="58" customFormat="1">
      <c r="A204" s="50"/>
      <c r="B204" s="30"/>
      <c r="C204" s="70"/>
      <c r="D204" s="71"/>
      <c r="E204" s="71"/>
      <c r="F204" s="71"/>
      <c r="G204" s="30"/>
      <c r="H204" s="77"/>
      <c r="I204" s="77"/>
      <c r="L204" s="3"/>
    </row>
    <row r="205" spans="1:12" s="58" customFormat="1">
      <c r="A205" s="50"/>
      <c r="B205" s="30"/>
      <c r="C205" s="70"/>
      <c r="D205" s="71"/>
      <c r="E205" s="71"/>
      <c r="F205" s="71"/>
      <c r="G205" s="30"/>
      <c r="H205" s="77"/>
      <c r="I205" s="77"/>
      <c r="L205" s="3"/>
    </row>
    <row r="206" spans="1:12" s="58" customFormat="1">
      <c r="A206" s="50"/>
      <c r="B206" s="30"/>
      <c r="C206" s="70"/>
      <c r="D206" s="71"/>
      <c r="E206" s="71"/>
      <c r="F206" s="71"/>
      <c r="G206" s="30"/>
      <c r="H206" s="77"/>
      <c r="I206" s="77"/>
      <c r="L206" s="3"/>
    </row>
    <row r="207" spans="1:12" s="58" customFormat="1">
      <c r="A207" s="50"/>
      <c r="B207" s="30"/>
      <c r="C207" s="70"/>
      <c r="D207" s="71"/>
      <c r="E207" s="71"/>
      <c r="F207" s="71"/>
      <c r="G207" s="30"/>
      <c r="H207" s="77"/>
      <c r="I207" s="77"/>
      <c r="L207" s="3"/>
    </row>
    <row r="208" spans="1:12" s="58" customFormat="1">
      <c r="A208" s="50"/>
      <c r="B208" s="30"/>
      <c r="C208" s="70"/>
      <c r="D208" s="71"/>
      <c r="E208" s="71"/>
      <c r="F208" s="71"/>
      <c r="G208" s="30"/>
      <c r="H208" s="77"/>
      <c r="I208" s="77"/>
      <c r="L208" s="3"/>
    </row>
    <row r="209" spans="1:12" s="58" customFormat="1">
      <c r="A209" s="50"/>
      <c r="B209" s="30"/>
      <c r="C209" s="70"/>
      <c r="D209" s="71"/>
      <c r="E209" s="71"/>
      <c r="F209" s="71"/>
      <c r="G209" s="30"/>
      <c r="H209" s="77"/>
      <c r="I209" s="77"/>
      <c r="L209" s="3"/>
    </row>
    <row r="210" spans="1:12" s="58" customFormat="1">
      <c r="A210" s="50"/>
      <c r="B210" s="30"/>
      <c r="C210" s="70"/>
      <c r="D210" s="71"/>
      <c r="E210" s="71"/>
      <c r="F210" s="71"/>
      <c r="G210" s="30"/>
      <c r="H210" s="77"/>
      <c r="I210" s="77"/>
      <c r="L210" s="3"/>
    </row>
    <row r="211" spans="1:12" s="58" customFormat="1">
      <c r="A211" s="50"/>
      <c r="B211" s="30"/>
      <c r="C211" s="70"/>
      <c r="D211" s="71"/>
      <c r="E211" s="71"/>
      <c r="F211" s="71"/>
      <c r="G211" s="30"/>
      <c r="H211" s="77"/>
      <c r="I211" s="77"/>
      <c r="L211" s="3"/>
    </row>
    <row r="212" spans="1:12" s="58" customFormat="1">
      <c r="A212" s="50"/>
      <c r="B212" s="30"/>
      <c r="C212" s="70"/>
      <c r="D212" s="71"/>
      <c r="E212" s="71"/>
      <c r="F212" s="71"/>
      <c r="G212" s="30"/>
      <c r="H212" s="77"/>
      <c r="I212" s="77"/>
      <c r="L212" s="3"/>
    </row>
    <row r="213" spans="1:12" s="58" customFormat="1">
      <c r="A213" s="50"/>
      <c r="B213" s="30"/>
      <c r="C213" s="70"/>
      <c r="D213" s="71"/>
      <c r="E213" s="71"/>
      <c r="F213" s="71"/>
      <c r="G213" s="30"/>
      <c r="H213" s="77"/>
      <c r="I213" s="77"/>
      <c r="L213" s="3"/>
    </row>
    <row r="214" spans="1:12" s="58" customFormat="1">
      <c r="A214" s="50"/>
      <c r="B214" s="30"/>
      <c r="C214" s="70"/>
      <c r="D214" s="71"/>
      <c r="E214" s="71"/>
      <c r="F214" s="71"/>
      <c r="G214" s="30"/>
      <c r="H214" s="77"/>
      <c r="I214" s="77"/>
      <c r="L214" s="3"/>
    </row>
    <row r="215" spans="1:12" s="58" customFormat="1">
      <c r="A215" s="50"/>
      <c r="B215" s="30"/>
      <c r="C215" s="70"/>
      <c r="D215" s="71"/>
      <c r="E215" s="71"/>
      <c r="F215" s="71"/>
      <c r="G215" s="30"/>
      <c r="H215" s="77"/>
      <c r="I215" s="77"/>
      <c r="L215" s="3"/>
    </row>
    <row r="216" spans="1:12" s="58" customFormat="1">
      <c r="A216" s="50"/>
      <c r="B216" s="30"/>
      <c r="C216" s="70"/>
      <c r="D216" s="71"/>
      <c r="E216" s="71"/>
      <c r="F216" s="71"/>
      <c r="G216" s="30"/>
      <c r="H216" s="77"/>
      <c r="I216" s="77"/>
      <c r="L216" s="3"/>
    </row>
    <row r="217" spans="1:12" s="58" customFormat="1">
      <c r="A217" s="50"/>
      <c r="B217" s="30"/>
      <c r="C217" s="70"/>
      <c r="D217" s="71"/>
      <c r="E217" s="71"/>
      <c r="F217" s="71"/>
      <c r="G217" s="30"/>
      <c r="H217" s="77"/>
      <c r="I217" s="77"/>
      <c r="L217" s="3"/>
    </row>
    <row r="218" spans="1:12" s="58" customFormat="1">
      <c r="A218" s="50"/>
      <c r="B218" s="30"/>
      <c r="C218" s="70"/>
      <c r="D218" s="71"/>
      <c r="E218" s="71"/>
      <c r="F218" s="71"/>
      <c r="G218" s="30"/>
      <c r="H218" s="77"/>
      <c r="I218" s="77"/>
      <c r="L218" s="3"/>
    </row>
    <row r="219" spans="1:12" s="58" customFormat="1">
      <c r="A219" s="50"/>
      <c r="B219" s="30"/>
      <c r="C219" s="70"/>
      <c r="D219" s="71"/>
      <c r="E219" s="71"/>
      <c r="F219" s="71"/>
      <c r="G219" s="30"/>
      <c r="H219" s="77"/>
      <c r="I219" s="77"/>
      <c r="L219" s="3"/>
    </row>
    <row r="220" spans="1:12" s="71" customFormat="1">
      <c r="A220" s="50"/>
      <c r="B220" s="30"/>
      <c r="C220" s="70"/>
      <c r="G220" s="30"/>
      <c r="H220" s="77"/>
      <c r="I220" s="77"/>
      <c r="J220" s="58"/>
      <c r="K220" s="58"/>
      <c r="L220" s="3"/>
    </row>
    <row r="221" spans="1:12" s="71" customFormat="1">
      <c r="A221" s="50"/>
      <c r="B221" s="30"/>
      <c r="C221" s="70"/>
      <c r="G221" s="30"/>
      <c r="H221" s="77"/>
      <c r="I221" s="77"/>
      <c r="J221" s="58"/>
      <c r="K221" s="58"/>
      <c r="L221" s="3"/>
    </row>
    <row r="222" spans="1:12" s="71" customFormat="1">
      <c r="A222" s="50"/>
      <c r="B222" s="30"/>
      <c r="C222" s="70"/>
      <c r="G222" s="30"/>
      <c r="H222" s="77"/>
      <c r="I222" s="77"/>
      <c r="J222" s="58"/>
      <c r="K222" s="58"/>
      <c r="L222" s="3"/>
    </row>
    <row r="223" spans="1:12" s="71" customFormat="1">
      <c r="A223" s="50"/>
      <c r="B223" s="30"/>
      <c r="C223" s="70"/>
      <c r="G223" s="30"/>
      <c r="H223" s="77"/>
      <c r="I223" s="77"/>
      <c r="J223" s="58"/>
      <c r="K223" s="58"/>
      <c r="L223" s="3"/>
    </row>
    <row r="224" spans="1:12" s="71" customFormat="1">
      <c r="A224" s="50"/>
      <c r="B224" s="30"/>
      <c r="C224" s="70"/>
      <c r="G224" s="30"/>
      <c r="H224" s="77"/>
      <c r="I224" s="77"/>
      <c r="J224" s="58"/>
      <c r="K224" s="58"/>
      <c r="L224" s="3"/>
    </row>
    <row r="225" spans="1:12" s="71" customFormat="1">
      <c r="A225" s="50"/>
      <c r="B225" s="30"/>
      <c r="C225" s="70"/>
      <c r="G225" s="30"/>
      <c r="H225" s="77"/>
      <c r="I225" s="77"/>
      <c r="J225" s="58"/>
      <c r="K225" s="58"/>
      <c r="L225" s="3"/>
    </row>
    <row r="226" spans="1:12" s="71" customFormat="1">
      <c r="A226" s="50"/>
      <c r="B226" s="30"/>
      <c r="C226" s="70"/>
      <c r="G226" s="30"/>
      <c r="H226" s="77"/>
      <c r="I226" s="77"/>
      <c r="J226" s="58"/>
      <c r="K226" s="58"/>
      <c r="L226" s="3"/>
    </row>
    <row r="227" spans="1:12" s="71" customFormat="1">
      <c r="A227" s="50"/>
      <c r="B227" s="30"/>
      <c r="C227" s="70"/>
      <c r="G227" s="30"/>
      <c r="H227" s="77"/>
      <c r="I227" s="77"/>
      <c r="J227" s="58"/>
      <c r="K227" s="58"/>
      <c r="L227" s="3"/>
    </row>
    <row r="228" spans="1:12" s="71" customFormat="1">
      <c r="A228" s="50"/>
      <c r="B228" s="30"/>
      <c r="C228" s="70"/>
      <c r="G228" s="30"/>
      <c r="H228" s="77"/>
      <c r="I228" s="77"/>
      <c r="J228" s="58"/>
      <c r="K228" s="58"/>
      <c r="L228" s="3"/>
    </row>
    <row r="229" spans="1:12" s="71" customFormat="1">
      <c r="A229" s="50"/>
      <c r="B229" s="30"/>
      <c r="C229" s="70"/>
      <c r="G229" s="30"/>
      <c r="H229" s="77"/>
      <c r="I229" s="77"/>
      <c r="J229" s="58"/>
      <c r="K229" s="58"/>
      <c r="L229" s="3"/>
    </row>
    <row r="230" spans="1:12" s="71" customFormat="1">
      <c r="A230" s="50"/>
      <c r="B230" s="30"/>
      <c r="C230" s="70"/>
      <c r="G230" s="30"/>
      <c r="H230" s="77"/>
      <c r="I230" s="77"/>
      <c r="J230" s="58"/>
      <c r="K230" s="58"/>
      <c r="L230" s="3"/>
    </row>
    <row r="231" spans="1:12" s="71" customFormat="1">
      <c r="A231" s="50"/>
      <c r="B231" s="30"/>
      <c r="C231" s="70"/>
      <c r="G231" s="30"/>
      <c r="H231" s="77"/>
      <c r="I231" s="77"/>
      <c r="J231" s="58"/>
      <c r="K231" s="58"/>
      <c r="L231" s="3"/>
    </row>
    <row r="232" spans="1:12" s="71" customFormat="1">
      <c r="A232" s="50"/>
      <c r="B232" s="30"/>
      <c r="C232" s="70"/>
      <c r="G232" s="30"/>
      <c r="H232" s="77"/>
      <c r="I232" s="77"/>
      <c r="J232" s="58"/>
      <c r="K232" s="58"/>
      <c r="L232" s="3"/>
    </row>
    <row r="233" spans="1:12" s="71" customFormat="1">
      <c r="A233" s="50"/>
      <c r="B233" s="30"/>
      <c r="C233" s="70"/>
      <c r="G233" s="30"/>
      <c r="H233" s="77"/>
      <c r="I233" s="77"/>
      <c r="J233" s="58"/>
      <c r="K233" s="58"/>
      <c r="L233" s="3"/>
    </row>
    <row r="234" spans="1:12" s="71" customFormat="1">
      <c r="A234" s="50"/>
      <c r="B234" s="30"/>
      <c r="C234" s="70"/>
      <c r="G234" s="30"/>
      <c r="H234" s="77"/>
      <c r="I234" s="77"/>
      <c r="J234" s="58"/>
      <c r="K234" s="58"/>
      <c r="L234" s="3"/>
    </row>
    <row r="235" spans="1:12" s="71" customFormat="1">
      <c r="A235" s="50"/>
      <c r="B235" s="30"/>
      <c r="C235" s="70"/>
      <c r="G235" s="30"/>
      <c r="H235" s="77"/>
      <c r="I235" s="77"/>
      <c r="J235" s="58"/>
      <c r="K235" s="58"/>
      <c r="L235" s="3"/>
    </row>
    <row r="236" spans="1:12" s="71" customFormat="1">
      <c r="A236" s="50"/>
      <c r="B236" s="30"/>
      <c r="C236" s="70"/>
      <c r="G236" s="30"/>
      <c r="H236" s="77"/>
      <c r="I236" s="77"/>
      <c r="J236" s="58"/>
      <c r="K236" s="58"/>
      <c r="L236" s="3"/>
    </row>
    <row r="237" spans="1:12" s="71" customFormat="1">
      <c r="A237" s="50"/>
      <c r="B237" s="30"/>
      <c r="C237" s="70"/>
      <c r="G237" s="30"/>
      <c r="H237" s="77"/>
      <c r="I237" s="77"/>
      <c r="J237" s="58"/>
      <c r="K237" s="58"/>
      <c r="L237" s="3"/>
    </row>
    <row r="238" spans="1:12" s="71" customFormat="1">
      <c r="A238" s="50"/>
      <c r="B238" s="30"/>
      <c r="C238" s="70"/>
      <c r="G238" s="30"/>
      <c r="H238" s="77"/>
      <c r="I238" s="77"/>
      <c r="J238" s="58"/>
      <c r="K238" s="58"/>
      <c r="L238" s="3"/>
    </row>
    <row r="239" spans="1:12" s="71" customFormat="1">
      <c r="A239" s="50"/>
      <c r="B239" s="30"/>
      <c r="C239" s="70"/>
      <c r="G239" s="30"/>
      <c r="H239" s="77"/>
      <c r="I239" s="77"/>
      <c r="J239" s="58"/>
      <c r="K239" s="58"/>
      <c r="L239" s="3"/>
    </row>
    <row r="240" spans="1:12" s="71" customFormat="1">
      <c r="A240" s="50"/>
      <c r="B240" s="30"/>
      <c r="C240" s="70"/>
      <c r="G240" s="30"/>
      <c r="H240" s="77"/>
      <c r="I240" s="77"/>
      <c r="J240" s="58"/>
      <c r="K240" s="58"/>
      <c r="L240" s="3"/>
    </row>
    <row r="241" spans="1:12" s="71" customFormat="1">
      <c r="A241" s="50"/>
      <c r="B241" s="30"/>
      <c r="C241" s="70"/>
      <c r="G241" s="30"/>
      <c r="H241" s="77"/>
      <c r="I241" s="77"/>
      <c r="J241" s="58"/>
      <c r="K241" s="58"/>
      <c r="L241" s="3"/>
    </row>
    <row r="242" spans="1:12" s="71" customFormat="1">
      <c r="A242" s="50"/>
      <c r="B242" s="30"/>
      <c r="C242" s="70"/>
      <c r="G242" s="30"/>
      <c r="H242" s="77"/>
      <c r="I242" s="77"/>
      <c r="J242" s="58"/>
      <c r="K242" s="58"/>
      <c r="L242" s="3"/>
    </row>
    <row r="243" spans="1:12" s="71" customFormat="1">
      <c r="A243" s="50"/>
      <c r="B243" s="30"/>
      <c r="C243" s="70"/>
      <c r="G243" s="30"/>
      <c r="H243" s="77"/>
      <c r="I243" s="77"/>
      <c r="J243" s="58"/>
      <c r="K243" s="58"/>
      <c r="L243" s="3"/>
    </row>
    <row r="244" spans="1:12" s="71" customFormat="1">
      <c r="A244" s="50"/>
      <c r="B244" s="30"/>
      <c r="C244" s="70"/>
      <c r="G244" s="30"/>
      <c r="H244" s="77"/>
      <c r="I244" s="77"/>
      <c r="J244" s="58"/>
      <c r="K244" s="58"/>
      <c r="L244" s="3"/>
    </row>
    <row r="245" spans="1:12" s="71" customFormat="1">
      <c r="A245" s="50"/>
      <c r="B245" s="30"/>
      <c r="C245" s="70"/>
      <c r="G245" s="30"/>
      <c r="H245" s="77"/>
      <c r="I245" s="77"/>
      <c r="J245" s="58"/>
      <c r="K245" s="58"/>
      <c r="L245" s="3"/>
    </row>
    <row r="246" spans="1:12" s="71" customFormat="1">
      <c r="A246" s="50"/>
      <c r="B246" s="30"/>
      <c r="C246" s="70"/>
      <c r="G246" s="30"/>
      <c r="H246" s="77"/>
      <c r="I246" s="77"/>
      <c r="J246" s="58"/>
      <c r="K246" s="58"/>
      <c r="L246" s="3"/>
    </row>
    <row r="247" spans="1:12" s="71" customFormat="1">
      <c r="A247" s="50"/>
      <c r="B247" s="30"/>
      <c r="C247" s="70"/>
      <c r="G247" s="30"/>
      <c r="H247" s="77"/>
      <c r="I247" s="77"/>
      <c r="J247" s="58"/>
      <c r="K247" s="58"/>
      <c r="L247" s="3"/>
    </row>
    <row r="248" spans="1:12" s="71" customFormat="1">
      <c r="A248" s="50"/>
      <c r="B248" s="30"/>
      <c r="C248" s="70"/>
      <c r="G248" s="30"/>
      <c r="H248" s="77"/>
      <c r="I248" s="77"/>
      <c r="J248" s="58"/>
      <c r="K248" s="58"/>
      <c r="L248" s="3"/>
    </row>
    <row r="249" spans="1:12" s="71" customFormat="1">
      <c r="A249" s="50"/>
      <c r="B249" s="30"/>
      <c r="C249" s="70"/>
      <c r="G249" s="30"/>
      <c r="H249" s="77"/>
      <c r="I249" s="77"/>
      <c r="J249" s="58"/>
      <c r="K249" s="58"/>
      <c r="L249" s="3"/>
    </row>
    <row r="250" spans="1:12" s="71" customFormat="1">
      <c r="A250" s="50"/>
      <c r="B250" s="30"/>
      <c r="C250" s="70"/>
      <c r="G250" s="30"/>
      <c r="H250" s="77"/>
      <c r="I250" s="77"/>
      <c r="J250" s="58"/>
      <c r="K250" s="58"/>
      <c r="L250" s="3"/>
    </row>
    <row r="251" spans="1:12" s="71" customFormat="1">
      <c r="A251" s="50"/>
      <c r="B251" s="30"/>
      <c r="C251" s="70"/>
      <c r="G251" s="30"/>
      <c r="H251" s="77"/>
      <c r="I251" s="77"/>
      <c r="J251" s="58"/>
      <c r="K251" s="58"/>
      <c r="L251" s="3"/>
    </row>
    <row r="252" spans="1:12" s="71" customFormat="1">
      <c r="A252" s="50"/>
      <c r="B252" s="30"/>
      <c r="C252" s="70"/>
      <c r="G252" s="30"/>
      <c r="H252" s="77"/>
      <c r="I252" s="77"/>
      <c r="J252" s="58"/>
      <c r="K252" s="58"/>
      <c r="L252" s="3"/>
    </row>
    <row r="253" spans="1:12" s="71" customFormat="1">
      <c r="A253" s="50"/>
      <c r="B253" s="30"/>
      <c r="C253" s="70"/>
      <c r="G253" s="30"/>
      <c r="H253" s="77"/>
      <c r="I253" s="77"/>
      <c r="J253" s="58"/>
      <c r="K253" s="58"/>
      <c r="L253" s="3"/>
    </row>
    <row r="254" spans="1:12" s="71" customFormat="1">
      <c r="A254" s="50"/>
      <c r="B254" s="30"/>
      <c r="C254" s="70"/>
      <c r="G254" s="30"/>
      <c r="H254" s="77"/>
      <c r="I254" s="77"/>
      <c r="J254" s="58"/>
      <c r="K254" s="58"/>
      <c r="L254" s="3"/>
    </row>
    <row r="255" spans="1:12" s="71" customFormat="1">
      <c r="A255" s="50"/>
      <c r="B255" s="30"/>
      <c r="C255" s="70"/>
      <c r="G255" s="30"/>
      <c r="H255" s="77"/>
      <c r="I255" s="77"/>
      <c r="J255" s="58"/>
      <c r="K255" s="58"/>
      <c r="L255" s="3"/>
    </row>
    <row r="256" spans="1:12" s="71" customFormat="1">
      <c r="A256" s="50"/>
      <c r="B256" s="30"/>
      <c r="C256" s="70"/>
      <c r="G256" s="30"/>
      <c r="H256" s="77"/>
      <c r="I256" s="77"/>
      <c r="J256" s="58"/>
      <c r="K256" s="58"/>
      <c r="L256" s="3"/>
    </row>
    <row r="257" spans="1:12" s="71" customFormat="1">
      <c r="A257" s="50"/>
      <c r="B257" s="30"/>
      <c r="C257" s="70"/>
      <c r="G257" s="30"/>
      <c r="H257" s="77"/>
      <c r="I257" s="77"/>
      <c r="J257" s="58"/>
      <c r="K257" s="58"/>
      <c r="L257" s="3"/>
    </row>
    <row r="258" spans="1:12" s="71" customFormat="1">
      <c r="A258" s="50"/>
      <c r="B258" s="30"/>
      <c r="C258" s="70"/>
      <c r="G258" s="30"/>
      <c r="H258" s="77"/>
      <c r="I258" s="77"/>
      <c r="J258" s="58"/>
      <c r="K258" s="58"/>
      <c r="L258" s="3"/>
    </row>
    <row r="259" spans="1:12" s="71" customFormat="1">
      <c r="A259" s="50"/>
      <c r="B259" s="30"/>
      <c r="C259" s="70"/>
      <c r="G259" s="30"/>
      <c r="H259" s="77"/>
      <c r="I259" s="77"/>
      <c r="J259" s="58"/>
      <c r="K259" s="58"/>
      <c r="L259" s="3"/>
    </row>
    <row r="260" spans="1:12" s="71" customFormat="1">
      <c r="A260" s="50"/>
      <c r="B260" s="30"/>
      <c r="C260" s="70"/>
      <c r="G260" s="30"/>
      <c r="H260" s="77"/>
      <c r="I260" s="77"/>
      <c r="J260" s="58"/>
      <c r="K260" s="58"/>
      <c r="L260" s="3"/>
    </row>
    <row r="261" spans="1:12" s="71" customFormat="1">
      <c r="A261" s="50"/>
      <c r="B261" s="30"/>
      <c r="C261" s="70"/>
      <c r="G261" s="30"/>
      <c r="H261" s="77"/>
      <c r="I261" s="77"/>
      <c r="J261" s="58"/>
      <c r="K261" s="58"/>
      <c r="L261" s="3"/>
    </row>
    <row r="262" spans="1:12" s="71" customFormat="1">
      <c r="A262" s="50"/>
      <c r="B262" s="30"/>
      <c r="C262" s="70"/>
      <c r="G262" s="30"/>
      <c r="H262" s="77"/>
      <c r="I262" s="77"/>
      <c r="J262" s="58"/>
      <c r="K262" s="58"/>
      <c r="L262" s="3"/>
    </row>
    <row r="263" spans="1:12" s="71" customFormat="1">
      <c r="A263" s="50"/>
      <c r="B263" s="30"/>
      <c r="C263" s="70"/>
      <c r="G263" s="30"/>
      <c r="H263" s="77"/>
      <c r="I263" s="77"/>
      <c r="J263" s="58"/>
      <c r="K263" s="58"/>
      <c r="L263" s="3"/>
    </row>
    <row r="264" spans="1:12" s="71" customFormat="1">
      <c r="A264" s="50"/>
      <c r="B264" s="30"/>
      <c r="C264" s="70"/>
      <c r="G264" s="30"/>
      <c r="H264" s="77"/>
      <c r="I264" s="77"/>
      <c r="J264" s="58"/>
      <c r="K264" s="58"/>
      <c r="L264" s="3"/>
    </row>
    <row r="265" spans="1:12" s="71" customFormat="1">
      <c r="A265" s="50"/>
      <c r="B265" s="30"/>
      <c r="C265" s="70"/>
      <c r="G265" s="30"/>
      <c r="H265" s="77"/>
      <c r="I265" s="77"/>
      <c r="J265" s="58"/>
      <c r="K265" s="58"/>
      <c r="L265" s="3"/>
    </row>
    <row r="266" spans="1:12" s="71" customFormat="1">
      <c r="A266" s="50"/>
      <c r="B266" s="30"/>
      <c r="C266" s="70"/>
      <c r="G266" s="30"/>
      <c r="H266" s="77"/>
      <c r="I266" s="77"/>
      <c r="J266" s="58"/>
      <c r="K266" s="58"/>
      <c r="L266" s="3"/>
    </row>
    <row r="267" spans="1:12" s="71" customFormat="1">
      <c r="A267" s="50"/>
      <c r="B267" s="30"/>
      <c r="C267" s="70"/>
      <c r="G267" s="30"/>
      <c r="H267" s="77"/>
      <c r="I267" s="77"/>
      <c r="J267" s="58"/>
      <c r="K267" s="58"/>
      <c r="L267" s="3"/>
    </row>
    <row r="268" spans="1:12" s="71" customFormat="1">
      <c r="A268" s="50"/>
      <c r="B268" s="30"/>
      <c r="C268" s="70"/>
      <c r="G268" s="30"/>
      <c r="H268" s="77"/>
      <c r="I268" s="77"/>
      <c r="J268" s="58"/>
      <c r="K268" s="58"/>
      <c r="L268" s="3"/>
    </row>
    <row r="269" spans="1:12" s="71" customFormat="1">
      <c r="A269" s="50"/>
      <c r="B269" s="30"/>
      <c r="C269" s="70"/>
      <c r="G269" s="30"/>
      <c r="H269" s="77"/>
      <c r="I269" s="77"/>
      <c r="J269" s="58"/>
      <c r="K269" s="58"/>
      <c r="L269" s="3"/>
    </row>
    <row r="270" spans="1:12" s="71" customFormat="1">
      <c r="A270" s="50"/>
      <c r="B270" s="30"/>
      <c r="C270" s="70"/>
      <c r="G270" s="30"/>
      <c r="H270" s="77"/>
      <c r="I270" s="77"/>
      <c r="J270" s="58"/>
      <c r="K270" s="58"/>
      <c r="L270" s="3"/>
    </row>
    <row r="271" spans="1:12" s="71" customFormat="1">
      <c r="A271" s="50"/>
      <c r="B271" s="30"/>
      <c r="C271" s="70"/>
      <c r="G271" s="30"/>
      <c r="H271" s="77"/>
      <c r="I271" s="77"/>
      <c r="J271" s="58"/>
      <c r="K271" s="58"/>
      <c r="L271" s="3"/>
    </row>
    <row r="272" spans="1:12" s="71" customFormat="1">
      <c r="A272" s="50"/>
      <c r="B272" s="30"/>
      <c r="C272" s="70"/>
      <c r="G272" s="30"/>
      <c r="H272" s="77"/>
      <c r="I272" s="77"/>
      <c r="J272" s="58"/>
      <c r="K272" s="58"/>
      <c r="L272" s="3"/>
    </row>
    <row r="273" spans="1:12" s="71" customFormat="1">
      <c r="A273" s="50"/>
      <c r="B273" s="30"/>
      <c r="C273" s="70"/>
      <c r="G273" s="30"/>
      <c r="H273" s="77"/>
      <c r="I273" s="77"/>
      <c r="J273" s="58"/>
      <c r="K273" s="58"/>
      <c r="L273" s="3"/>
    </row>
    <row r="274" spans="1:12" s="71" customFormat="1">
      <c r="A274" s="50"/>
      <c r="B274" s="30"/>
      <c r="C274" s="70"/>
      <c r="G274" s="30"/>
      <c r="H274" s="77"/>
      <c r="I274" s="77"/>
      <c r="J274" s="58"/>
      <c r="K274" s="58"/>
      <c r="L274" s="3"/>
    </row>
    <row r="275" spans="1:12" s="71" customFormat="1">
      <c r="A275" s="50"/>
      <c r="B275" s="30"/>
      <c r="C275" s="70"/>
      <c r="G275" s="30"/>
      <c r="H275" s="77"/>
      <c r="I275" s="77"/>
      <c r="J275" s="58"/>
      <c r="K275" s="58"/>
      <c r="L275" s="3"/>
    </row>
    <row r="276" spans="1:12" s="71" customFormat="1">
      <c r="A276" s="50"/>
      <c r="B276" s="30"/>
      <c r="C276" s="70"/>
      <c r="G276" s="30"/>
      <c r="H276" s="77"/>
      <c r="I276" s="77"/>
      <c r="J276" s="58"/>
      <c r="K276" s="58"/>
      <c r="L276" s="3"/>
    </row>
    <row r="277" spans="1:12" s="71" customFormat="1">
      <c r="A277" s="50"/>
      <c r="B277" s="30"/>
      <c r="C277" s="70"/>
      <c r="G277" s="30"/>
      <c r="H277" s="77"/>
      <c r="I277" s="77"/>
      <c r="J277" s="58"/>
      <c r="K277" s="58"/>
      <c r="L277" s="3"/>
    </row>
    <row r="278" spans="1:12" s="71" customFormat="1">
      <c r="A278" s="50"/>
      <c r="B278" s="30"/>
      <c r="C278" s="70"/>
      <c r="G278" s="30"/>
      <c r="H278" s="77"/>
      <c r="I278" s="77"/>
      <c r="J278" s="58"/>
      <c r="K278" s="58"/>
      <c r="L278" s="3"/>
    </row>
    <row r="279" spans="1:12" s="71" customFormat="1">
      <c r="A279" s="50"/>
      <c r="B279" s="30"/>
      <c r="C279" s="70"/>
      <c r="G279" s="30"/>
      <c r="H279" s="77"/>
      <c r="I279" s="77"/>
      <c r="J279" s="58"/>
      <c r="K279" s="58"/>
      <c r="L279" s="3"/>
    </row>
    <row r="280" spans="1:12" s="71" customFormat="1">
      <c r="A280" s="50"/>
      <c r="B280" s="30"/>
      <c r="C280" s="70"/>
      <c r="G280" s="30"/>
      <c r="H280" s="77"/>
      <c r="I280" s="77"/>
      <c r="J280" s="58"/>
      <c r="K280" s="58"/>
      <c r="L280" s="3"/>
    </row>
    <row r="281" spans="1:12" s="71" customFormat="1">
      <c r="A281" s="50"/>
      <c r="B281" s="30"/>
      <c r="C281" s="70"/>
      <c r="G281" s="30"/>
      <c r="H281" s="77"/>
      <c r="I281" s="77"/>
      <c r="J281" s="58"/>
      <c r="K281" s="58"/>
      <c r="L281" s="3"/>
    </row>
    <row r="282" spans="1:12" s="71" customFormat="1">
      <c r="A282" s="50"/>
      <c r="B282" s="30"/>
      <c r="C282" s="70"/>
      <c r="G282" s="30"/>
      <c r="H282" s="77"/>
      <c r="I282" s="77"/>
      <c r="J282" s="58"/>
      <c r="K282" s="58"/>
      <c r="L282" s="3"/>
    </row>
    <row r="283" spans="1:12" s="71" customFormat="1">
      <c r="A283" s="50"/>
      <c r="B283" s="30"/>
      <c r="C283" s="70"/>
      <c r="G283" s="30"/>
      <c r="H283" s="77"/>
      <c r="I283" s="77"/>
      <c r="J283" s="58"/>
      <c r="K283" s="58"/>
      <c r="L283" s="3"/>
    </row>
    <row r="284" spans="1:12" s="71" customFormat="1">
      <c r="A284" s="50"/>
      <c r="B284" s="30"/>
      <c r="C284" s="70"/>
      <c r="G284" s="30"/>
      <c r="H284" s="77"/>
      <c r="I284" s="77"/>
      <c r="J284" s="58"/>
      <c r="K284" s="58"/>
      <c r="L284" s="3"/>
    </row>
    <row r="285" spans="1:12" s="71" customFormat="1">
      <c r="A285" s="50"/>
      <c r="B285" s="30"/>
      <c r="C285" s="70"/>
      <c r="G285" s="30"/>
      <c r="H285" s="77"/>
      <c r="I285" s="77"/>
      <c r="J285" s="58"/>
      <c r="K285" s="58"/>
      <c r="L285" s="3"/>
    </row>
    <row r="286" spans="1:12" s="71" customFormat="1">
      <c r="A286" s="50"/>
      <c r="B286" s="30"/>
      <c r="C286" s="70"/>
      <c r="G286" s="30"/>
      <c r="H286" s="77"/>
      <c r="I286" s="77"/>
      <c r="J286" s="58"/>
      <c r="K286" s="58"/>
      <c r="L286" s="3"/>
    </row>
    <row r="287" spans="1:12" s="71" customFormat="1">
      <c r="A287" s="50"/>
      <c r="B287" s="30"/>
      <c r="C287" s="70"/>
      <c r="G287" s="30"/>
      <c r="H287" s="77"/>
      <c r="I287" s="77"/>
      <c r="J287" s="58"/>
      <c r="K287" s="58"/>
      <c r="L287" s="3"/>
    </row>
    <row r="288" spans="1:12" s="71" customFormat="1">
      <c r="A288" s="50"/>
      <c r="B288" s="30"/>
      <c r="C288" s="70"/>
      <c r="G288" s="30"/>
      <c r="H288" s="77"/>
      <c r="I288" s="77"/>
      <c r="J288" s="58"/>
      <c r="K288" s="58"/>
      <c r="L288" s="3"/>
    </row>
    <row r="289" spans="1:12" s="71" customFormat="1">
      <c r="A289" s="50"/>
      <c r="B289" s="30"/>
      <c r="C289" s="70"/>
      <c r="G289" s="30"/>
      <c r="H289" s="77"/>
      <c r="I289" s="77"/>
      <c r="J289" s="58"/>
      <c r="K289" s="58"/>
      <c r="L289" s="3"/>
    </row>
    <row r="290" spans="1:12" s="71" customFormat="1">
      <c r="A290" s="50"/>
      <c r="B290" s="30"/>
      <c r="C290" s="70"/>
      <c r="G290" s="30"/>
      <c r="H290" s="77"/>
      <c r="I290" s="77"/>
      <c r="J290" s="58"/>
      <c r="K290" s="58"/>
      <c r="L290" s="3"/>
    </row>
    <row r="291" spans="1:12" s="71" customFormat="1">
      <c r="A291" s="50"/>
      <c r="B291" s="30"/>
      <c r="C291" s="70"/>
      <c r="G291" s="30"/>
      <c r="H291" s="77"/>
      <c r="I291" s="77"/>
      <c r="J291" s="58"/>
      <c r="K291" s="58"/>
      <c r="L291" s="3"/>
    </row>
    <row r="292" spans="1:12" s="71" customFormat="1">
      <c r="A292" s="50"/>
      <c r="B292" s="30"/>
      <c r="C292" s="70"/>
      <c r="G292" s="30"/>
      <c r="H292" s="77"/>
      <c r="I292" s="77"/>
      <c r="J292" s="58"/>
      <c r="K292" s="58"/>
      <c r="L292" s="3"/>
    </row>
    <row r="293" spans="1:12" s="71" customFormat="1">
      <c r="A293" s="50"/>
      <c r="B293" s="30"/>
      <c r="C293" s="70"/>
      <c r="G293" s="30"/>
      <c r="H293" s="77"/>
      <c r="I293" s="77"/>
      <c r="J293" s="58"/>
      <c r="K293" s="58"/>
      <c r="L293" s="3"/>
    </row>
    <row r="294" spans="1:12" s="71" customFormat="1">
      <c r="A294" s="50"/>
      <c r="B294" s="30"/>
      <c r="C294" s="70"/>
      <c r="G294" s="30"/>
      <c r="H294" s="77"/>
      <c r="I294" s="77"/>
      <c r="J294" s="58"/>
      <c r="K294" s="58"/>
      <c r="L294" s="3"/>
    </row>
    <row r="295" spans="1:12" s="71" customFormat="1">
      <c r="A295" s="50"/>
      <c r="B295" s="30"/>
      <c r="C295" s="70"/>
      <c r="G295" s="30"/>
      <c r="H295" s="77"/>
      <c r="I295" s="77"/>
      <c r="J295" s="58"/>
      <c r="K295" s="58"/>
      <c r="L295" s="3"/>
    </row>
    <row r="296" spans="1:12" s="71" customFormat="1">
      <c r="A296" s="50"/>
      <c r="B296" s="30"/>
      <c r="C296" s="70"/>
      <c r="G296" s="30"/>
      <c r="H296" s="77"/>
      <c r="I296" s="77"/>
      <c r="J296" s="58"/>
      <c r="K296" s="58"/>
      <c r="L296" s="3"/>
    </row>
    <row r="297" spans="1:12" s="71" customFormat="1">
      <c r="A297" s="50"/>
      <c r="B297" s="30"/>
      <c r="C297" s="70"/>
      <c r="G297" s="30"/>
      <c r="H297" s="77"/>
      <c r="I297" s="77"/>
      <c r="J297" s="58"/>
      <c r="K297" s="58"/>
      <c r="L297" s="3"/>
    </row>
    <row r="298" spans="1:12" s="71" customFormat="1">
      <c r="A298" s="50"/>
      <c r="B298" s="30"/>
      <c r="C298" s="70"/>
      <c r="G298" s="30"/>
      <c r="H298" s="77"/>
      <c r="I298" s="77"/>
      <c r="J298" s="58"/>
      <c r="K298" s="58"/>
      <c r="L298" s="3"/>
    </row>
    <row r="299" spans="1:12" s="71" customFormat="1">
      <c r="A299" s="50"/>
      <c r="B299" s="30"/>
      <c r="C299" s="70"/>
      <c r="G299" s="30"/>
      <c r="H299" s="77"/>
      <c r="I299" s="77"/>
      <c r="J299" s="58"/>
      <c r="K299" s="58"/>
      <c r="L299" s="3"/>
    </row>
    <row r="300" spans="1:12" s="71" customFormat="1">
      <c r="A300" s="50"/>
      <c r="B300" s="30"/>
      <c r="C300" s="70"/>
      <c r="G300" s="30"/>
      <c r="H300" s="77"/>
      <c r="I300" s="77"/>
      <c r="J300" s="58"/>
      <c r="K300" s="58"/>
      <c r="L300" s="3"/>
    </row>
    <row r="301" spans="1:12" s="71" customFormat="1">
      <c r="A301" s="50"/>
      <c r="B301" s="30"/>
      <c r="C301" s="70"/>
      <c r="G301" s="30"/>
      <c r="H301" s="77"/>
      <c r="I301" s="77"/>
      <c r="J301" s="58"/>
      <c r="K301" s="58"/>
      <c r="L301" s="3"/>
    </row>
    <row r="302" spans="1:12" s="71" customFormat="1">
      <c r="A302" s="50"/>
      <c r="B302" s="30"/>
      <c r="C302" s="70"/>
      <c r="G302" s="30"/>
      <c r="H302" s="77"/>
      <c r="I302" s="77"/>
      <c r="J302" s="58"/>
      <c r="K302" s="58"/>
      <c r="L302" s="3"/>
    </row>
    <row r="303" spans="1:12" s="71" customFormat="1">
      <c r="A303" s="50"/>
      <c r="B303" s="30"/>
      <c r="C303" s="70"/>
      <c r="G303" s="30"/>
      <c r="H303" s="77"/>
      <c r="I303" s="77"/>
      <c r="J303" s="58"/>
      <c r="K303" s="58"/>
      <c r="L303" s="3"/>
    </row>
    <row r="304" spans="1:12" s="71" customFormat="1">
      <c r="A304" s="50"/>
      <c r="B304" s="30"/>
      <c r="C304" s="70"/>
      <c r="G304" s="30"/>
      <c r="H304" s="77"/>
      <c r="I304" s="77"/>
      <c r="J304" s="58"/>
      <c r="K304" s="58"/>
      <c r="L304" s="3"/>
    </row>
    <row r="305" spans="1:12" s="71" customFormat="1">
      <c r="A305" s="50"/>
      <c r="B305" s="30"/>
      <c r="C305" s="70"/>
      <c r="G305" s="30"/>
      <c r="H305" s="77"/>
      <c r="I305" s="77"/>
      <c r="J305" s="58"/>
      <c r="K305" s="58"/>
      <c r="L305" s="3"/>
    </row>
    <row r="306" spans="1:12" s="71" customFormat="1">
      <c r="A306" s="50"/>
      <c r="B306" s="30"/>
      <c r="C306" s="70"/>
      <c r="G306" s="30"/>
      <c r="H306" s="77"/>
      <c r="I306" s="77"/>
      <c r="J306" s="58"/>
      <c r="K306" s="58"/>
      <c r="L306" s="3"/>
    </row>
    <row r="307" spans="1:12" s="71" customFormat="1">
      <c r="A307" s="50"/>
      <c r="B307" s="30"/>
      <c r="C307" s="70"/>
      <c r="G307" s="30"/>
      <c r="H307" s="77"/>
      <c r="I307" s="77"/>
      <c r="J307" s="58"/>
      <c r="K307" s="58"/>
      <c r="L307" s="3"/>
    </row>
    <row r="308" spans="1:12" s="71" customFormat="1">
      <c r="A308" s="50"/>
      <c r="B308" s="30"/>
      <c r="C308" s="70"/>
      <c r="G308" s="30"/>
      <c r="H308" s="77"/>
      <c r="I308" s="77"/>
      <c r="J308" s="58"/>
      <c r="K308" s="58"/>
      <c r="L308" s="3"/>
    </row>
    <row r="309" spans="1:12" s="71" customFormat="1">
      <c r="A309" s="50"/>
      <c r="B309" s="30"/>
      <c r="C309" s="70"/>
      <c r="G309" s="30"/>
      <c r="H309" s="77"/>
      <c r="I309" s="77"/>
      <c r="J309" s="58"/>
      <c r="K309" s="58"/>
      <c r="L309" s="3"/>
    </row>
    <row r="310" spans="1:12" s="71" customFormat="1">
      <c r="A310" s="50"/>
      <c r="B310" s="30"/>
      <c r="C310" s="70"/>
      <c r="G310" s="30"/>
      <c r="H310" s="77"/>
      <c r="I310" s="77"/>
      <c r="J310" s="58"/>
      <c r="K310" s="58"/>
      <c r="L310" s="3"/>
    </row>
    <row r="311" spans="1:12" s="71" customFormat="1">
      <c r="A311" s="50"/>
      <c r="B311" s="30"/>
      <c r="C311" s="70"/>
      <c r="G311" s="30"/>
      <c r="H311" s="77"/>
      <c r="I311" s="77"/>
      <c r="J311" s="58"/>
      <c r="K311" s="58"/>
      <c r="L311" s="3"/>
    </row>
    <row r="312" spans="1:12" s="71" customFormat="1">
      <c r="A312" s="50"/>
      <c r="B312" s="30"/>
      <c r="C312" s="70"/>
      <c r="G312" s="30"/>
      <c r="H312" s="77"/>
      <c r="I312" s="77"/>
      <c r="J312" s="58"/>
      <c r="K312" s="58"/>
      <c r="L312" s="3"/>
    </row>
    <row r="313" spans="1:12" s="71" customFormat="1">
      <c r="A313" s="50"/>
      <c r="B313" s="30"/>
      <c r="C313" s="70"/>
      <c r="G313" s="30"/>
      <c r="H313" s="77"/>
      <c r="I313" s="77"/>
      <c r="J313" s="58"/>
      <c r="K313" s="58"/>
      <c r="L313" s="3"/>
    </row>
    <row r="314" spans="1:12" s="71" customFormat="1">
      <c r="A314" s="50"/>
      <c r="B314" s="30"/>
      <c r="C314" s="70"/>
      <c r="G314" s="30"/>
      <c r="H314" s="77"/>
      <c r="I314" s="77"/>
      <c r="J314" s="58"/>
      <c r="K314" s="58"/>
      <c r="L314" s="3"/>
    </row>
    <row r="315" spans="1:12" s="71" customFormat="1">
      <c r="A315" s="50"/>
      <c r="B315" s="30"/>
      <c r="C315" s="70"/>
      <c r="G315" s="30"/>
      <c r="H315" s="77"/>
      <c r="I315" s="77"/>
      <c r="J315" s="58"/>
      <c r="K315" s="58"/>
      <c r="L315" s="3"/>
    </row>
    <row r="316" spans="1:12" s="71" customFormat="1">
      <c r="A316" s="50"/>
      <c r="B316" s="30"/>
      <c r="C316" s="70"/>
      <c r="G316" s="30"/>
      <c r="H316" s="77"/>
      <c r="I316" s="77"/>
      <c r="J316" s="58"/>
      <c r="K316" s="58"/>
      <c r="L316" s="3"/>
    </row>
    <row r="317" spans="1:12" s="71" customFormat="1">
      <c r="A317" s="50"/>
      <c r="B317" s="30"/>
      <c r="C317" s="70"/>
      <c r="G317" s="30"/>
      <c r="H317" s="77"/>
      <c r="I317" s="77"/>
      <c r="J317" s="58"/>
      <c r="K317" s="58"/>
      <c r="L317" s="3"/>
    </row>
    <row r="318" spans="1:12" s="71" customFormat="1">
      <c r="A318" s="50"/>
      <c r="B318" s="30"/>
      <c r="C318" s="70"/>
      <c r="G318" s="30"/>
      <c r="H318" s="77"/>
      <c r="I318" s="77"/>
      <c r="J318" s="58"/>
      <c r="K318" s="58"/>
      <c r="L318" s="3"/>
    </row>
    <row r="319" spans="1:12" s="71" customFormat="1">
      <c r="A319" s="50"/>
      <c r="B319" s="30"/>
      <c r="C319" s="70"/>
      <c r="G319" s="30"/>
      <c r="H319" s="77"/>
      <c r="I319" s="77"/>
      <c r="J319" s="58"/>
      <c r="K319" s="58"/>
      <c r="L319" s="3"/>
    </row>
    <row r="320" spans="1:12" s="71" customFormat="1">
      <c r="A320" s="50"/>
      <c r="B320" s="30"/>
      <c r="C320" s="70"/>
      <c r="G320" s="30"/>
      <c r="H320" s="77"/>
      <c r="I320" s="77"/>
      <c r="J320" s="58"/>
      <c r="K320" s="58"/>
      <c r="L320" s="3"/>
    </row>
    <row r="321" spans="1:12" s="71" customFormat="1">
      <c r="A321" s="50"/>
      <c r="B321" s="30"/>
      <c r="C321" s="70"/>
      <c r="G321" s="30"/>
      <c r="H321" s="77"/>
      <c r="I321" s="77"/>
      <c r="J321" s="58"/>
      <c r="K321" s="58"/>
      <c r="L321" s="3"/>
    </row>
    <row r="322" spans="1:12" s="71" customFormat="1">
      <c r="A322" s="50"/>
      <c r="B322" s="30"/>
      <c r="C322" s="70"/>
      <c r="G322" s="30"/>
      <c r="H322" s="77"/>
      <c r="I322" s="77"/>
      <c r="J322" s="58"/>
      <c r="K322" s="58"/>
      <c r="L322" s="3"/>
    </row>
    <row r="323" spans="1:12" s="71" customFormat="1">
      <c r="A323" s="50"/>
      <c r="B323" s="30"/>
      <c r="C323" s="70"/>
      <c r="G323" s="30"/>
      <c r="H323" s="77"/>
      <c r="I323" s="77"/>
      <c r="J323" s="58"/>
      <c r="K323" s="58"/>
      <c r="L323" s="3"/>
    </row>
    <row r="324" spans="1:12" s="71" customFormat="1">
      <c r="A324" s="50"/>
      <c r="B324" s="30"/>
      <c r="C324" s="70"/>
      <c r="G324" s="30"/>
      <c r="H324" s="77"/>
      <c r="I324" s="77"/>
      <c r="J324" s="58"/>
      <c r="K324" s="58"/>
      <c r="L324" s="3"/>
    </row>
    <row r="325" spans="1:12" s="71" customFormat="1">
      <c r="A325" s="50"/>
      <c r="B325" s="30"/>
      <c r="C325" s="70"/>
      <c r="G325" s="30"/>
      <c r="H325" s="77"/>
      <c r="I325" s="77"/>
      <c r="J325" s="58"/>
      <c r="K325" s="58"/>
      <c r="L325" s="3"/>
    </row>
    <row r="326" spans="1:12" s="71" customFormat="1">
      <c r="A326" s="50"/>
      <c r="B326" s="30"/>
      <c r="C326" s="70"/>
      <c r="G326" s="30"/>
      <c r="H326" s="77"/>
      <c r="I326" s="77"/>
      <c r="J326" s="58"/>
      <c r="K326" s="58"/>
      <c r="L326" s="3"/>
    </row>
    <row r="327" spans="1:12" s="71" customFormat="1">
      <c r="A327" s="50"/>
      <c r="B327" s="30"/>
      <c r="C327" s="70"/>
      <c r="G327" s="30"/>
      <c r="H327" s="77"/>
      <c r="I327" s="77"/>
      <c r="J327" s="58"/>
      <c r="K327" s="58"/>
      <c r="L327" s="3"/>
    </row>
    <row r="328" spans="1:12" s="71" customFormat="1">
      <c r="A328" s="50"/>
      <c r="B328" s="30"/>
      <c r="C328" s="70"/>
      <c r="G328" s="30"/>
      <c r="H328" s="77"/>
      <c r="I328" s="77"/>
      <c r="J328" s="58"/>
      <c r="K328" s="58"/>
      <c r="L328" s="3"/>
    </row>
    <row r="329" spans="1:12" s="71" customFormat="1">
      <c r="A329" s="50"/>
      <c r="B329" s="30"/>
      <c r="C329" s="70"/>
      <c r="G329" s="30"/>
      <c r="H329" s="77"/>
      <c r="I329" s="77"/>
      <c r="J329" s="58"/>
      <c r="K329" s="58"/>
      <c r="L329" s="3"/>
    </row>
    <row r="330" spans="1:12" s="71" customFormat="1">
      <c r="A330" s="50"/>
      <c r="B330" s="30"/>
      <c r="C330" s="70"/>
      <c r="G330" s="30"/>
      <c r="H330" s="77"/>
      <c r="I330" s="77"/>
      <c r="J330" s="58"/>
      <c r="K330" s="58"/>
      <c r="L330" s="3"/>
    </row>
    <row r="331" spans="1:12" s="71" customFormat="1">
      <c r="A331" s="50"/>
      <c r="B331" s="30"/>
      <c r="C331" s="70"/>
      <c r="G331" s="30"/>
      <c r="H331" s="77"/>
      <c r="I331" s="77"/>
      <c r="J331" s="58"/>
      <c r="K331" s="58"/>
      <c r="L331" s="3"/>
    </row>
    <row r="332" spans="1:12" s="71" customFormat="1">
      <c r="A332" s="50"/>
      <c r="B332" s="30"/>
      <c r="C332" s="70"/>
      <c r="G332" s="30"/>
      <c r="H332" s="77"/>
      <c r="I332" s="77"/>
      <c r="J332" s="58"/>
      <c r="K332" s="58"/>
      <c r="L332" s="3"/>
    </row>
    <row r="333" spans="1:12" s="71" customFormat="1">
      <c r="A333" s="50"/>
      <c r="B333" s="30"/>
      <c r="C333" s="70"/>
      <c r="G333" s="30"/>
      <c r="H333" s="77"/>
      <c r="I333" s="77"/>
      <c r="J333" s="58"/>
      <c r="K333" s="58"/>
      <c r="L333" s="3"/>
    </row>
    <row r="334" spans="1:12" s="71" customFormat="1">
      <c r="A334" s="50"/>
      <c r="B334" s="30"/>
      <c r="C334" s="70"/>
      <c r="G334" s="30"/>
      <c r="H334" s="77"/>
      <c r="I334" s="77"/>
      <c r="J334" s="58"/>
      <c r="K334" s="58"/>
      <c r="L334" s="3"/>
    </row>
    <row r="335" spans="1:12" s="71" customFormat="1">
      <c r="A335" s="50"/>
      <c r="B335" s="30"/>
      <c r="C335" s="70"/>
      <c r="G335" s="30"/>
      <c r="H335" s="77"/>
      <c r="I335" s="77"/>
      <c r="J335" s="58"/>
      <c r="K335" s="58"/>
      <c r="L335" s="3"/>
    </row>
    <row r="336" spans="1:12" s="71" customFormat="1">
      <c r="A336" s="50"/>
      <c r="B336" s="30"/>
      <c r="C336" s="70"/>
      <c r="G336" s="30"/>
      <c r="H336" s="77"/>
      <c r="I336" s="77"/>
      <c r="J336" s="58"/>
      <c r="K336" s="58"/>
      <c r="L336" s="3"/>
    </row>
    <row r="337" spans="1:12" s="71" customFormat="1">
      <c r="A337" s="50"/>
      <c r="B337" s="30"/>
      <c r="C337" s="70"/>
      <c r="G337" s="30"/>
      <c r="H337" s="77"/>
      <c r="I337" s="77"/>
      <c r="J337" s="58"/>
      <c r="K337" s="58"/>
      <c r="L337" s="3"/>
    </row>
    <row r="338" spans="1:12" s="71" customFormat="1">
      <c r="A338" s="50"/>
      <c r="B338" s="30"/>
      <c r="C338" s="70"/>
      <c r="G338" s="30"/>
      <c r="H338" s="77"/>
      <c r="I338" s="77"/>
      <c r="J338" s="58"/>
      <c r="K338" s="58"/>
      <c r="L338" s="3"/>
    </row>
    <row r="339" spans="1:12" s="71" customFormat="1">
      <c r="A339" s="50"/>
      <c r="B339" s="30"/>
      <c r="C339" s="70"/>
      <c r="G339" s="30"/>
      <c r="H339" s="77"/>
      <c r="I339" s="77"/>
      <c r="J339" s="58"/>
      <c r="K339" s="58"/>
      <c r="L339" s="3"/>
    </row>
    <row r="340" spans="1:12" s="71" customFormat="1">
      <c r="A340" s="50"/>
      <c r="B340" s="30"/>
      <c r="C340" s="70"/>
      <c r="G340" s="30"/>
      <c r="H340" s="77"/>
      <c r="I340" s="77"/>
      <c r="J340" s="58"/>
      <c r="K340" s="58"/>
      <c r="L340" s="3"/>
    </row>
    <row r="341" spans="1:12" s="71" customFormat="1">
      <c r="A341" s="50"/>
      <c r="B341" s="30"/>
      <c r="C341" s="70"/>
      <c r="G341" s="30"/>
      <c r="H341" s="77"/>
      <c r="I341" s="77"/>
      <c r="J341" s="58"/>
      <c r="K341" s="58"/>
      <c r="L341" s="3"/>
    </row>
    <row r="342" spans="1:12" s="71" customFormat="1">
      <c r="A342" s="50"/>
      <c r="B342" s="30"/>
      <c r="C342" s="70"/>
      <c r="G342" s="30"/>
      <c r="H342" s="77"/>
      <c r="I342" s="77"/>
      <c r="J342" s="58"/>
      <c r="K342" s="58"/>
      <c r="L342" s="3"/>
    </row>
    <row r="343" spans="1:12" s="71" customFormat="1">
      <c r="A343" s="50"/>
      <c r="B343" s="30"/>
      <c r="C343" s="70"/>
      <c r="G343" s="30"/>
      <c r="H343" s="77"/>
      <c r="I343" s="77"/>
      <c r="J343" s="58"/>
      <c r="K343" s="58"/>
      <c r="L343" s="3"/>
    </row>
    <row r="344" spans="1:12" s="71" customFormat="1">
      <c r="A344" s="50"/>
      <c r="B344" s="30"/>
      <c r="C344" s="70"/>
      <c r="G344" s="30"/>
      <c r="H344" s="77"/>
      <c r="I344" s="77"/>
      <c r="J344" s="58"/>
      <c r="K344" s="58"/>
      <c r="L344" s="3"/>
    </row>
    <row r="345" spans="1:12" s="71" customFormat="1">
      <c r="A345" s="50"/>
      <c r="B345" s="30"/>
      <c r="C345" s="70"/>
      <c r="G345" s="30"/>
      <c r="H345" s="77"/>
      <c r="I345" s="77"/>
      <c r="J345" s="58"/>
      <c r="K345" s="58"/>
      <c r="L345" s="3"/>
    </row>
    <row r="346" spans="1:12" s="71" customFormat="1">
      <c r="A346" s="50"/>
      <c r="B346" s="30"/>
      <c r="C346" s="70"/>
      <c r="G346" s="30"/>
      <c r="H346" s="77"/>
      <c r="I346" s="77"/>
      <c r="J346" s="58"/>
      <c r="K346" s="58"/>
      <c r="L346" s="3"/>
    </row>
    <row r="347" spans="1:12" s="71" customFormat="1">
      <c r="A347" s="50"/>
      <c r="B347" s="30"/>
      <c r="C347" s="70"/>
      <c r="G347" s="30"/>
      <c r="H347" s="77"/>
      <c r="I347" s="77"/>
      <c r="J347" s="58"/>
      <c r="K347" s="58"/>
      <c r="L347" s="3"/>
    </row>
    <row r="348" spans="1:12" s="71" customFormat="1">
      <c r="A348" s="50"/>
      <c r="B348" s="30"/>
      <c r="C348" s="70"/>
      <c r="G348" s="30"/>
      <c r="H348" s="77"/>
      <c r="I348" s="77"/>
      <c r="J348" s="58"/>
      <c r="K348" s="58"/>
      <c r="L348" s="3"/>
    </row>
    <row r="349" spans="1:12" s="71" customFormat="1">
      <c r="A349" s="50"/>
      <c r="B349" s="30"/>
      <c r="C349" s="70"/>
      <c r="G349" s="30"/>
      <c r="H349" s="77"/>
      <c r="I349" s="77"/>
      <c r="J349" s="58"/>
      <c r="K349" s="58"/>
      <c r="L349" s="3"/>
    </row>
    <row r="350" spans="1:12" s="71" customFormat="1">
      <c r="A350" s="50"/>
      <c r="B350" s="30"/>
      <c r="C350" s="70"/>
      <c r="G350" s="30"/>
      <c r="H350" s="77"/>
      <c r="I350" s="77"/>
      <c r="J350" s="58"/>
      <c r="K350" s="58"/>
      <c r="L350" s="3"/>
    </row>
    <row r="351" spans="1:12" s="71" customFormat="1">
      <c r="A351" s="50"/>
      <c r="B351" s="30"/>
      <c r="C351" s="70"/>
      <c r="G351" s="30"/>
      <c r="H351" s="77"/>
      <c r="I351" s="77"/>
      <c r="J351" s="58"/>
      <c r="K351" s="58"/>
      <c r="L351" s="3"/>
    </row>
    <row r="352" spans="1:12" s="71" customFormat="1">
      <c r="A352" s="50"/>
      <c r="B352" s="30"/>
      <c r="C352" s="70"/>
      <c r="G352" s="30"/>
      <c r="H352" s="77"/>
      <c r="I352" s="77"/>
      <c r="J352" s="58"/>
      <c r="K352" s="58"/>
      <c r="L352" s="3"/>
    </row>
    <row r="353" spans="1:12" s="71" customFormat="1">
      <c r="A353" s="50"/>
      <c r="B353" s="30"/>
      <c r="C353" s="70"/>
      <c r="G353" s="30"/>
      <c r="H353" s="77"/>
      <c r="I353" s="77"/>
      <c r="J353" s="58"/>
      <c r="K353" s="58"/>
      <c r="L353" s="3"/>
    </row>
    <row r="354" spans="1:12" s="71" customFormat="1">
      <c r="A354" s="50"/>
      <c r="B354" s="30"/>
      <c r="C354" s="70"/>
      <c r="G354" s="30"/>
      <c r="H354" s="77"/>
      <c r="I354" s="77"/>
      <c r="J354" s="58"/>
      <c r="K354" s="58"/>
      <c r="L354" s="3"/>
    </row>
    <row r="355" spans="1:12" s="71" customFormat="1">
      <c r="A355" s="50"/>
      <c r="B355" s="30"/>
      <c r="C355" s="70"/>
      <c r="G355" s="30"/>
      <c r="H355" s="77"/>
      <c r="I355" s="77"/>
      <c r="J355" s="58"/>
      <c r="K355" s="58"/>
      <c r="L355" s="3"/>
    </row>
    <row r="356" spans="1:12" s="71" customFormat="1">
      <c r="A356" s="50"/>
      <c r="B356" s="30"/>
      <c r="C356" s="70"/>
      <c r="G356" s="30"/>
      <c r="H356" s="77"/>
      <c r="I356" s="77"/>
      <c r="J356" s="58"/>
      <c r="K356" s="58"/>
      <c r="L356" s="3"/>
    </row>
    <row r="357" spans="1:12" s="71" customFormat="1">
      <c r="A357" s="50"/>
      <c r="B357" s="30"/>
      <c r="C357" s="70"/>
      <c r="G357" s="30"/>
      <c r="H357" s="77"/>
      <c r="I357" s="77"/>
      <c r="J357" s="58"/>
      <c r="K357" s="58"/>
      <c r="L357" s="3"/>
    </row>
    <row r="358" spans="1:12" s="71" customFormat="1">
      <c r="A358" s="50"/>
      <c r="B358" s="30"/>
      <c r="C358" s="70"/>
      <c r="G358" s="30"/>
      <c r="H358" s="77"/>
      <c r="I358" s="77"/>
      <c r="J358" s="58"/>
      <c r="K358" s="58"/>
      <c r="L358" s="3"/>
    </row>
    <row r="359" spans="1:12" s="71" customFormat="1">
      <c r="A359" s="50"/>
      <c r="B359" s="30"/>
      <c r="C359" s="70"/>
      <c r="G359" s="30"/>
      <c r="H359" s="77"/>
      <c r="I359" s="77"/>
      <c r="J359" s="58"/>
      <c r="K359" s="58"/>
      <c r="L359" s="3"/>
    </row>
    <row r="360" spans="1:12" s="71" customFormat="1">
      <c r="A360" s="50"/>
      <c r="B360" s="30"/>
      <c r="C360" s="70"/>
      <c r="G360" s="30"/>
      <c r="H360" s="77"/>
      <c r="I360" s="77"/>
      <c r="J360" s="58"/>
      <c r="K360" s="58"/>
      <c r="L360" s="3"/>
    </row>
    <row r="361" spans="1:12" s="71" customFormat="1">
      <c r="A361" s="50"/>
      <c r="B361" s="30"/>
      <c r="C361" s="70"/>
      <c r="G361" s="30"/>
      <c r="H361" s="77"/>
      <c r="I361" s="77"/>
      <c r="J361" s="58"/>
      <c r="K361" s="58"/>
      <c r="L361" s="3"/>
    </row>
    <row r="362" spans="1:12" s="71" customFormat="1">
      <c r="A362" s="50"/>
      <c r="B362" s="30"/>
      <c r="C362" s="70"/>
      <c r="G362" s="30"/>
      <c r="H362" s="77"/>
      <c r="I362" s="77"/>
      <c r="J362" s="58"/>
      <c r="K362" s="58"/>
      <c r="L362" s="3"/>
    </row>
    <row r="363" spans="1:12" s="71" customFormat="1">
      <c r="A363" s="50"/>
      <c r="B363" s="30"/>
      <c r="C363" s="70"/>
      <c r="G363" s="30"/>
      <c r="H363" s="77"/>
      <c r="I363" s="77"/>
      <c r="J363" s="58"/>
      <c r="K363" s="58"/>
      <c r="L363" s="3"/>
    </row>
    <row r="364" spans="1:12" s="71" customFormat="1">
      <c r="A364" s="50"/>
      <c r="B364" s="30"/>
      <c r="C364" s="70"/>
      <c r="G364" s="30"/>
      <c r="H364" s="77"/>
      <c r="I364" s="77"/>
      <c r="J364" s="58"/>
      <c r="K364" s="58"/>
      <c r="L364" s="3"/>
    </row>
    <row r="365" spans="1:12" s="71" customFormat="1">
      <c r="A365" s="50"/>
      <c r="B365" s="30"/>
      <c r="C365" s="70"/>
      <c r="G365" s="30"/>
      <c r="H365" s="77"/>
      <c r="I365" s="77"/>
      <c r="J365" s="58"/>
      <c r="K365" s="58"/>
      <c r="L365" s="3"/>
    </row>
    <row r="366" spans="1:12" s="71" customFormat="1">
      <c r="A366" s="50"/>
      <c r="B366" s="30"/>
      <c r="C366" s="70"/>
      <c r="G366" s="30"/>
      <c r="H366" s="77"/>
      <c r="I366" s="77"/>
      <c r="J366" s="58"/>
      <c r="K366" s="58"/>
      <c r="L366" s="3"/>
    </row>
    <row r="367" spans="1:12" s="71" customFormat="1">
      <c r="A367" s="50"/>
      <c r="B367" s="30"/>
      <c r="C367" s="70"/>
      <c r="G367" s="30"/>
      <c r="H367" s="77"/>
      <c r="I367" s="77"/>
      <c r="J367" s="58"/>
      <c r="K367" s="58"/>
      <c r="L367" s="3"/>
    </row>
    <row r="368" spans="1:12" s="71" customFormat="1">
      <c r="A368" s="50"/>
      <c r="B368" s="30"/>
      <c r="C368" s="70"/>
      <c r="G368" s="30"/>
      <c r="H368" s="77"/>
      <c r="I368" s="77"/>
      <c r="J368" s="58"/>
      <c r="K368" s="58"/>
      <c r="L368" s="3"/>
    </row>
    <row r="369" spans="1:12" s="71" customFormat="1">
      <c r="A369" s="50"/>
      <c r="B369" s="30"/>
      <c r="C369" s="70"/>
      <c r="G369" s="30"/>
      <c r="H369" s="77"/>
      <c r="I369" s="77"/>
      <c r="J369" s="58"/>
      <c r="K369" s="58"/>
      <c r="L369" s="3"/>
    </row>
    <row r="370" spans="1:12" s="71" customFormat="1">
      <c r="A370" s="50"/>
      <c r="B370" s="30"/>
      <c r="C370" s="70"/>
      <c r="G370" s="30"/>
      <c r="H370" s="77"/>
      <c r="I370" s="77"/>
      <c r="J370" s="58"/>
      <c r="K370" s="58"/>
      <c r="L370" s="3"/>
    </row>
    <row r="371" spans="1:12" s="71" customFormat="1">
      <c r="A371" s="50"/>
      <c r="B371" s="30"/>
      <c r="C371" s="70"/>
      <c r="G371" s="30"/>
      <c r="H371" s="77"/>
      <c r="I371" s="77"/>
      <c r="J371" s="58"/>
      <c r="K371" s="58"/>
      <c r="L371" s="3"/>
    </row>
    <row r="372" spans="1:12" s="71" customFormat="1">
      <c r="A372" s="50"/>
      <c r="B372" s="30"/>
      <c r="C372" s="70"/>
      <c r="G372" s="30"/>
      <c r="H372" s="77"/>
      <c r="I372" s="77"/>
      <c r="J372" s="58"/>
      <c r="K372" s="58"/>
      <c r="L372" s="3"/>
    </row>
    <row r="373" spans="1:12" s="71" customFormat="1">
      <c r="A373" s="50"/>
      <c r="B373" s="30"/>
      <c r="C373" s="70"/>
      <c r="G373" s="30"/>
      <c r="H373" s="77"/>
      <c r="I373" s="77"/>
      <c r="J373" s="58"/>
      <c r="K373" s="58"/>
      <c r="L373" s="3"/>
    </row>
    <row r="374" spans="1:12" s="71" customFormat="1">
      <c r="A374" s="50"/>
      <c r="B374" s="30"/>
      <c r="C374" s="70"/>
      <c r="G374" s="30"/>
      <c r="H374" s="77"/>
      <c r="I374" s="77"/>
      <c r="J374" s="58"/>
      <c r="K374" s="58"/>
      <c r="L374" s="3"/>
    </row>
    <row r="375" spans="1:12" s="71" customFormat="1">
      <c r="A375" s="50"/>
      <c r="B375" s="30"/>
      <c r="C375" s="70"/>
      <c r="G375" s="30"/>
      <c r="H375" s="77"/>
      <c r="I375" s="77"/>
      <c r="J375" s="58"/>
      <c r="K375" s="58"/>
      <c r="L375" s="3"/>
    </row>
    <row r="376" spans="1:12" s="71" customFormat="1">
      <c r="A376" s="50"/>
      <c r="B376" s="30"/>
      <c r="C376" s="70"/>
      <c r="G376" s="30"/>
      <c r="H376" s="77"/>
      <c r="I376" s="77"/>
      <c r="J376" s="58"/>
      <c r="K376" s="58"/>
      <c r="L376" s="3"/>
    </row>
    <row r="377" spans="1:12" s="71" customFormat="1">
      <c r="A377" s="50"/>
      <c r="B377" s="30"/>
      <c r="C377" s="70"/>
      <c r="G377" s="30"/>
      <c r="H377" s="77"/>
      <c r="I377" s="77"/>
      <c r="J377" s="58"/>
      <c r="K377" s="58"/>
      <c r="L377" s="3"/>
    </row>
    <row r="378" spans="1:12" s="71" customFormat="1">
      <c r="A378" s="50"/>
      <c r="B378" s="30"/>
      <c r="C378" s="70"/>
      <c r="G378" s="30"/>
      <c r="H378" s="77"/>
      <c r="I378" s="77"/>
      <c r="J378" s="58"/>
      <c r="K378" s="58"/>
      <c r="L378" s="3"/>
    </row>
    <row r="379" spans="1:12" s="71" customFormat="1">
      <c r="A379" s="50"/>
      <c r="B379" s="30"/>
      <c r="C379" s="70"/>
      <c r="G379" s="30"/>
      <c r="H379" s="77"/>
      <c r="I379" s="77"/>
      <c r="J379" s="58"/>
      <c r="K379" s="58"/>
      <c r="L379" s="3"/>
    </row>
    <row r="380" spans="1:12" s="71" customFormat="1">
      <c r="A380" s="50"/>
      <c r="B380" s="30"/>
      <c r="C380" s="70"/>
      <c r="G380" s="30"/>
      <c r="H380" s="77"/>
      <c r="I380" s="77"/>
      <c r="J380" s="58"/>
      <c r="K380" s="58"/>
      <c r="L380" s="3"/>
    </row>
    <row r="381" spans="1:12" s="71" customFormat="1">
      <c r="A381" s="50"/>
      <c r="B381" s="30"/>
      <c r="C381" s="70"/>
      <c r="G381" s="30"/>
      <c r="H381" s="77"/>
      <c r="I381" s="77"/>
      <c r="J381" s="58"/>
      <c r="K381" s="58"/>
      <c r="L381" s="3"/>
    </row>
    <row r="382" spans="1:12" s="71" customFormat="1">
      <c r="A382" s="50"/>
      <c r="B382" s="30"/>
      <c r="C382" s="70"/>
      <c r="G382" s="30"/>
      <c r="H382" s="77"/>
      <c r="I382" s="77"/>
      <c r="J382" s="58"/>
      <c r="K382" s="58"/>
      <c r="L382" s="3"/>
    </row>
    <row r="383" spans="1:12" s="71" customFormat="1">
      <c r="A383" s="50"/>
      <c r="B383" s="30"/>
      <c r="C383" s="70"/>
      <c r="G383" s="30"/>
      <c r="H383" s="77"/>
      <c r="I383" s="77"/>
      <c r="J383" s="58"/>
      <c r="K383" s="58"/>
      <c r="L383" s="3"/>
    </row>
    <row r="384" spans="1:12" s="71" customFormat="1">
      <c r="A384" s="50"/>
      <c r="B384" s="30"/>
      <c r="C384" s="70"/>
      <c r="G384" s="30"/>
      <c r="H384" s="77"/>
      <c r="I384" s="77"/>
      <c r="J384" s="58"/>
      <c r="K384" s="58"/>
      <c r="L384" s="3"/>
    </row>
    <row r="385" spans="1:12" s="71" customFormat="1">
      <c r="A385" s="50"/>
      <c r="B385" s="30"/>
      <c r="C385" s="70"/>
      <c r="G385" s="30"/>
      <c r="H385" s="77"/>
      <c r="I385" s="77"/>
      <c r="J385" s="58"/>
      <c r="K385" s="58"/>
      <c r="L385" s="3"/>
    </row>
    <row r="386" spans="1:12" s="71" customFormat="1">
      <c r="A386" s="50"/>
      <c r="B386" s="30"/>
      <c r="C386" s="70"/>
      <c r="G386" s="30"/>
      <c r="H386" s="77"/>
      <c r="I386" s="77"/>
      <c r="J386" s="58"/>
      <c r="K386" s="58"/>
      <c r="L386" s="3"/>
    </row>
    <row r="387" spans="1:12" s="71" customFormat="1">
      <c r="A387" s="50"/>
      <c r="B387" s="30"/>
      <c r="C387" s="70"/>
      <c r="G387" s="30"/>
      <c r="H387" s="77"/>
      <c r="I387" s="77"/>
      <c r="J387" s="58"/>
      <c r="K387" s="58"/>
      <c r="L387" s="3"/>
    </row>
    <row r="388" spans="1:12" s="71" customFormat="1">
      <c r="A388" s="50"/>
      <c r="B388" s="30"/>
      <c r="C388" s="70"/>
      <c r="G388" s="30"/>
      <c r="H388" s="77"/>
      <c r="I388" s="77"/>
      <c r="J388" s="58"/>
      <c r="K388" s="58"/>
      <c r="L388" s="3"/>
    </row>
    <row r="389" spans="1:12" s="71" customFormat="1">
      <c r="A389" s="50"/>
      <c r="B389" s="30"/>
      <c r="C389" s="70"/>
      <c r="G389" s="30"/>
      <c r="H389" s="77"/>
      <c r="I389" s="77"/>
      <c r="J389" s="58"/>
      <c r="K389" s="58"/>
      <c r="L389" s="3"/>
    </row>
    <row r="390" spans="1:12" s="71" customFormat="1">
      <c r="A390" s="50"/>
      <c r="B390" s="30"/>
      <c r="C390" s="70"/>
      <c r="G390" s="30"/>
      <c r="H390" s="77"/>
      <c r="I390" s="77"/>
      <c r="J390" s="58"/>
      <c r="K390" s="58"/>
      <c r="L390" s="3"/>
    </row>
    <row r="391" spans="1:12" s="71" customFormat="1">
      <c r="A391" s="50"/>
      <c r="B391" s="30"/>
      <c r="C391" s="70"/>
      <c r="G391" s="30"/>
      <c r="H391" s="77"/>
      <c r="I391" s="77"/>
      <c r="J391" s="58"/>
      <c r="K391" s="58"/>
      <c r="L391" s="3"/>
    </row>
    <row r="392" spans="1:12" s="71" customFormat="1">
      <c r="A392" s="50"/>
      <c r="B392" s="30"/>
      <c r="C392" s="70"/>
      <c r="G392" s="30"/>
      <c r="H392" s="77"/>
      <c r="I392" s="77"/>
      <c r="J392" s="58"/>
      <c r="K392" s="58"/>
      <c r="L392" s="3"/>
    </row>
    <row r="393" spans="1:12" s="71" customFormat="1">
      <c r="A393" s="50"/>
      <c r="B393" s="30"/>
      <c r="C393" s="70"/>
      <c r="G393" s="30"/>
      <c r="H393" s="77"/>
      <c r="I393" s="77"/>
      <c r="J393" s="58"/>
      <c r="K393" s="58"/>
      <c r="L393" s="3"/>
    </row>
    <row r="394" spans="1:12" s="71" customFormat="1">
      <c r="A394" s="50"/>
      <c r="B394" s="30"/>
      <c r="C394" s="70"/>
      <c r="G394" s="30"/>
      <c r="H394" s="77"/>
      <c r="I394" s="77"/>
      <c r="J394" s="58"/>
      <c r="K394" s="58"/>
      <c r="L394" s="3"/>
    </row>
    <row r="395" spans="1:12" s="71" customFormat="1">
      <c r="A395" s="50"/>
      <c r="B395" s="30"/>
      <c r="C395" s="70"/>
      <c r="G395" s="30"/>
      <c r="H395" s="77"/>
      <c r="I395" s="77"/>
      <c r="J395" s="58"/>
      <c r="K395" s="58"/>
      <c r="L395" s="3"/>
    </row>
    <row r="396" spans="1:12" s="71" customFormat="1">
      <c r="A396" s="50"/>
      <c r="B396" s="30"/>
      <c r="C396" s="70"/>
      <c r="G396" s="30"/>
      <c r="H396" s="77"/>
      <c r="I396" s="77"/>
      <c r="J396" s="58"/>
      <c r="K396" s="58"/>
      <c r="L396" s="3"/>
    </row>
    <row r="397" spans="1:12" s="71" customFormat="1">
      <c r="A397" s="50"/>
      <c r="B397" s="30"/>
      <c r="C397" s="70"/>
      <c r="G397" s="30"/>
      <c r="H397" s="77"/>
      <c r="I397" s="77"/>
      <c r="J397" s="58"/>
      <c r="K397" s="58"/>
      <c r="L397" s="3"/>
    </row>
    <row r="398" spans="1:12" s="71" customFormat="1">
      <c r="A398" s="50"/>
      <c r="B398" s="30"/>
      <c r="C398" s="70"/>
      <c r="G398" s="30"/>
      <c r="H398" s="77"/>
      <c r="I398" s="77"/>
      <c r="J398" s="58"/>
      <c r="K398" s="58"/>
      <c r="L398" s="3"/>
    </row>
    <row r="399" spans="1:12" s="71" customFormat="1">
      <c r="A399" s="50"/>
      <c r="B399" s="30"/>
      <c r="C399" s="70"/>
      <c r="G399" s="30"/>
      <c r="H399" s="77"/>
      <c r="I399" s="77"/>
      <c r="J399" s="58"/>
      <c r="K399" s="58"/>
      <c r="L399" s="3"/>
    </row>
    <row r="400" spans="1:12" s="71" customFormat="1">
      <c r="A400" s="50"/>
      <c r="B400" s="30"/>
      <c r="C400" s="70"/>
      <c r="G400" s="30"/>
      <c r="H400" s="77"/>
      <c r="I400" s="77"/>
      <c r="J400" s="58"/>
      <c r="K400" s="58"/>
      <c r="L400" s="3"/>
    </row>
    <row r="401" spans="1:12" s="71" customFormat="1">
      <c r="A401" s="50"/>
      <c r="B401" s="30"/>
      <c r="C401" s="70"/>
      <c r="G401" s="30"/>
      <c r="H401" s="77"/>
      <c r="I401" s="77"/>
      <c r="J401" s="58"/>
      <c r="K401" s="58"/>
      <c r="L401" s="3"/>
    </row>
    <row r="402" spans="1:12" s="71" customFormat="1">
      <c r="A402" s="50"/>
      <c r="B402" s="30"/>
      <c r="C402" s="70"/>
      <c r="G402" s="30"/>
      <c r="H402" s="77"/>
      <c r="I402" s="77"/>
      <c r="J402" s="58"/>
      <c r="K402" s="58"/>
      <c r="L402" s="3"/>
    </row>
    <row r="403" spans="1:12" s="71" customFormat="1">
      <c r="A403" s="50"/>
      <c r="B403" s="30"/>
      <c r="C403" s="70"/>
      <c r="G403" s="30"/>
      <c r="H403" s="77"/>
      <c r="I403" s="77"/>
      <c r="J403" s="58"/>
      <c r="K403" s="58"/>
      <c r="L403" s="3"/>
    </row>
    <row r="404" spans="1:12" s="71" customFormat="1">
      <c r="A404" s="50"/>
      <c r="B404" s="30"/>
      <c r="C404" s="70"/>
      <c r="G404" s="30"/>
      <c r="H404" s="77"/>
      <c r="I404" s="77"/>
      <c r="J404" s="58"/>
      <c r="K404" s="58"/>
      <c r="L404" s="3"/>
    </row>
    <row r="405" spans="1:12" s="71" customFormat="1">
      <c r="A405" s="50"/>
      <c r="B405" s="30"/>
      <c r="C405" s="70"/>
      <c r="G405" s="30"/>
      <c r="H405" s="77"/>
      <c r="I405" s="77"/>
      <c r="J405" s="58"/>
      <c r="K405" s="58"/>
      <c r="L405" s="3"/>
    </row>
    <row r="406" spans="1:12" s="71" customFormat="1">
      <c r="A406" s="50"/>
      <c r="B406" s="30"/>
      <c r="C406" s="70"/>
      <c r="G406" s="30"/>
      <c r="H406" s="77"/>
      <c r="I406" s="77"/>
      <c r="J406" s="58"/>
      <c r="K406" s="58"/>
      <c r="L406" s="3"/>
    </row>
    <row r="407" spans="1:12" s="71" customFormat="1">
      <c r="A407" s="50"/>
      <c r="B407" s="30"/>
      <c r="C407" s="70"/>
      <c r="G407" s="30"/>
      <c r="H407" s="77"/>
      <c r="I407" s="77"/>
      <c r="J407" s="58"/>
      <c r="K407" s="58"/>
      <c r="L407" s="3"/>
    </row>
    <row r="408" spans="1:12" s="71" customFormat="1">
      <c r="A408" s="50"/>
      <c r="B408" s="30"/>
      <c r="C408" s="70"/>
      <c r="G408" s="30"/>
      <c r="H408" s="77"/>
      <c r="I408" s="77"/>
      <c r="J408" s="58"/>
      <c r="K408" s="58"/>
      <c r="L408" s="3"/>
    </row>
    <row r="409" spans="1:12" s="71" customFormat="1">
      <c r="A409" s="50"/>
      <c r="B409" s="30"/>
      <c r="C409" s="70"/>
      <c r="G409" s="30"/>
      <c r="H409" s="77"/>
      <c r="I409" s="77"/>
      <c r="J409" s="58"/>
      <c r="K409" s="58"/>
      <c r="L409" s="3"/>
    </row>
    <row r="410" spans="1:12" s="71" customFormat="1">
      <c r="A410" s="50"/>
      <c r="B410" s="30"/>
      <c r="C410" s="70"/>
      <c r="G410" s="30"/>
      <c r="H410" s="77"/>
      <c r="I410" s="77"/>
      <c r="J410" s="58"/>
      <c r="K410" s="58"/>
      <c r="L410" s="3"/>
    </row>
    <row r="411" spans="1:12" s="71" customFormat="1">
      <c r="A411" s="50"/>
      <c r="B411" s="30"/>
      <c r="C411" s="70"/>
      <c r="G411" s="30"/>
      <c r="H411" s="77"/>
      <c r="I411" s="77"/>
      <c r="J411" s="58"/>
      <c r="K411" s="58"/>
      <c r="L411" s="3"/>
    </row>
    <row r="412" spans="1:12" s="71" customFormat="1">
      <c r="A412" s="50"/>
      <c r="B412" s="30"/>
      <c r="C412" s="70"/>
      <c r="G412" s="30"/>
      <c r="H412" s="77"/>
      <c r="I412" s="77"/>
      <c r="J412" s="58"/>
      <c r="K412" s="58"/>
      <c r="L412" s="3"/>
    </row>
    <row r="413" spans="1:12" s="71" customFormat="1">
      <c r="A413" s="50"/>
      <c r="B413" s="30"/>
      <c r="C413" s="70"/>
      <c r="G413" s="30"/>
      <c r="H413" s="77"/>
      <c r="I413" s="77"/>
      <c r="J413" s="58"/>
      <c r="K413" s="58"/>
      <c r="L413" s="3"/>
    </row>
    <row r="414" spans="1:12" s="71" customFormat="1">
      <c r="A414" s="50"/>
      <c r="B414" s="30"/>
      <c r="C414" s="70"/>
      <c r="G414" s="30"/>
      <c r="H414" s="77"/>
      <c r="I414" s="77"/>
      <c r="J414" s="58"/>
      <c r="K414" s="58"/>
      <c r="L414" s="3"/>
    </row>
    <row r="415" spans="1:12" s="71" customFormat="1">
      <c r="A415" s="50"/>
      <c r="B415" s="30"/>
      <c r="C415" s="70"/>
      <c r="G415" s="30"/>
      <c r="H415" s="77"/>
      <c r="I415" s="77"/>
      <c r="J415" s="58"/>
      <c r="K415" s="58"/>
      <c r="L415" s="3"/>
    </row>
    <row r="416" spans="1:12" s="71" customFormat="1">
      <c r="A416" s="50"/>
      <c r="B416" s="30"/>
      <c r="C416" s="70"/>
      <c r="G416" s="30"/>
      <c r="H416" s="77"/>
      <c r="I416" s="77"/>
      <c r="J416" s="58"/>
      <c r="K416" s="58"/>
      <c r="L416" s="3"/>
    </row>
    <row r="417" spans="1:12" s="71" customFormat="1">
      <c r="A417" s="50"/>
      <c r="B417" s="30"/>
      <c r="C417" s="70"/>
      <c r="G417" s="30"/>
      <c r="H417" s="77"/>
      <c r="I417" s="77"/>
      <c r="J417" s="58"/>
      <c r="K417" s="58"/>
      <c r="L417" s="3"/>
    </row>
    <row r="418" spans="1:12" s="71" customFormat="1">
      <c r="A418" s="50"/>
      <c r="B418" s="30"/>
      <c r="C418" s="70"/>
      <c r="G418" s="30"/>
      <c r="H418" s="77"/>
      <c r="I418" s="77"/>
      <c r="J418" s="58"/>
      <c r="K418" s="58"/>
      <c r="L418" s="3"/>
    </row>
    <row r="419" spans="1:12" s="71" customFormat="1">
      <c r="A419" s="50"/>
      <c r="B419" s="30"/>
      <c r="C419" s="70"/>
      <c r="G419" s="30"/>
      <c r="H419" s="77"/>
      <c r="I419" s="77"/>
      <c r="J419" s="58"/>
      <c r="K419" s="58"/>
      <c r="L419" s="3"/>
    </row>
    <row r="420" spans="1:12" s="71" customFormat="1">
      <c r="A420" s="50"/>
      <c r="B420" s="30"/>
      <c r="C420" s="70"/>
      <c r="G420" s="30"/>
      <c r="H420" s="77"/>
      <c r="I420" s="77"/>
      <c r="J420" s="58"/>
      <c r="K420" s="58"/>
      <c r="L420" s="3"/>
    </row>
    <row r="421" spans="1:12" s="71" customFormat="1">
      <c r="A421" s="50"/>
      <c r="B421" s="30"/>
      <c r="C421" s="70"/>
      <c r="G421" s="30"/>
      <c r="H421" s="77"/>
      <c r="I421" s="77"/>
      <c r="J421" s="58"/>
      <c r="K421" s="58"/>
      <c r="L421" s="3"/>
    </row>
    <row r="422" spans="1:12" s="71" customFormat="1">
      <c r="A422" s="50"/>
      <c r="B422" s="30"/>
      <c r="C422" s="70"/>
      <c r="G422" s="30"/>
      <c r="H422" s="77"/>
      <c r="I422" s="77"/>
      <c r="J422" s="58"/>
      <c r="K422" s="58"/>
      <c r="L422" s="3"/>
    </row>
    <row r="423" spans="1:12" s="71" customFormat="1">
      <c r="A423" s="50"/>
      <c r="B423" s="30"/>
      <c r="C423" s="70"/>
      <c r="G423" s="30"/>
      <c r="H423" s="77"/>
      <c r="I423" s="77"/>
      <c r="J423" s="58"/>
      <c r="K423" s="58"/>
      <c r="L423" s="3"/>
    </row>
    <row r="424" spans="1:12" s="71" customFormat="1">
      <c r="A424" s="50"/>
      <c r="B424" s="30"/>
      <c r="C424" s="70"/>
      <c r="G424" s="30"/>
      <c r="H424" s="77"/>
      <c r="I424" s="77"/>
      <c r="J424" s="58"/>
      <c r="K424" s="58"/>
      <c r="L424" s="3"/>
    </row>
    <row r="425" spans="1:12" s="71" customFormat="1">
      <c r="A425" s="50"/>
      <c r="B425" s="30"/>
      <c r="C425" s="70"/>
      <c r="G425" s="30"/>
      <c r="H425" s="77"/>
      <c r="I425" s="77"/>
      <c r="J425" s="58"/>
      <c r="K425" s="58"/>
      <c r="L425" s="3"/>
    </row>
    <row r="426" spans="1:12" s="71" customFormat="1">
      <c r="A426" s="50"/>
      <c r="B426" s="30"/>
      <c r="C426" s="70"/>
      <c r="G426" s="30"/>
      <c r="H426" s="77"/>
      <c r="I426" s="77"/>
      <c r="J426" s="58"/>
      <c r="K426" s="58"/>
      <c r="L426" s="3"/>
    </row>
    <row r="427" spans="1:12" s="71" customFormat="1">
      <c r="A427" s="50"/>
      <c r="B427" s="30"/>
      <c r="C427" s="70"/>
      <c r="G427" s="30"/>
      <c r="H427" s="77"/>
      <c r="I427" s="77"/>
      <c r="J427" s="58"/>
      <c r="K427" s="58"/>
      <c r="L427" s="3"/>
    </row>
    <row r="428" spans="1:12" s="71" customFormat="1">
      <c r="A428" s="50"/>
      <c r="B428" s="30"/>
      <c r="C428" s="70"/>
      <c r="G428" s="30"/>
      <c r="H428" s="77"/>
      <c r="I428" s="77"/>
      <c r="J428" s="58"/>
      <c r="K428" s="58"/>
      <c r="L428" s="3"/>
    </row>
    <row r="429" spans="1:12" s="71" customFormat="1">
      <c r="A429" s="50"/>
      <c r="B429" s="30"/>
      <c r="C429" s="70"/>
      <c r="G429" s="30"/>
      <c r="H429" s="77"/>
      <c r="I429" s="77"/>
      <c r="J429" s="58"/>
      <c r="K429" s="58"/>
      <c r="L429" s="3"/>
    </row>
    <row r="430" spans="1:12" s="71" customFormat="1">
      <c r="A430" s="50"/>
      <c r="B430" s="30"/>
      <c r="C430" s="70"/>
      <c r="G430" s="30"/>
      <c r="H430" s="77"/>
      <c r="I430" s="77"/>
      <c r="J430" s="58"/>
      <c r="K430" s="58"/>
      <c r="L430" s="3"/>
    </row>
    <row r="431" spans="1:12" s="71" customFormat="1">
      <c r="A431" s="50"/>
      <c r="B431" s="30"/>
      <c r="C431" s="70"/>
      <c r="G431" s="30"/>
      <c r="H431" s="77"/>
      <c r="I431" s="77"/>
      <c r="J431" s="58"/>
      <c r="K431" s="58"/>
      <c r="L431" s="3"/>
    </row>
    <row r="432" spans="1:12" s="71" customFormat="1">
      <c r="A432" s="50"/>
      <c r="B432" s="30"/>
      <c r="C432" s="70"/>
      <c r="G432" s="30"/>
      <c r="H432" s="77"/>
      <c r="I432" s="77"/>
      <c r="J432" s="58"/>
      <c r="K432" s="58"/>
      <c r="L432" s="3"/>
    </row>
    <row r="433" spans="1:12" s="71" customFormat="1">
      <c r="A433" s="50"/>
      <c r="B433" s="30"/>
      <c r="C433" s="70"/>
      <c r="G433" s="30"/>
      <c r="H433" s="77"/>
      <c r="I433" s="77"/>
      <c r="J433" s="58"/>
      <c r="K433" s="58"/>
      <c r="L433" s="3"/>
    </row>
    <row r="434" spans="1:12" s="71" customFormat="1">
      <c r="A434" s="50"/>
      <c r="B434" s="30"/>
      <c r="C434" s="70"/>
      <c r="G434" s="30"/>
      <c r="H434" s="77"/>
      <c r="I434" s="77"/>
      <c r="J434" s="58"/>
      <c r="K434" s="58"/>
      <c r="L434" s="3"/>
    </row>
    <row r="435" spans="1:12" s="71" customFormat="1">
      <c r="A435" s="50"/>
      <c r="B435" s="30"/>
      <c r="C435" s="70"/>
      <c r="G435" s="30"/>
      <c r="H435" s="77"/>
      <c r="I435" s="77"/>
      <c r="J435" s="58"/>
      <c r="K435" s="58"/>
      <c r="L435" s="3"/>
    </row>
    <row r="436" spans="1:12" s="71" customFormat="1">
      <c r="A436" s="50"/>
      <c r="B436" s="30"/>
      <c r="C436" s="70"/>
      <c r="G436" s="30"/>
      <c r="H436" s="77"/>
      <c r="I436" s="77"/>
      <c r="J436" s="58"/>
      <c r="K436" s="58"/>
      <c r="L436" s="3"/>
    </row>
    <row r="437" spans="1:12" s="71" customFormat="1">
      <c r="A437" s="50"/>
      <c r="B437" s="30"/>
      <c r="C437" s="70"/>
      <c r="G437" s="30"/>
      <c r="H437" s="77"/>
      <c r="I437" s="77"/>
      <c r="J437" s="58"/>
      <c r="K437" s="58"/>
      <c r="L437" s="3"/>
    </row>
    <row r="438" spans="1:12" s="71" customFormat="1">
      <c r="A438" s="50"/>
      <c r="B438" s="30"/>
      <c r="C438" s="70"/>
      <c r="G438" s="30"/>
      <c r="H438" s="77"/>
      <c r="I438" s="77"/>
      <c r="J438" s="58"/>
      <c r="K438" s="58"/>
      <c r="L438" s="3"/>
    </row>
    <row r="439" spans="1:12" s="71" customFormat="1">
      <c r="A439" s="50"/>
      <c r="B439" s="30"/>
      <c r="C439" s="70"/>
      <c r="G439" s="30"/>
      <c r="H439" s="77"/>
      <c r="I439" s="77"/>
      <c r="J439" s="58"/>
      <c r="K439" s="58"/>
      <c r="L439" s="3"/>
    </row>
    <row r="440" spans="1:12" s="71" customFormat="1">
      <c r="A440" s="50"/>
      <c r="B440" s="30"/>
      <c r="C440" s="70"/>
      <c r="G440" s="30"/>
      <c r="H440" s="77"/>
      <c r="I440" s="77"/>
      <c r="J440" s="58"/>
      <c r="K440" s="58"/>
      <c r="L440" s="3"/>
    </row>
    <row r="441" spans="1:12" s="71" customFormat="1">
      <c r="A441" s="50"/>
      <c r="B441" s="30"/>
      <c r="C441" s="70"/>
      <c r="G441" s="30"/>
      <c r="H441" s="77"/>
      <c r="I441" s="77"/>
      <c r="J441" s="58"/>
      <c r="K441" s="58"/>
      <c r="L441" s="3"/>
    </row>
    <row r="442" spans="1:12" s="71" customFormat="1">
      <c r="A442" s="50"/>
      <c r="B442" s="30"/>
      <c r="C442" s="70"/>
      <c r="G442" s="30"/>
      <c r="H442" s="77"/>
      <c r="I442" s="77"/>
      <c r="J442" s="58"/>
      <c r="K442" s="58"/>
      <c r="L442" s="3"/>
    </row>
    <row r="443" spans="1:12" s="71" customFormat="1">
      <c r="A443" s="50"/>
      <c r="B443" s="30"/>
      <c r="C443" s="70"/>
      <c r="G443" s="30"/>
      <c r="H443" s="77"/>
      <c r="I443" s="77"/>
      <c r="J443" s="58"/>
      <c r="K443" s="58"/>
      <c r="L443" s="3"/>
    </row>
    <row r="444" spans="1:12" s="71" customFormat="1">
      <c r="A444" s="50"/>
      <c r="B444" s="30"/>
      <c r="C444" s="70"/>
      <c r="G444" s="30"/>
      <c r="H444" s="77"/>
      <c r="I444" s="77"/>
      <c r="J444" s="58"/>
      <c r="K444" s="58"/>
      <c r="L444" s="3"/>
    </row>
    <row r="445" spans="1:12" s="71" customFormat="1">
      <c r="A445" s="50"/>
      <c r="B445" s="30"/>
      <c r="C445" s="70"/>
      <c r="G445" s="30"/>
      <c r="H445" s="77"/>
      <c r="I445" s="77"/>
      <c r="J445" s="58"/>
      <c r="K445" s="58"/>
      <c r="L445" s="3"/>
    </row>
    <row r="446" spans="1:12" s="71" customFormat="1">
      <c r="A446" s="50"/>
      <c r="B446" s="30"/>
      <c r="C446" s="70"/>
      <c r="G446" s="30"/>
      <c r="H446" s="77"/>
      <c r="I446" s="77"/>
      <c r="J446" s="58"/>
      <c r="K446" s="58"/>
      <c r="L446" s="3"/>
    </row>
    <row r="447" spans="1:12" s="71" customFormat="1">
      <c r="A447" s="50"/>
      <c r="B447" s="30"/>
      <c r="C447" s="70"/>
      <c r="G447" s="30"/>
      <c r="H447" s="77"/>
      <c r="I447" s="77"/>
      <c r="J447" s="58"/>
      <c r="K447" s="58"/>
      <c r="L447" s="3"/>
    </row>
    <row r="448" spans="1:12" s="71" customFormat="1">
      <c r="A448" s="50"/>
      <c r="B448" s="30"/>
      <c r="C448" s="70"/>
      <c r="G448" s="30"/>
      <c r="H448" s="77"/>
      <c r="I448" s="77"/>
      <c r="J448" s="58"/>
      <c r="K448" s="58"/>
      <c r="L448" s="3"/>
    </row>
    <row r="449" spans="1:12" s="71" customFormat="1">
      <c r="A449" s="50"/>
      <c r="B449" s="30"/>
      <c r="C449" s="70"/>
      <c r="G449" s="30"/>
      <c r="H449" s="77"/>
      <c r="I449" s="77"/>
      <c r="J449" s="58"/>
      <c r="K449" s="58"/>
      <c r="L449" s="3"/>
    </row>
    <row r="450" spans="1:12" s="71" customFormat="1">
      <c r="A450" s="50"/>
      <c r="B450" s="30"/>
      <c r="C450" s="70"/>
      <c r="G450" s="30"/>
      <c r="H450" s="77"/>
      <c r="I450" s="77"/>
      <c r="J450" s="58"/>
      <c r="K450" s="58"/>
      <c r="L450" s="3"/>
    </row>
    <row r="451" spans="1:12" s="71" customFormat="1">
      <c r="A451" s="50"/>
      <c r="B451" s="30"/>
      <c r="C451" s="70"/>
      <c r="G451" s="30"/>
      <c r="H451" s="77"/>
      <c r="I451" s="77"/>
      <c r="J451" s="58"/>
      <c r="K451" s="58"/>
      <c r="L451" s="3"/>
    </row>
    <row r="452" spans="1:12" s="71" customFormat="1">
      <c r="A452" s="50"/>
      <c r="B452" s="30"/>
      <c r="C452" s="70"/>
      <c r="G452" s="30"/>
      <c r="H452" s="77"/>
      <c r="I452" s="77"/>
      <c r="J452" s="58"/>
      <c r="K452" s="58"/>
      <c r="L452" s="3"/>
    </row>
    <row r="453" spans="1:12" s="71" customFormat="1">
      <c r="A453" s="50"/>
      <c r="B453" s="30"/>
      <c r="C453" s="70"/>
      <c r="G453" s="30"/>
      <c r="H453" s="77"/>
      <c r="I453" s="77"/>
      <c r="J453" s="58"/>
      <c r="K453" s="58"/>
      <c r="L453" s="3"/>
    </row>
    <row r="454" spans="1:12" s="71" customFormat="1">
      <c r="A454" s="50"/>
      <c r="B454" s="30"/>
      <c r="C454" s="70"/>
      <c r="G454" s="30"/>
      <c r="H454" s="77"/>
      <c r="I454" s="77"/>
      <c r="J454" s="58"/>
      <c r="K454" s="58"/>
      <c r="L454" s="3"/>
    </row>
    <row r="455" spans="1:12" s="71" customFormat="1">
      <c r="A455" s="50"/>
      <c r="B455" s="30"/>
      <c r="C455" s="70"/>
      <c r="G455" s="30"/>
      <c r="H455" s="77"/>
      <c r="I455" s="77"/>
      <c r="J455" s="58"/>
      <c r="K455" s="58"/>
      <c r="L455" s="3"/>
    </row>
    <row r="456" spans="1:12" s="71" customFormat="1">
      <c r="A456" s="50"/>
      <c r="B456" s="30"/>
      <c r="C456" s="70"/>
      <c r="G456" s="30"/>
      <c r="H456" s="77"/>
      <c r="I456" s="77"/>
      <c r="J456" s="58"/>
      <c r="K456" s="58"/>
      <c r="L456" s="3"/>
    </row>
    <row r="457" spans="1:12" s="71" customFormat="1">
      <c r="A457" s="50"/>
      <c r="B457" s="30"/>
      <c r="C457" s="70"/>
      <c r="G457" s="30"/>
      <c r="H457" s="77"/>
      <c r="I457" s="77"/>
      <c r="J457" s="58"/>
      <c r="K457" s="58"/>
      <c r="L457" s="3"/>
    </row>
    <row r="458" spans="1:12" s="71" customFormat="1">
      <c r="A458" s="50"/>
      <c r="B458" s="30"/>
      <c r="C458" s="70"/>
      <c r="G458" s="30"/>
      <c r="H458" s="77"/>
      <c r="I458" s="77"/>
      <c r="J458" s="58"/>
      <c r="K458" s="58"/>
      <c r="L458" s="3"/>
    </row>
    <row r="459" spans="1:12" s="71" customFormat="1">
      <c r="A459" s="50"/>
      <c r="B459" s="30"/>
      <c r="C459" s="70"/>
      <c r="G459" s="30"/>
      <c r="H459" s="77"/>
      <c r="I459" s="77"/>
      <c r="J459" s="58"/>
      <c r="K459" s="58"/>
      <c r="L459" s="3"/>
    </row>
    <row r="460" spans="1:12" s="71" customFormat="1">
      <c r="A460" s="50"/>
      <c r="B460" s="30"/>
      <c r="C460" s="70"/>
      <c r="G460" s="30"/>
      <c r="H460" s="77"/>
      <c r="I460" s="77"/>
      <c r="J460" s="58"/>
      <c r="K460" s="58"/>
      <c r="L460" s="3"/>
    </row>
    <row r="461" spans="1:12" s="71" customFormat="1">
      <c r="A461" s="50"/>
      <c r="B461" s="30"/>
      <c r="C461" s="70"/>
      <c r="G461" s="30"/>
      <c r="H461" s="77"/>
      <c r="I461" s="77"/>
      <c r="J461" s="58"/>
      <c r="K461" s="58"/>
      <c r="L461" s="3"/>
    </row>
    <row r="462" spans="1:12" s="71" customFormat="1">
      <c r="A462" s="50"/>
      <c r="B462" s="30"/>
      <c r="C462" s="70"/>
      <c r="G462" s="30"/>
      <c r="H462" s="77"/>
      <c r="I462" s="77"/>
      <c r="J462" s="58"/>
      <c r="K462" s="58"/>
      <c r="L462" s="3"/>
    </row>
    <row r="463" spans="1:12" s="71" customFormat="1">
      <c r="A463" s="50"/>
      <c r="B463" s="30"/>
      <c r="C463" s="70"/>
      <c r="G463" s="30"/>
      <c r="H463" s="77"/>
      <c r="I463" s="77"/>
      <c r="J463" s="58"/>
      <c r="K463" s="58"/>
      <c r="L463" s="3"/>
    </row>
    <row r="464" spans="1:12" s="71" customFormat="1">
      <c r="A464" s="50"/>
      <c r="B464" s="30"/>
      <c r="C464" s="70"/>
      <c r="G464" s="30"/>
      <c r="H464" s="77"/>
      <c r="I464" s="77"/>
      <c r="J464" s="58"/>
      <c r="K464" s="58"/>
      <c r="L464" s="3"/>
    </row>
    <row r="465" spans="1:12" s="71" customFormat="1">
      <c r="A465" s="50"/>
      <c r="B465" s="30"/>
      <c r="C465" s="70"/>
      <c r="G465" s="30"/>
      <c r="H465" s="77"/>
      <c r="I465" s="77"/>
      <c r="J465" s="58"/>
      <c r="K465" s="58"/>
      <c r="L465" s="3"/>
    </row>
    <row r="466" spans="1:12" s="71" customFormat="1">
      <c r="A466" s="50"/>
      <c r="B466" s="30"/>
      <c r="C466" s="70"/>
      <c r="G466" s="30"/>
      <c r="H466" s="77"/>
      <c r="I466" s="77"/>
      <c r="J466" s="58"/>
      <c r="K466" s="58"/>
      <c r="L466" s="3"/>
    </row>
    <row r="467" spans="1:12" s="71" customFormat="1">
      <c r="A467" s="50"/>
      <c r="B467" s="30"/>
      <c r="C467" s="70"/>
      <c r="G467" s="30"/>
      <c r="H467" s="77"/>
      <c r="I467" s="77"/>
      <c r="J467" s="58"/>
      <c r="K467" s="58"/>
      <c r="L467" s="3"/>
    </row>
    <row r="468" spans="1:12" s="71" customFormat="1">
      <c r="A468" s="50"/>
      <c r="B468" s="30"/>
      <c r="C468" s="70"/>
      <c r="G468" s="30"/>
      <c r="H468" s="77"/>
      <c r="I468" s="77"/>
      <c r="J468" s="58"/>
      <c r="K468" s="58"/>
      <c r="L468" s="3"/>
    </row>
    <row r="469" spans="1:12" s="71" customFormat="1">
      <c r="A469" s="50"/>
      <c r="B469" s="30"/>
      <c r="C469" s="70"/>
      <c r="G469" s="30"/>
      <c r="H469" s="77"/>
      <c r="I469" s="77"/>
      <c r="J469" s="58"/>
      <c r="K469" s="58"/>
      <c r="L469" s="3"/>
    </row>
    <row r="470" spans="1:12" s="71" customFormat="1">
      <c r="A470" s="50"/>
      <c r="B470" s="30"/>
      <c r="C470" s="70"/>
      <c r="G470" s="30"/>
      <c r="H470" s="77"/>
      <c r="I470" s="77"/>
      <c r="J470" s="58"/>
      <c r="K470" s="58"/>
      <c r="L470" s="3"/>
    </row>
    <row r="471" spans="1:12" s="71" customFormat="1">
      <c r="A471" s="50"/>
      <c r="B471" s="30"/>
      <c r="C471" s="70"/>
      <c r="G471" s="30"/>
      <c r="H471" s="77"/>
      <c r="I471" s="77"/>
      <c r="J471" s="58"/>
      <c r="K471" s="58"/>
      <c r="L471" s="3"/>
    </row>
    <row r="472" spans="1:12" s="71" customFormat="1">
      <c r="A472" s="50"/>
      <c r="B472" s="30"/>
      <c r="C472" s="70"/>
      <c r="G472" s="30"/>
      <c r="H472" s="77"/>
      <c r="I472" s="77"/>
      <c r="J472" s="58"/>
      <c r="K472" s="58"/>
      <c r="L472" s="3"/>
    </row>
    <row r="473" spans="1:12" s="71" customFormat="1">
      <c r="A473" s="50"/>
      <c r="B473" s="30"/>
      <c r="C473" s="70"/>
      <c r="G473" s="30"/>
      <c r="H473" s="77"/>
      <c r="I473" s="77"/>
      <c r="J473" s="58"/>
      <c r="K473" s="58"/>
      <c r="L473" s="3"/>
    </row>
    <row r="474" spans="1:12" s="71" customFormat="1">
      <c r="A474" s="50"/>
      <c r="B474" s="30"/>
      <c r="C474" s="70"/>
      <c r="G474" s="30"/>
      <c r="H474" s="77"/>
      <c r="I474" s="77"/>
      <c r="J474" s="58"/>
      <c r="K474" s="58"/>
      <c r="L474" s="3"/>
    </row>
    <row r="475" spans="1:12" s="71" customFormat="1">
      <c r="A475" s="50"/>
      <c r="B475" s="30"/>
      <c r="C475" s="70"/>
      <c r="G475" s="30"/>
      <c r="H475" s="77"/>
      <c r="I475" s="77"/>
      <c r="J475" s="58"/>
      <c r="K475" s="58"/>
      <c r="L475" s="3"/>
    </row>
    <row r="476" spans="1:12" s="71" customFormat="1">
      <c r="A476" s="50"/>
      <c r="B476" s="30"/>
      <c r="C476" s="70"/>
      <c r="G476" s="30"/>
      <c r="H476" s="77"/>
      <c r="I476" s="77"/>
      <c r="J476" s="58"/>
      <c r="K476" s="58"/>
      <c r="L476" s="3"/>
    </row>
    <row r="477" spans="1:12" s="71" customFormat="1">
      <c r="A477" s="50"/>
      <c r="B477" s="30"/>
      <c r="C477" s="70"/>
      <c r="G477" s="30"/>
      <c r="H477" s="77"/>
      <c r="I477" s="77"/>
      <c r="J477" s="58"/>
      <c r="K477" s="58"/>
      <c r="L477" s="3"/>
    </row>
    <row r="478" spans="1:12" s="71" customFormat="1">
      <c r="A478" s="50"/>
      <c r="B478" s="30"/>
      <c r="C478" s="70"/>
      <c r="G478" s="30"/>
      <c r="H478" s="77"/>
      <c r="I478" s="77"/>
      <c r="J478" s="58"/>
      <c r="K478" s="58"/>
      <c r="L478" s="3"/>
    </row>
    <row r="479" spans="1:12" s="71" customFormat="1">
      <c r="A479" s="50"/>
      <c r="B479" s="30"/>
      <c r="C479" s="70"/>
      <c r="G479" s="30"/>
      <c r="H479" s="77"/>
      <c r="I479" s="77"/>
      <c r="J479" s="58"/>
      <c r="K479" s="58"/>
      <c r="L479" s="3"/>
    </row>
    <row r="480" spans="1:12" s="71" customFormat="1">
      <c r="A480" s="50"/>
      <c r="B480" s="30"/>
      <c r="C480" s="70"/>
      <c r="G480" s="30"/>
      <c r="H480" s="77"/>
      <c r="I480" s="77"/>
      <c r="J480" s="58"/>
      <c r="K480" s="58"/>
      <c r="L480" s="3"/>
    </row>
    <row r="481" spans="1:12" s="71" customFormat="1">
      <c r="A481" s="50"/>
      <c r="B481" s="30"/>
      <c r="C481" s="70"/>
      <c r="G481" s="30"/>
      <c r="H481" s="77"/>
      <c r="I481" s="77"/>
      <c r="J481" s="58"/>
      <c r="K481" s="58"/>
      <c r="L481" s="3"/>
    </row>
    <row r="482" spans="1:12" s="71" customFormat="1">
      <c r="A482" s="50"/>
      <c r="B482" s="30"/>
      <c r="C482" s="70"/>
      <c r="G482" s="30"/>
      <c r="H482" s="77"/>
      <c r="I482" s="77"/>
      <c r="J482" s="58"/>
      <c r="K482" s="58"/>
      <c r="L482" s="3"/>
    </row>
    <row r="483" spans="1:12" s="71" customFormat="1">
      <c r="A483" s="50"/>
      <c r="B483" s="30"/>
      <c r="C483" s="70"/>
      <c r="G483" s="30"/>
      <c r="H483" s="77"/>
      <c r="I483" s="77"/>
      <c r="J483" s="58"/>
      <c r="K483" s="58"/>
      <c r="L483" s="3"/>
    </row>
    <row r="484" spans="1:12" s="71" customFormat="1">
      <c r="A484" s="50"/>
      <c r="B484" s="30"/>
      <c r="C484" s="70"/>
      <c r="G484" s="30"/>
      <c r="H484" s="77"/>
      <c r="I484" s="77"/>
      <c r="J484" s="58"/>
      <c r="K484" s="58"/>
      <c r="L484" s="3"/>
    </row>
    <row r="485" spans="1:12" s="71" customFormat="1">
      <c r="A485" s="50"/>
      <c r="B485" s="30"/>
      <c r="C485" s="70"/>
      <c r="G485" s="30"/>
      <c r="H485" s="77"/>
      <c r="I485" s="77"/>
      <c r="J485" s="58"/>
      <c r="K485" s="58"/>
      <c r="L485" s="3"/>
    </row>
    <row r="486" spans="1:12" s="71" customFormat="1">
      <c r="A486" s="50"/>
      <c r="B486" s="30"/>
      <c r="C486" s="70"/>
      <c r="G486" s="30"/>
      <c r="H486" s="77"/>
      <c r="I486" s="77"/>
      <c r="J486" s="58"/>
      <c r="K486" s="58"/>
      <c r="L486" s="3"/>
    </row>
    <row r="487" spans="1:12" s="71" customFormat="1">
      <c r="A487" s="50"/>
      <c r="B487" s="30"/>
      <c r="C487" s="70"/>
      <c r="G487" s="30"/>
      <c r="H487" s="77"/>
      <c r="I487" s="77"/>
      <c r="J487" s="58"/>
      <c r="K487" s="58"/>
      <c r="L487" s="3"/>
    </row>
    <row r="488" spans="1:12" s="71" customFormat="1">
      <c r="A488" s="50"/>
      <c r="B488" s="30"/>
      <c r="C488" s="70"/>
      <c r="G488" s="30"/>
      <c r="H488" s="77"/>
      <c r="I488" s="77"/>
      <c r="J488" s="58"/>
      <c r="K488" s="58"/>
      <c r="L488" s="3"/>
    </row>
    <row r="489" spans="1:12" s="71" customFormat="1">
      <c r="A489" s="50"/>
      <c r="B489" s="30"/>
      <c r="C489" s="70"/>
      <c r="G489" s="30"/>
      <c r="H489" s="77"/>
      <c r="I489" s="77"/>
      <c r="J489" s="58"/>
      <c r="K489" s="58"/>
      <c r="L489" s="3"/>
    </row>
    <row r="490" spans="1:12" s="71" customFormat="1">
      <c r="A490" s="50"/>
      <c r="B490" s="30"/>
      <c r="C490" s="70"/>
      <c r="G490" s="30"/>
      <c r="H490" s="77"/>
      <c r="I490" s="77"/>
      <c r="J490" s="58"/>
      <c r="K490" s="58"/>
      <c r="L490" s="3"/>
    </row>
    <row r="491" spans="1:12" s="71" customFormat="1">
      <c r="A491" s="50"/>
      <c r="B491" s="30"/>
      <c r="C491" s="70"/>
      <c r="G491" s="30"/>
      <c r="H491" s="77"/>
      <c r="I491" s="77"/>
      <c r="J491" s="58"/>
      <c r="K491" s="58"/>
      <c r="L491" s="3"/>
    </row>
    <row r="492" spans="1:12" s="71" customFormat="1">
      <c r="A492" s="50"/>
      <c r="B492" s="30"/>
      <c r="C492" s="70"/>
      <c r="G492" s="30"/>
      <c r="H492" s="77"/>
      <c r="I492" s="77"/>
      <c r="J492" s="58"/>
      <c r="K492" s="58"/>
      <c r="L492" s="3"/>
    </row>
    <row r="493" spans="1:12" s="71" customFormat="1">
      <c r="A493" s="50"/>
      <c r="B493" s="30"/>
      <c r="C493" s="70"/>
      <c r="G493" s="30"/>
      <c r="H493" s="77"/>
      <c r="I493" s="77"/>
      <c r="J493" s="58"/>
      <c r="K493" s="58"/>
      <c r="L493" s="3"/>
    </row>
    <row r="494" spans="1:12" s="71" customFormat="1">
      <c r="A494" s="50"/>
      <c r="B494" s="30"/>
      <c r="C494" s="70"/>
      <c r="G494" s="30"/>
      <c r="H494" s="77"/>
      <c r="I494" s="77"/>
      <c r="J494" s="58"/>
      <c r="K494" s="58"/>
      <c r="L494" s="3"/>
    </row>
    <row r="495" spans="1:12" s="71" customFormat="1">
      <c r="A495" s="50"/>
      <c r="B495" s="30"/>
      <c r="C495" s="70"/>
      <c r="G495" s="30"/>
      <c r="H495" s="77"/>
      <c r="I495" s="77"/>
      <c r="J495" s="58"/>
      <c r="K495" s="58"/>
      <c r="L495" s="3"/>
    </row>
    <row r="496" spans="1:12" s="71" customFormat="1">
      <c r="A496" s="50"/>
      <c r="B496" s="30"/>
      <c r="C496" s="70"/>
      <c r="G496" s="30"/>
      <c r="H496" s="77"/>
      <c r="I496" s="77"/>
      <c r="J496" s="58"/>
      <c r="K496" s="58"/>
      <c r="L496" s="3"/>
    </row>
    <row r="497" spans="1:12" s="71" customFormat="1">
      <c r="A497" s="50"/>
      <c r="B497" s="30"/>
      <c r="C497" s="70"/>
      <c r="G497" s="30"/>
      <c r="H497" s="77"/>
      <c r="I497" s="77"/>
      <c r="J497" s="58"/>
      <c r="K497" s="58"/>
      <c r="L497" s="3"/>
    </row>
    <row r="498" spans="1:12" s="71" customFormat="1">
      <c r="A498" s="50"/>
      <c r="B498" s="30"/>
      <c r="C498" s="70"/>
      <c r="G498" s="30"/>
      <c r="H498" s="77"/>
      <c r="I498" s="77"/>
      <c r="J498" s="58"/>
      <c r="K498" s="58"/>
      <c r="L498" s="3"/>
    </row>
    <row r="499" spans="1:12" s="71" customFormat="1">
      <c r="A499" s="50"/>
      <c r="B499" s="30"/>
      <c r="C499" s="70"/>
      <c r="G499" s="30"/>
      <c r="H499" s="77"/>
      <c r="I499" s="77"/>
      <c r="J499" s="58"/>
      <c r="K499" s="58"/>
      <c r="L499" s="3"/>
    </row>
    <row r="500" spans="1:12" s="71" customFormat="1">
      <c r="A500" s="50"/>
      <c r="B500" s="30"/>
      <c r="C500" s="70"/>
      <c r="G500" s="30"/>
      <c r="H500" s="77"/>
      <c r="I500" s="77"/>
      <c r="J500" s="58"/>
      <c r="K500" s="58"/>
      <c r="L500" s="3"/>
    </row>
    <row r="501" spans="1:12" s="71" customFormat="1">
      <c r="A501" s="50"/>
      <c r="B501" s="30"/>
      <c r="C501" s="70"/>
      <c r="G501" s="30"/>
      <c r="H501" s="77"/>
      <c r="I501" s="77"/>
      <c r="J501" s="58"/>
      <c r="K501" s="58"/>
      <c r="L501" s="3"/>
    </row>
    <row r="502" spans="1:12" s="71" customFormat="1">
      <c r="A502" s="50"/>
      <c r="B502" s="30"/>
      <c r="C502" s="70"/>
      <c r="G502" s="30"/>
      <c r="H502" s="77"/>
      <c r="I502" s="77"/>
      <c r="J502" s="58"/>
      <c r="K502" s="58"/>
      <c r="L502" s="3"/>
    </row>
    <row r="503" spans="1:12" s="71" customFormat="1">
      <c r="A503" s="50"/>
      <c r="B503" s="30"/>
      <c r="C503" s="70"/>
      <c r="G503" s="30"/>
      <c r="H503" s="77"/>
      <c r="I503" s="77"/>
      <c r="J503" s="58"/>
      <c r="K503" s="58"/>
      <c r="L503" s="3"/>
    </row>
    <row r="504" spans="1:12" s="71" customFormat="1">
      <c r="A504" s="50"/>
      <c r="B504" s="30"/>
      <c r="C504" s="70"/>
      <c r="G504" s="30"/>
      <c r="H504" s="77"/>
      <c r="I504" s="77"/>
      <c r="J504" s="58"/>
      <c r="K504" s="58"/>
      <c r="L504" s="3"/>
    </row>
    <row r="505" spans="1:12" s="71" customFormat="1">
      <c r="A505" s="50"/>
      <c r="B505" s="30"/>
      <c r="C505" s="70"/>
      <c r="G505" s="30"/>
      <c r="H505" s="77"/>
      <c r="I505" s="77"/>
      <c r="J505" s="58"/>
      <c r="K505" s="58"/>
      <c r="L505" s="3"/>
    </row>
    <row r="506" spans="1:12" s="71" customFormat="1">
      <c r="A506" s="50"/>
      <c r="B506" s="30"/>
      <c r="C506" s="70"/>
      <c r="G506" s="30"/>
      <c r="H506" s="77"/>
      <c r="I506" s="77"/>
      <c r="J506" s="58"/>
      <c r="K506" s="58"/>
      <c r="L506" s="3"/>
    </row>
    <row r="507" spans="1:12" s="71" customFormat="1">
      <c r="A507" s="50"/>
      <c r="B507" s="30"/>
      <c r="C507" s="70"/>
      <c r="G507" s="30"/>
      <c r="H507" s="77"/>
      <c r="I507" s="77"/>
      <c r="J507" s="58"/>
      <c r="K507" s="58"/>
      <c r="L507" s="3"/>
    </row>
    <row r="508" spans="1:12" s="71" customFormat="1">
      <c r="A508" s="50"/>
      <c r="B508" s="30"/>
      <c r="C508" s="70"/>
      <c r="G508" s="30"/>
      <c r="H508" s="77"/>
      <c r="I508" s="77"/>
      <c r="J508" s="58"/>
      <c r="K508" s="58"/>
      <c r="L508" s="3"/>
    </row>
    <row r="509" spans="1:12" s="71" customFormat="1">
      <c r="A509" s="50"/>
      <c r="B509" s="30"/>
      <c r="C509" s="70"/>
      <c r="G509" s="30"/>
      <c r="H509" s="77"/>
      <c r="I509" s="77"/>
      <c r="J509" s="58"/>
      <c r="K509" s="58"/>
      <c r="L509" s="3"/>
    </row>
    <row r="510" spans="1:12" s="71" customFormat="1">
      <c r="A510" s="50"/>
      <c r="B510" s="30"/>
      <c r="C510" s="70"/>
      <c r="G510" s="30"/>
      <c r="H510" s="77"/>
      <c r="I510" s="77"/>
      <c r="J510" s="58"/>
      <c r="K510" s="58"/>
      <c r="L510" s="3"/>
    </row>
    <row r="511" spans="1:12" s="71" customFormat="1">
      <c r="A511" s="50"/>
      <c r="B511" s="30"/>
      <c r="C511" s="70"/>
      <c r="G511" s="30"/>
      <c r="H511" s="77"/>
      <c r="I511" s="77"/>
      <c r="J511" s="58"/>
      <c r="K511" s="58"/>
      <c r="L511" s="3"/>
    </row>
    <row r="512" spans="1:12" s="71" customFormat="1">
      <c r="A512" s="50"/>
      <c r="B512" s="30"/>
      <c r="C512" s="70"/>
      <c r="G512" s="30"/>
      <c r="H512" s="77"/>
      <c r="I512" s="77"/>
      <c r="J512" s="58"/>
      <c r="K512" s="58"/>
      <c r="L512" s="3"/>
    </row>
    <row r="513" spans="1:12" s="71" customFormat="1">
      <c r="A513" s="50"/>
      <c r="B513" s="30"/>
      <c r="C513" s="70"/>
      <c r="G513" s="30"/>
      <c r="H513" s="77"/>
      <c r="I513" s="77"/>
      <c r="J513" s="58"/>
      <c r="K513" s="58"/>
      <c r="L513" s="3"/>
    </row>
    <row r="514" spans="1:12" s="71" customFormat="1">
      <c r="A514" s="50"/>
      <c r="B514" s="30"/>
      <c r="C514" s="70"/>
      <c r="G514" s="30"/>
      <c r="H514" s="77"/>
      <c r="I514" s="77"/>
      <c r="J514" s="58"/>
      <c r="K514" s="58"/>
      <c r="L514" s="3"/>
    </row>
    <row r="515" spans="1:12" s="71" customFormat="1">
      <c r="A515" s="50"/>
      <c r="B515" s="30"/>
      <c r="C515" s="70"/>
      <c r="G515" s="30"/>
      <c r="H515" s="77"/>
      <c r="I515" s="77"/>
      <c r="J515" s="58"/>
      <c r="K515" s="58"/>
      <c r="L515" s="3"/>
    </row>
    <row r="516" spans="1:12" s="71" customFormat="1">
      <c r="A516" s="50"/>
      <c r="B516" s="30"/>
      <c r="C516" s="70"/>
      <c r="G516" s="30"/>
      <c r="H516" s="77"/>
      <c r="I516" s="77"/>
      <c r="J516" s="58"/>
      <c r="K516" s="58"/>
      <c r="L516" s="3"/>
    </row>
    <row r="517" spans="1:12" s="71" customFormat="1">
      <c r="A517" s="50"/>
      <c r="B517" s="30"/>
      <c r="C517" s="70"/>
      <c r="G517" s="30"/>
      <c r="H517" s="77"/>
      <c r="I517" s="77"/>
      <c r="J517" s="58"/>
      <c r="K517" s="58"/>
      <c r="L517" s="3"/>
    </row>
    <row r="518" spans="1:12" s="71" customFormat="1">
      <c r="A518" s="50"/>
      <c r="B518" s="30"/>
      <c r="C518" s="70"/>
      <c r="G518" s="30"/>
      <c r="H518" s="77"/>
      <c r="I518" s="77"/>
      <c r="J518" s="58"/>
      <c r="K518" s="58"/>
      <c r="L518" s="3"/>
    </row>
    <row r="519" spans="1:12" s="71" customFormat="1">
      <c r="A519" s="50"/>
      <c r="B519" s="30"/>
      <c r="C519" s="70"/>
      <c r="G519" s="30"/>
      <c r="H519" s="77"/>
      <c r="I519" s="77"/>
      <c r="J519" s="58"/>
      <c r="K519" s="58"/>
      <c r="L519" s="3"/>
    </row>
    <row r="520" spans="1:12" s="71" customFormat="1">
      <c r="A520" s="50"/>
      <c r="B520" s="30"/>
      <c r="C520" s="70"/>
      <c r="G520" s="30"/>
      <c r="H520" s="77"/>
      <c r="I520" s="77"/>
      <c r="J520" s="58"/>
      <c r="K520" s="58"/>
      <c r="L520" s="3"/>
    </row>
    <row r="521" spans="1:12" s="71" customFormat="1">
      <c r="A521" s="50"/>
      <c r="B521" s="30"/>
      <c r="C521" s="70"/>
      <c r="G521" s="30"/>
      <c r="H521" s="77"/>
      <c r="I521" s="77"/>
      <c r="J521" s="58"/>
      <c r="K521" s="58"/>
      <c r="L521" s="3"/>
    </row>
    <row r="522" spans="1:12" s="71" customFormat="1">
      <c r="A522" s="50"/>
      <c r="B522" s="30"/>
      <c r="C522" s="70"/>
      <c r="G522" s="30"/>
      <c r="H522" s="77"/>
      <c r="I522" s="77"/>
      <c r="J522" s="58"/>
      <c r="K522" s="58"/>
      <c r="L522" s="3"/>
    </row>
    <row r="523" spans="1:12" s="71" customFormat="1">
      <c r="A523" s="50"/>
      <c r="B523" s="30"/>
      <c r="C523" s="70"/>
      <c r="G523" s="30"/>
      <c r="H523" s="77"/>
      <c r="I523" s="77"/>
      <c r="J523" s="58"/>
      <c r="K523" s="58"/>
      <c r="L523" s="3"/>
    </row>
    <row r="524" spans="1:12" s="71" customFormat="1">
      <c r="A524" s="50"/>
      <c r="B524" s="30"/>
      <c r="C524" s="70"/>
      <c r="G524" s="30"/>
      <c r="H524" s="77"/>
      <c r="I524" s="77"/>
      <c r="J524" s="58"/>
      <c r="K524" s="58"/>
      <c r="L524" s="3"/>
    </row>
    <row r="525" spans="1:12" s="71" customFormat="1">
      <c r="A525" s="50"/>
      <c r="B525" s="30"/>
      <c r="C525" s="70"/>
      <c r="G525" s="30"/>
      <c r="H525" s="77"/>
      <c r="I525" s="77"/>
      <c r="J525" s="58"/>
      <c r="K525" s="58"/>
      <c r="L525" s="3"/>
    </row>
    <row r="526" spans="1:12" s="71" customFormat="1">
      <c r="A526" s="50"/>
      <c r="B526" s="30"/>
      <c r="C526" s="70"/>
      <c r="G526" s="30"/>
      <c r="H526" s="77"/>
      <c r="I526" s="77"/>
      <c r="J526" s="58"/>
      <c r="K526" s="58"/>
      <c r="L526" s="3"/>
    </row>
    <row r="527" spans="1:12" s="71" customFormat="1">
      <c r="A527" s="50"/>
      <c r="B527" s="30"/>
      <c r="C527" s="70"/>
      <c r="G527" s="30"/>
      <c r="H527" s="77"/>
      <c r="I527" s="77"/>
      <c r="J527" s="58"/>
      <c r="K527" s="58"/>
      <c r="L527" s="3"/>
    </row>
    <row r="528" spans="1:12" s="71" customFormat="1">
      <c r="A528" s="50"/>
      <c r="B528" s="30"/>
      <c r="C528" s="70"/>
      <c r="G528" s="30"/>
      <c r="H528" s="77"/>
      <c r="I528" s="77"/>
      <c r="J528" s="58"/>
      <c r="K528" s="58"/>
      <c r="L528" s="3"/>
    </row>
    <row r="529" spans="1:12" s="71" customFormat="1">
      <c r="A529" s="50"/>
      <c r="B529" s="30"/>
      <c r="C529" s="70"/>
      <c r="G529" s="30"/>
      <c r="H529" s="77"/>
      <c r="I529" s="77"/>
      <c r="J529" s="58"/>
      <c r="K529" s="58"/>
      <c r="L529" s="3"/>
    </row>
    <row r="530" spans="1:12" s="71" customFormat="1">
      <c r="A530" s="50"/>
      <c r="B530" s="30"/>
      <c r="C530" s="70"/>
      <c r="G530" s="30"/>
      <c r="H530" s="77"/>
      <c r="I530" s="77"/>
      <c r="J530" s="58"/>
      <c r="K530" s="58"/>
      <c r="L530" s="3"/>
    </row>
    <row r="531" spans="1:12" s="71" customFormat="1">
      <c r="A531" s="50"/>
      <c r="B531" s="30"/>
      <c r="C531" s="70"/>
      <c r="G531" s="30"/>
      <c r="H531" s="77"/>
      <c r="I531" s="77"/>
      <c r="J531" s="58"/>
      <c r="K531" s="58"/>
      <c r="L531" s="3"/>
    </row>
    <row r="532" spans="1:12" s="71" customFormat="1">
      <c r="A532" s="50"/>
      <c r="B532" s="30"/>
      <c r="C532" s="70"/>
      <c r="G532" s="30"/>
      <c r="H532" s="77"/>
      <c r="I532" s="77"/>
      <c r="J532" s="58"/>
      <c r="K532" s="58"/>
      <c r="L532" s="3"/>
    </row>
    <row r="533" spans="1:12" s="71" customFormat="1">
      <c r="A533" s="87"/>
      <c r="B533" s="30"/>
      <c r="C533" s="70"/>
      <c r="G533" s="30"/>
      <c r="H533" s="77"/>
      <c r="I533" s="77"/>
      <c r="J533" s="58"/>
      <c r="K533" s="58"/>
      <c r="L533" s="3"/>
    </row>
    <row r="534" spans="1:12" s="71" customFormat="1">
      <c r="A534" s="87"/>
      <c r="B534" s="30"/>
      <c r="C534" s="70"/>
      <c r="G534" s="30"/>
      <c r="H534" s="77"/>
      <c r="I534" s="77"/>
      <c r="J534" s="58"/>
      <c r="K534" s="58"/>
      <c r="L534" s="3"/>
    </row>
    <row r="535" spans="1:12" s="71" customFormat="1">
      <c r="A535" s="87"/>
      <c r="B535" s="30"/>
      <c r="C535" s="70"/>
      <c r="G535" s="30"/>
      <c r="H535" s="77"/>
      <c r="I535" s="77"/>
      <c r="J535" s="58"/>
      <c r="K535" s="58"/>
      <c r="L535" s="3"/>
    </row>
    <row r="536" spans="1:12" s="71" customFormat="1">
      <c r="A536" s="87"/>
      <c r="B536" s="30"/>
      <c r="C536" s="70"/>
      <c r="G536" s="30"/>
      <c r="H536" s="77"/>
      <c r="I536" s="77"/>
      <c r="J536" s="58"/>
      <c r="K536" s="58"/>
      <c r="L536" s="3"/>
    </row>
    <row r="537" spans="1:12" s="71" customFormat="1">
      <c r="A537" s="87"/>
      <c r="B537" s="30"/>
      <c r="C537" s="70"/>
      <c r="G537" s="30"/>
      <c r="H537" s="77"/>
      <c r="I537" s="77"/>
      <c r="J537" s="58"/>
      <c r="K537" s="58"/>
      <c r="L537" s="3"/>
    </row>
    <row r="538" spans="1:12" s="71" customFormat="1">
      <c r="A538" s="87"/>
      <c r="B538" s="30"/>
      <c r="C538" s="70"/>
      <c r="G538" s="30"/>
      <c r="H538" s="77"/>
      <c r="I538" s="77"/>
      <c r="J538" s="58"/>
      <c r="K538" s="58"/>
      <c r="L538" s="3"/>
    </row>
    <row r="539" spans="1:12" s="71" customFormat="1">
      <c r="A539" s="87"/>
      <c r="B539" s="30"/>
      <c r="C539" s="70"/>
      <c r="G539" s="30"/>
      <c r="H539" s="77"/>
      <c r="I539" s="77"/>
      <c r="J539" s="58"/>
      <c r="K539" s="58"/>
      <c r="L539" s="3"/>
    </row>
    <row r="540" spans="1:12" s="71" customFormat="1">
      <c r="A540" s="87"/>
      <c r="B540" s="30"/>
      <c r="C540" s="70"/>
      <c r="G540" s="30"/>
      <c r="H540" s="77"/>
      <c r="I540" s="77"/>
      <c r="J540" s="58"/>
      <c r="K540" s="58"/>
      <c r="L540" s="3"/>
    </row>
    <row r="541" spans="1:12" s="71" customFormat="1">
      <c r="A541" s="87"/>
      <c r="B541" s="30"/>
      <c r="C541" s="70"/>
      <c r="G541" s="30"/>
      <c r="H541" s="77"/>
      <c r="I541" s="77"/>
      <c r="J541" s="58"/>
      <c r="K541" s="58"/>
      <c r="L541" s="3"/>
    </row>
    <row r="542" spans="1:12" s="71" customFormat="1">
      <c r="A542" s="87"/>
      <c r="B542" s="30"/>
      <c r="C542" s="70"/>
      <c r="G542" s="30"/>
      <c r="H542" s="77"/>
      <c r="I542" s="77"/>
      <c r="J542" s="58"/>
      <c r="K542" s="58"/>
      <c r="L542" s="3"/>
    </row>
    <row r="543" spans="1:12" s="71" customFormat="1">
      <c r="A543" s="87"/>
      <c r="B543" s="30"/>
      <c r="C543" s="70"/>
      <c r="G543" s="30"/>
      <c r="H543" s="77"/>
      <c r="I543" s="77"/>
      <c r="J543" s="58"/>
      <c r="K543" s="58"/>
      <c r="L543" s="3"/>
    </row>
    <row r="544" spans="1:12" s="71" customFormat="1">
      <c r="A544" s="87"/>
      <c r="B544" s="30"/>
      <c r="C544" s="70"/>
      <c r="G544" s="30"/>
      <c r="H544" s="77"/>
      <c r="I544" s="77"/>
      <c r="J544" s="58"/>
      <c r="K544" s="58"/>
      <c r="L544" s="3"/>
    </row>
    <row r="545" spans="1:12" s="71" customFormat="1">
      <c r="A545" s="87"/>
      <c r="B545" s="30"/>
      <c r="C545" s="70"/>
      <c r="G545" s="30"/>
      <c r="H545" s="77"/>
      <c r="I545" s="77"/>
      <c r="J545" s="58"/>
      <c r="K545" s="58"/>
      <c r="L545" s="3"/>
    </row>
    <row r="546" spans="1:12" s="71" customFormat="1">
      <c r="A546" s="87"/>
      <c r="B546" s="30"/>
      <c r="C546" s="70"/>
      <c r="G546" s="30"/>
      <c r="H546" s="77"/>
      <c r="I546" s="77"/>
      <c r="J546" s="58"/>
      <c r="K546" s="58"/>
      <c r="L546" s="3"/>
    </row>
    <row r="547" spans="1:12" s="71" customFormat="1">
      <c r="A547" s="87"/>
      <c r="B547" s="30"/>
      <c r="C547" s="70"/>
      <c r="G547" s="30"/>
      <c r="H547" s="77"/>
      <c r="I547" s="77"/>
      <c r="J547" s="58"/>
      <c r="K547" s="58"/>
      <c r="L547" s="3"/>
    </row>
    <row r="548" spans="1:12" s="71" customFormat="1">
      <c r="A548" s="87"/>
      <c r="B548" s="30"/>
      <c r="C548" s="70"/>
      <c r="G548" s="30"/>
      <c r="H548" s="77"/>
      <c r="I548" s="77"/>
      <c r="J548" s="58"/>
      <c r="K548" s="58"/>
      <c r="L548" s="3"/>
    </row>
    <row r="549" spans="1:12" s="71" customFormat="1">
      <c r="A549" s="87"/>
      <c r="B549" s="30"/>
      <c r="C549" s="70"/>
      <c r="G549" s="30"/>
      <c r="H549" s="77"/>
      <c r="I549" s="77"/>
      <c r="J549" s="58"/>
      <c r="K549" s="58"/>
      <c r="L549" s="3"/>
    </row>
    <row r="550" spans="1:12" s="71" customFormat="1">
      <c r="A550" s="87"/>
      <c r="B550" s="30"/>
      <c r="C550" s="70"/>
      <c r="G550" s="30"/>
      <c r="H550" s="77"/>
      <c r="I550" s="77"/>
      <c r="J550" s="58"/>
      <c r="K550" s="58"/>
      <c r="L550" s="3"/>
    </row>
    <row r="551" spans="1:12" s="71" customFormat="1">
      <c r="A551" s="87"/>
      <c r="B551" s="30"/>
      <c r="C551" s="70"/>
      <c r="G551" s="30"/>
      <c r="H551" s="77"/>
      <c r="I551" s="77"/>
      <c r="J551" s="58"/>
      <c r="K551" s="58"/>
      <c r="L551" s="3"/>
    </row>
    <row r="552" spans="1:12" s="71" customFormat="1">
      <c r="A552" s="87"/>
      <c r="B552" s="30"/>
      <c r="C552" s="70"/>
      <c r="G552" s="30"/>
      <c r="H552" s="77"/>
      <c r="I552" s="77"/>
      <c r="J552" s="58"/>
      <c r="K552" s="58"/>
      <c r="L552" s="3"/>
    </row>
    <row r="553" spans="1:12" s="71" customFormat="1">
      <c r="A553" s="87"/>
      <c r="B553" s="30"/>
      <c r="C553" s="70"/>
      <c r="G553" s="30"/>
      <c r="H553" s="77"/>
      <c r="I553" s="77"/>
      <c r="J553" s="58"/>
      <c r="K553" s="58"/>
      <c r="L553" s="3"/>
    </row>
    <row r="554" spans="1:12" s="71" customFormat="1">
      <c r="A554" s="87"/>
      <c r="B554" s="30"/>
      <c r="C554" s="70"/>
      <c r="G554" s="30"/>
      <c r="H554" s="77"/>
      <c r="I554" s="77"/>
      <c r="J554" s="58"/>
      <c r="K554" s="58"/>
      <c r="L554" s="3"/>
    </row>
    <row r="555" spans="1:12" s="71" customFormat="1">
      <c r="A555" s="87"/>
      <c r="B555" s="30"/>
      <c r="C555" s="70"/>
      <c r="G555" s="30"/>
      <c r="H555" s="77"/>
      <c r="I555" s="77"/>
      <c r="J555" s="58"/>
      <c r="K555" s="58"/>
      <c r="L555" s="3"/>
    </row>
    <row r="556" spans="1:12" s="71" customFormat="1">
      <c r="A556" s="87"/>
      <c r="B556" s="30"/>
      <c r="C556" s="70"/>
      <c r="G556" s="30"/>
      <c r="H556" s="77"/>
      <c r="I556" s="77"/>
      <c r="J556" s="58"/>
      <c r="K556" s="58"/>
      <c r="L556" s="3"/>
    </row>
    <row r="557" spans="1:12" s="71" customFormat="1">
      <c r="A557" s="87"/>
      <c r="B557" s="30"/>
      <c r="C557" s="70"/>
      <c r="G557" s="30"/>
      <c r="H557" s="77"/>
      <c r="I557" s="77"/>
      <c r="J557" s="58"/>
      <c r="K557" s="58"/>
      <c r="L557" s="3"/>
    </row>
    <row r="558" spans="1:12" s="71" customFormat="1">
      <c r="A558" s="87"/>
      <c r="B558" s="30"/>
      <c r="C558" s="70"/>
      <c r="G558" s="30"/>
      <c r="H558" s="77"/>
      <c r="I558" s="77"/>
      <c r="J558" s="58"/>
      <c r="K558" s="58"/>
      <c r="L558" s="3"/>
    </row>
    <row r="559" spans="1:12" s="71" customFormat="1">
      <c r="A559" s="87"/>
      <c r="B559" s="30"/>
      <c r="C559" s="70"/>
      <c r="G559" s="30"/>
      <c r="H559" s="77"/>
      <c r="I559" s="77"/>
      <c r="J559" s="58"/>
      <c r="K559" s="58"/>
      <c r="L559" s="3"/>
    </row>
    <row r="560" spans="1:12" s="71" customFormat="1">
      <c r="A560" s="87"/>
      <c r="B560" s="30"/>
      <c r="C560" s="70"/>
      <c r="G560" s="30"/>
      <c r="H560" s="77"/>
      <c r="I560" s="77"/>
      <c r="J560" s="58"/>
      <c r="K560" s="58"/>
      <c r="L560" s="3"/>
    </row>
    <row r="561" spans="1:12" s="71" customFormat="1">
      <c r="A561" s="87"/>
      <c r="B561" s="30"/>
      <c r="C561" s="70"/>
      <c r="G561" s="30"/>
      <c r="H561" s="77"/>
      <c r="I561" s="77"/>
      <c r="J561" s="58"/>
      <c r="K561" s="58"/>
      <c r="L561" s="3"/>
    </row>
    <row r="562" spans="1:12" s="71" customFormat="1">
      <c r="A562" s="87"/>
      <c r="B562" s="30"/>
      <c r="C562" s="70"/>
      <c r="G562" s="30"/>
      <c r="H562" s="77"/>
      <c r="I562" s="77"/>
      <c r="J562" s="58"/>
      <c r="K562" s="58"/>
      <c r="L562" s="3"/>
    </row>
    <row r="563" spans="1:12" s="71" customFormat="1">
      <c r="A563" s="87"/>
      <c r="B563" s="30"/>
      <c r="C563" s="70"/>
      <c r="G563" s="30"/>
      <c r="H563" s="77"/>
      <c r="I563" s="77"/>
      <c r="J563" s="58"/>
      <c r="K563" s="58"/>
      <c r="L563" s="3"/>
    </row>
    <row r="564" spans="1:12" s="71" customFormat="1">
      <c r="A564" s="87"/>
      <c r="B564" s="30"/>
      <c r="C564" s="70"/>
      <c r="G564" s="30"/>
      <c r="H564" s="77"/>
      <c r="I564" s="77"/>
      <c r="J564" s="58"/>
      <c r="K564" s="58"/>
      <c r="L564" s="3"/>
    </row>
    <row r="565" spans="1:12" s="71" customFormat="1">
      <c r="A565" s="87"/>
      <c r="B565" s="30"/>
      <c r="C565" s="70"/>
      <c r="G565" s="30"/>
      <c r="H565" s="77"/>
      <c r="I565" s="77"/>
      <c r="J565" s="58"/>
      <c r="K565" s="58"/>
      <c r="L565" s="3"/>
    </row>
    <row r="566" spans="1:12" s="71" customFormat="1">
      <c r="A566" s="87"/>
      <c r="B566" s="30"/>
      <c r="C566" s="70"/>
      <c r="G566" s="30"/>
      <c r="H566" s="77"/>
      <c r="I566" s="77"/>
      <c r="J566" s="58"/>
      <c r="K566" s="58"/>
      <c r="L566" s="3"/>
    </row>
    <row r="567" spans="1:12" s="71" customFormat="1">
      <c r="A567" s="87"/>
      <c r="B567" s="30"/>
      <c r="C567" s="70"/>
      <c r="G567" s="30"/>
      <c r="H567" s="77"/>
      <c r="I567" s="77"/>
      <c r="J567" s="58"/>
      <c r="K567" s="58"/>
      <c r="L567" s="3"/>
    </row>
    <row r="568" spans="1:12" s="71" customFormat="1">
      <c r="A568" s="87"/>
      <c r="B568" s="30"/>
      <c r="C568" s="70"/>
      <c r="G568" s="30"/>
      <c r="H568" s="77"/>
      <c r="I568" s="77"/>
      <c r="J568" s="58"/>
      <c r="K568" s="58"/>
      <c r="L568" s="3"/>
    </row>
    <row r="569" spans="1:12" s="71" customFormat="1">
      <c r="A569" s="87"/>
      <c r="B569" s="30"/>
      <c r="C569" s="70"/>
      <c r="G569" s="30"/>
      <c r="H569" s="77"/>
      <c r="I569" s="77"/>
      <c r="J569" s="58"/>
      <c r="K569" s="58"/>
      <c r="L569" s="3"/>
    </row>
    <row r="570" spans="1:12" s="71" customFormat="1">
      <c r="A570" s="87"/>
      <c r="B570" s="30"/>
      <c r="C570" s="70"/>
      <c r="G570" s="30"/>
      <c r="H570" s="77"/>
      <c r="I570" s="77"/>
      <c r="J570" s="58"/>
      <c r="K570" s="58"/>
      <c r="L570" s="3"/>
    </row>
    <row r="571" spans="1:12" s="71" customFormat="1">
      <c r="A571" s="87"/>
      <c r="B571" s="30"/>
      <c r="C571" s="70"/>
      <c r="G571" s="30"/>
      <c r="H571" s="77"/>
      <c r="I571" s="77"/>
      <c r="J571" s="58"/>
      <c r="K571" s="58"/>
      <c r="L571" s="3"/>
    </row>
    <row r="572" spans="1:12" s="71" customFormat="1">
      <c r="A572" s="87"/>
      <c r="B572" s="30"/>
      <c r="C572" s="70"/>
      <c r="G572" s="30"/>
      <c r="H572" s="77"/>
      <c r="I572" s="77"/>
      <c r="J572" s="58"/>
      <c r="K572" s="58"/>
      <c r="L572" s="3"/>
    </row>
    <row r="573" spans="1:12" s="71" customFormat="1">
      <c r="A573" s="87"/>
      <c r="B573" s="30"/>
      <c r="C573" s="70"/>
      <c r="G573" s="30"/>
      <c r="H573" s="77"/>
      <c r="I573" s="77"/>
      <c r="J573" s="58"/>
      <c r="K573" s="58"/>
      <c r="L573" s="3"/>
    </row>
    <row r="574" spans="1:12" s="71" customFormat="1">
      <c r="A574" s="87"/>
      <c r="B574" s="30"/>
      <c r="C574" s="70"/>
      <c r="G574" s="30"/>
      <c r="H574" s="77"/>
      <c r="I574" s="77"/>
      <c r="J574" s="58"/>
      <c r="K574" s="58"/>
      <c r="L574" s="3"/>
    </row>
    <row r="575" spans="1:12" s="71" customFormat="1">
      <c r="A575" s="87"/>
      <c r="B575" s="30"/>
      <c r="C575" s="70"/>
      <c r="G575" s="30"/>
      <c r="H575" s="77"/>
      <c r="I575" s="77"/>
      <c r="J575" s="58"/>
      <c r="K575" s="58"/>
      <c r="L575" s="3"/>
    </row>
    <row r="576" spans="1:12" s="71" customFormat="1">
      <c r="A576" s="87"/>
      <c r="B576" s="30"/>
      <c r="C576" s="70"/>
      <c r="G576" s="30"/>
      <c r="H576" s="77"/>
      <c r="I576" s="77"/>
      <c r="J576" s="58"/>
      <c r="K576" s="58"/>
      <c r="L576" s="3"/>
    </row>
    <row r="577" spans="1:12" s="71" customFormat="1">
      <c r="A577" s="87"/>
      <c r="B577" s="30"/>
      <c r="C577" s="70"/>
      <c r="G577" s="30"/>
      <c r="H577" s="77"/>
      <c r="I577" s="77"/>
      <c r="J577" s="58"/>
      <c r="K577" s="58"/>
      <c r="L577" s="3"/>
    </row>
    <row r="578" spans="1:12" s="71" customFormat="1">
      <c r="A578" s="87"/>
      <c r="B578" s="30"/>
      <c r="C578" s="70"/>
      <c r="G578" s="30"/>
      <c r="H578" s="77"/>
      <c r="I578" s="77"/>
      <c r="J578" s="58"/>
      <c r="K578" s="58"/>
      <c r="L578" s="3"/>
    </row>
    <row r="579" spans="1:12" s="71" customFormat="1">
      <c r="A579" s="87"/>
      <c r="B579" s="30"/>
      <c r="C579" s="70"/>
      <c r="G579" s="30"/>
      <c r="H579" s="77"/>
      <c r="I579" s="77"/>
      <c r="J579" s="58"/>
      <c r="K579" s="58"/>
      <c r="L579" s="3"/>
    </row>
    <row r="580" spans="1:12" s="71" customFormat="1">
      <c r="A580" s="87"/>
      <c r="B580" s="30"/>
      <c r="C580" s="70"/>
      <c r="G580" s="30"/>
      <c r="H580" s="77"/>
      <c r="I580" s="77"/>
      <c r="J580" s="58"/>
      <c r="K580" s="58"/>
      <c r="L580" s="3"/>
    </row>
    <row r="581" spans="1:12" s="71" customFormat="1">
      <c r="A581" s="87"/>
      <c r="B581" s="30"/>
      <c r="C581" s="70"/>
      <c r="G581" s="30"/>
      <c r="H581" s="77"/>
      <c r="I581" s="77"/>
      <c r="J581" s="58"/>
      <c r="K581" s="58"/>
      <c r="L581" s="3"/>
    </row>
    <row r="582" spans="1:12" s="71" customFormat="1">
      <c r="A582" s="87"/>
      <c r="B582" s="30"/>
      <c r="C582" s="70"/>
      <c r="G582" s="30"/>
      <c r="H582" s="77"/>
      <c r="I582" s="77"/>
      <c r="J582" s="58"/>
      <c r="K582" s="58"/>
      <c r="L582" s="3"/>
    </row>
    <row r="583" spans="1:12" s="71" customFormat="1">
      <c r="A583" s="87"/>
      <c r="B583" s="30"/>
      <c r="C583" s="70"/>
      <c r="G583" s="30"/>
      <c r="H583" s="77"/>
      <c r="I583" s="77"/>
      <c r="J583" s="58"/>
      <c r="K583" s="58"/>
      <c r="L583" s="3"/>
    </row>
    <row r="584" spans="1:12" s="71" customFormat="1">
      <c r="A584" s="87"/>
      <c r="B584" s="30"/>
      <c r="C584" s="70"/>
      <c r="G584" s="30"/>
      <c r="H584" s="77"/>
      <c r="I584" s="77"/>
      <c r="J584" s="58"/>
      <c r="K584" s="58"/>
      <c r="L584" s="3"/>
    </row>
    <row r="585" spans="1:12" s="71" customFormat="1">
      <c r="A585" s="87"/>
      <c r="B585" s="30"/>
      <c r="C585" s="70"/>
      <c r="G585" s="30"/>
      <c r="H585" s="77"/>
      <c r="I585" s="77"/>
      <c r="J585" s="58"/>
      <c r="K585" s="58"/>
      <c r="L585" s="3"/>
    </row>
    <row r="586" spans="1:12" s="71" customFormat="1">
      <c r="A586" s="87"/>
      <c r="B586" s="30"/>
      <c r="C586" s="70"/>
      <c r="G586" s="30"/>
      <c r="H586" s="77"/>
      <c r="I586" s="77"/>
      <c r="J586" s="58"/>
      <c r="K586" s="58"/>
      <c r="L586" s="3"/>
    </row>
    <row r="587" spans="1:12" s="71" customFormat="1">
      <c r="A587" s="87"/>
      <c r="B587" s="30"/>
      <c r="C587" s="70"/>
      <c r="G587" s="30"/>
      <c r="H587" s="77"/>
      <c r="I587" s="77"/>
      <c r="J587" s="58"/>
      <c r="K587" s="58"/>
      <c r="L587" s="3"/>
    </row>
    <row r="588" spans="1:12" s="71" customFormat="1">
      <c r="A588" s="87"/>
      <c r="B588" s="30"/>
      <c r="C588" s="70"/>
      <c r="G588" s="30"/>
      <c r="H588" s="77"/>
      <c r="I588" s="77"/>
      <c r="J588" s="58"/>
      <c r="K588" s="58"/>
      <c r="L588" s="3"/>
    </row>
    <row r="589" spans="1:12" s="71" customFormat="1">
      <c r="A589" s="87"/>
      <c r="B589" s="30"/>
      <c r="C589" s="70"/>
      <c r="G589" s="30"/>
      <c r="H589" s="77"/>
      <c r="I589" s="77"/>
      <c r="J589" s="58"/>
      <c r="K589" s="58"/>
      <c r="L589" s="3"/>
    </row>
    <row r="590" spans="1:12" s="71" customFormat="1">
      <c r="A590" s="87"/>
      <c r="B590" s="30"/>
      <c r="C590" s="70"/>
      <c r="G590" s="30"/>
      <c r="H590" s="77"/>
      <c r="I590" s="77"/>
      <c r="J590" s="58"/>
      <c r="K590" s="58"/>
      <c r="L590" s="3"/>
    </row>
    <row r="591" spans="1:12" s="71" customFormat="1">
      <c r="A591" s="87"/>
      <c r="B591" s="30"/>
      <c r="C591" s="70"/>
      <c r="G591" s="30"/>
      <c r="H591" s="77"/>
      <c r="I591" s="77"/>
      <c r="J591" s="58"/>
      <c r="K591" s="58"/>
      <c r="L591" s="3"/>
    </row>
    <row r="592" spans="1:12" s="71" customFormat="1">
      <c r="A592" s="87"/>
      <c r="B592" s="30"/>
      <c r="C592" s="70"/>
      <c r="G592" s="30"/>
      <c r="H592" s="77"/>
      <c r="I592" s="77"/>
      <c r="J592" s="58"/>
      <c r="K592" s="58"/>
      <c r="L592" s="3"/>
    </row>
    <row r="593" spans="1:12" s="71" customFormat="1">
      <c r="A593" s="87"/>
      <c r="B593" s="30"/>
      <c r="C593" s="70"/>
      <c r="G593" s="30"/>
      <c r="H593" s="77"/>
      <c r="I593" s="77"/>
      <c r="J593" s="58"/>
      <c r="K593" s="58"/>
      <c r="L593" s="3"/>
    </row>
    <row r="594" spans="1:12" s="71" customFormat="1">
      <c r="A594" s="87"/>
      <c r="B594" s="30"/>
      <c r="C594" s="70"/>
      <c r="G594" s="30"/>
      <c r="H594" s="77"/>
      <c r="I594" s="77"/>
      <c r="J594" s="58"/>
      <c r="K594" s="58"/>
      <c r="L594" s="3"/>
    </row>
    <row r="595" spans="1:12" s="71" customFormat="1">
      <c r="A595" s="87"/>
      <c r="B595" s="30"/>
      <c r="C595" s="70"/>
      <c r="G595" s="30"/>
      <c r="H595" s="77"/>
      <c r="I595" s="77"/>
      <c r="J595" s="58"/>
      <c r="K595" s="58"/>
      <c r="L595" s="3"/>
    </row>
    <row r="596" spans="1:12" s="71" customFormat="1">
      <c r="A596" s="87"/>
      <c r="B596" s="30"/>
      <c r="C596" s="70"/>
      <c r="G596" s="30"/>
      <c r="H596" s="77"/>
      <c r="I596" s="77"/>
      <c r="J596" s="58"/>
      <c r="K596" s="58"/>
      <c r="L596" s="3"/>
    </row>
    <row r="597" spans="1:12" s="71" customFormat="1">
      <c r="A597" s="87"/>
      <c r="B597" s="30"/>
      <c r="C597" s="70"/>
      <c r="G597" s="30"/>
      <c r="H597" s="77"/>
      <c r="I597" s="77"/>
      <c r="J597" s="58"/>
      <c r="K597" s="58"/>
      <c r="L597" s="3"/>
    </row>
    <row r="598" spans="1:12" s="71" customFormat="1">
      <c r="A598" s="87"/>
      <c r="B598" s="30"/>
      <c r="C598" s="70"/>
      <c r="G598" s="30"/>
      <c r="H598" s="77"/>
      <c r="I598" s="77"/>
      <c r="J598" s="58"/>
      <c r="K598" s="58"/>
      <c r="L598" s="3"/>
    </row>
    <row r="599" spans="1:12" s="71" customFormat="1">
      <c r="A599" s="87"/>
      <c r="B599" s="30"/>
      <c r="C599" s="70"/>
      <c r="G599" s="30"/>
      <c r="H599" s="77"/>
      <c r="I599" s="77"/>
      <c r="J599" s="58"/>
      <c r="K599" s="58"/>
      <c r="L599" s="3"/>
    </row>
    <row r="600" spans="1:12" s="71" customFormat="1">
      <c r="A600" s="87"/>
      <c r="B600" s="30"/>
      <c r="C600" s="70"/>
      <c r="G600" s="30"/>
      <c r="H600" s="77"/>
      <c r="I600" s="77"/>
      <c r="J600" s="58"/>
      <c r="K600" s="58"/>
      <c r="L600" s="3"/>
    </row>
    <row r="601" spans="1:12" s="71" customFormat="1">
      <c r="A601" s="87"/>
      <c r="B601" s="30"/>
      <c r="C601" s="70"/>
      <c r="G601" s="30"/>
      <c r="H601" s="77"/>
      <c r="I601" s="77"/>
      <c r="J601" s="58"/>
      <c r="K601" s="58"/>
      <c r="L601" s="3"/>
    </row>
    <row r="602" spans="1:12" s="71" customFormat="1">
      <c r="A602" s="87"/>
      <c r="B602" s="30"/>
      <c r="C602" s="70"/>
      <c r="G602" s="30"/>
      <c r="H602" s="77"/>
      <c r="I602" s="77"/>
      <c r="J602" s="58"/>
      <c r="K602" s="58"/>
      <c r="L602" s="3"/>
    </row>
    <row r="603" spans="1:12" s="71" customFormat="1">
      <c r="A603" s="87"/>
      <c r="B603" s="30"/>
      <c r="C603" s="70"/>
      <c r="G603" s="30"/>
      <c r="H603" s="77"/>
      <c r="I603" s="77"/>
      <c r="J603" s="58"/>
      <c r="K603" s="58"/>
      <c r="L603" s="3"/>
    </row>
    <row r="604" spans="1:12" s="71" customFormat="1">
      <c r="A604" s="87"/>
      <c r="B604" s="30"/>
      <c r="C604" s="70"/>
      <c r="G604" s="30"/>
      <c r="H604" s="77"/>
      <c r="I604" s="77"/>
      <c r="J604" s="58"/>
      <c r="K604" s="58"/>
      <c r="L604" s="3"/>
    </row>
    <row r="605" spans="1:12" s="71" customFormat="1">
      <c r="A605" s="87"/>
      <c r="B605" s="30"/>
      <c r="C605" s="70"/>
      <c r="G605" s="30"/>
      <c r="H605" s="77"/>
      <c r="I605" s="77"/>
      <c r="J605" s="58"/>
      <c r="K605" s="58"/>
      <c r="L605" s="3"/>
    </row>
    <row r="606" spans="1:12" s="71" customFormat="1">
      <c r="A606" s="87"/>
      <c r="B606" s="30"/>
      <c r="C606" s="70"/>
      <c r="G606" s="30"/>
      <c r="H606" s="77"/>
      <c r="I606" s="77"/>
      <c r="J606" s="58"/>
      <c r="K606" s="58"/>
      <c r="L606" s="3"/>
    </row>
    <row r="607" spans="1:12" s="71" customFormat="1">
      <c r="A607" s="87"/>
      <c r="B607" s="30"/>
      <c r="C607" s="70"/>
      <c r="G607" s="30"/>
      <c r="H607" s="77"/>
      <c r="I607" s="77"/>
      <c r="J607" s="58"/>
      <c r="K607" s="58"/>
      <c r="L607" s="3"/>
    </row>
    <row r="608" spans="1:12" s="71" customFormat="1">
      <c r="A608" s="87"/>
      <c r="B608" s="30"/>
      <c r="C608" s="70"/>
      <c r="G608" s="30"/>
      <c r="H608" s="77"/>
      <c r="I608" s="77"/>
      <c r="J608" s="58"/>
      <c r="K608" s="58"/>
      <c r="L608" s="3"/>
    </row>
    <row r="609" spans="1:12" s="71" customFormat="1">
      <c r="A609" s="87"/>
      <c r="B609" s="30"/>
      <c r="C609" s="70"/>
      <c r="G609" s="30"/>
      <c r="H609" s="77"/>
      <c r="I609" s="77"/>
      <c r="J609" s="58"/>
      <c r="K609" s="58"/>
      <c r="L609" s="3"/>
    </row>
    <row r="610" spans="1:12" s="71" customFormat="1">
      <c r="A610" s="87"/>
      <c r="B610" s="30"/>
      <c r="C610" s="70"/>
      <c r="G610" s="30"/>
      <c r="H610" s="77"/>
      <c r="I610" s="77"/>
      <c r="J610" s="58"/>
      <c r="K610" s="58"/>
      <c r="L610" s="3"/>
    </row>
    <row r="611" spans="1:12" s="71" customFormat="1">
      <c r="A611" s="87"/>
      <c r="B611" s="30"/>
      <c r="C611" s="70"/>
      <c r="G611" s="30"/>
      <c r="H611" s="77"/>
      <c r="I611" s="77"/>
      <c r="J611" s="58"/>
      <c r="K611" s="58"/>
      <c r="L611" s="3"/>
    </row>
    <row r="612" spans="1:12" s="71" customFormat="1">
      <c r="A612" s="87"/>
      <c r="B612" s="30"/>
      <c r="C612" s="70"/>
      <c r="G612" s="30"/>
      <c r="H612" s="77"/>
      <c r="I612" s="77"/>
      <c r="J612" s="58"/>
      <c r="K612" s="58"/>
      <c r="L612" s="3"/>
    </row>
    <row r="613" spans="1:12" s="71" customFormat="1">
      <c r="A613" s="87"/>
      <c r="B613" s="30"/>
      <c r="C613" s="70"/>
      <c r="G613" s="30"/>
      <c r="H613" s="77"/>
      <c r="I613" s="77"/>
      <c r="J613" s="58"/>
      <c r="K613" s="58"/>
      <c r="L613" s="3"/>
    </row>
    <row r="614" spans="1:12" s="71" customFormat="1">
      <c r="A614" s="87"/>
      <c r="B614" s="30"/>
      <c r="C614" s="70"/>
      <c r="G614" s="30"/>
      <c r="H614" s="77"/>
      <c r="I614" s="77"/>
      <c r="J614" s="58"/>
      <c r="K614" s="58"/>
      <c r="L614" s="3"/>
    </row>
    <row r="615" spans="1:12" s="71" customFormat="1">
      <c r="A615" s="87"/>
      <c r="B615" s="30"/>
      <c r="C615" s="70"/>
      <c r="G615" s="30"/>
      <c r="H615" s="77"/>
      <c r="I615" s="77"/>
      <c r="J615" s="58"/>
      <c r="K615" s="58"/>
      <c r="L615" s="3"/>
    </row>
    <row r="616" spans="1:12" s="71" customFormat="1">
      <c r="A616" s="87"/>
      <c r="B616" s="30"/>
      <c r="C616" s="70"/>
      <c r="G616" s="30"/>
      <c r="H616" s="77"/>
      <c r="I616" s="77"/>
      <c r="J616" s="58"/>
      <c r="K616" s="58"/>
      <c r="L616" s="3"/>
    </row>
    <row r="617" spans="1:12" s="71" customFormat="1">
      <c r="A617" s="87"/>
      <c r="B617" s="30"/>
      <c r="C617" s="70"/>
      <c r="G617" s="30"/>
      <c r="H617" s="77"/>
      <c r="I617" s="77"/>
      <c r="J617" s="58"/>
      <c r="K617" s="58"/>
      <c r="L617" s="3"/>
    </row>
    <row r="618" spans="1:12" s="71" customFormat="1">
      <c r="A618" s="87"/>
      <c r="B618" s="30"/>
      <c r="C618" s="70"/>
      <c r="G618" s="30"/>
      <c r="H618" s="77"/>
      <c r="I618" s="77"/>
      <c r="J618" s="58"/>
      <c r="K618" s="58"/>
      <c r="L618" s="3"/>
    </row>
    <row r="619" spans="1:12" s="71" customFormat="1">
      <c r="A619" s="87"/>
      <c r="B619" s="30"/>
      <c r="C619" s="70"/>
      <c r="G619" s="30"/>
      <c r="H619" s="77"/>
      <c r="I619" s="77"/>
      <c r="J619" s="58"/>
      <c r="K619" s="58"/>
      <c r="L619" s="3"/>
    </row>
    <row r="620" spans="1:12" s="71" customFormat="1">
      <c r="A620" s="87"/>
      <c r="B620" s="30"/>
      <c r="C620" s="70"/>
      <c r="G620" s="30"/>
      <c r="H620" s="77"/>
      <c r="I620" s="77"/>
      <c r="J620" s="58"/>
      <c r="K620" s="58"/>
      <c r="L620" s="3"/>
    </row>
    <row r="621" spans="1:12" s="71" customFormat="1">
      <c r="A621" s="87"/>
      <c r="B621" s="30"/>
      <c r="C621" s="70"/>
      <c r="G621" s="30"/>
      <c r="H621" s="77"/>
      <c r="I621" s="77"/>
      <c r="J621" s="58"/>
      <c r="K621" s="58"/>
      <c r="L621" s="3"/>
    </row>
    <row r="622" spans="1:12" s="71" customFormat="1">
      <c r="A622" s="87"/>
      <c r="B622" s="30"/>
      <c r="C622" s="70"/>
      <c r="G622" s="30"/>
      <c r="H622" s="77"/>
      <c r="I622" s="77"/>
      <c r="J622" s="58"/>
      <c r="K622" s="58"/>
      <c r="L622" s="3"/>
    </row>
    <row r="623" spans="1:12" s="71" customFormat="1">
      <c r="A623" s="87"/>
      <c r="B623" s="30"/>
      <c r="C623" s="70"/>
      <c r="G623" s="30"/>
      <c r="H623" s="77"/>
      <c r="I623" s="77"/>
      <c r="J623" s="58"/>
      <c r="K623" s="58"/>
      <c r="L623" s="3"/>
    </row>
    <row r="624" spans="1:12" s="71" customFormat="1">
      <c r="A624" s="87"/>
      <c r="B624" s="30"/>
      <c r="C624" s="70"/>
      <c r="G624" s="30"/>
      <c r="H624" s="77"/>
      <c r="I624" s="77"/>
      <c r="J624" s="58"/>
      <c r="K624" s="58"/>
      <c r="L624" s="3"/>
    </row>
    <row r="625" spans="1:12" s="71" customFormat="1">
      <c r="A625" s="87"/>
      <c r="B625" s="30"/>
      <c r="C625" s="70"/>
      <c r="G625" s="30"/>
      <c r="H625" s="77"/>
      <c r="I625" s="77"/>
      <c r="J625" s="58"/>
      <c r="K625" s="58"/>
      <c r="L625" s="3"/>
    </row>
    <row r="626" spans="1:12" s="71" customFormat="1">
      <c r="A626" s="87"/>
      <c r="B626" s="30"/>
      <c r="C626" s="70"/>
      <c r="G626" s="30"/>
      <c r="H626" s="77"/>
      <c r="I626" s="77"/>
      <c r="J626" s="58"/>
      <c r="K626" s="58"/>
      <c r="L626" s="3"/>
    </row>
    <row r="627" spans="1:12" s="71" customFormat="1">
      <c r="A627" s="87"/>
      <c r="B627" s="30"/>
      <c r="C627" s="70"/>
      <c r="G627" s="30"/>
      <c r="H627" s="77"/>
      <c r="I627" s="77"/>
      <c r="J627" s="58"/>
      <c r="K627" s="58"/>
      <c r="L627" s="3"/>
    </row>
    <row r="628" spans="1:12" s="71" customFormat="1">
      <c r="A628" s="87"/>
      <c r="B628" s="30"/>
      <c r="C628" s="70"/>
      <c r="G628" s="30"/>
      <c r="H628" s="77"/>
      <c r="I628" s="77"/>
      <c r="J628" s="58"/>
      <c r="K628" s="58"/>
      <c r="L628" s="3"/>
    </row>
    <row r="629" spans="1:12" s="71" customFormat="1">
      <c r="A629" s="87"/>
      <c r="B629" s="30"/>
      <c r="C629" s="70"/>
      <c r="G629" s="30"/>
      <c r="H629" s="77"/>
      <c r="I629" s="77"/>
      <c r="J629" s="58"/>
      <c r="K629" s="58"/>
      <c r="L629" s="3"/>
    </row>
    <row r="630" spans="1:12" s="71" customFormat="1">
      <c r="A630" s="87"/>
      <c r="B630" s="30"/>
      <c r="C630" s="70"/>
      <c r="G630" s="30"/>
      <c r="H630" s="77"/>
      <c r="I630" s="77"/>
      <c r="J630" s="58"/>
      <c r="K630" s="58"/>
      <c r="L630" s="3"/>
    </row>
    <row r="631" spans="1:12" s="71" customFormat="1">
      <c r="A631" s="87"/>
      <c r="B631" s="30"/>
      <c r="C631" s="70"/>
      <c r="G631" s="30"/>
      <c r="H631" s="77"/>
      <c r="I631" s="77"/>
      <c r="J631" s="58"/>
      <c r="K631" s="58"/>
      <c r="L631" s="3"/>
    </row>
    <row r="632" spans="1:12" s="71" customFormat="1">
      <c r="A632" s="87"/>
      <c r="B632" s="30"/>
      <c r="C632" s="70"/>
      <c r="G632" s="30"/>
      <c r="H632" s="77"/>
      <c r="I632" s="77"/>
      <c r="J632" s="58"/>
      <c r="K632" s="58"/>
      <c r="L632" s="3"/>
    </row>
    <row r="633" spans="1:12" s="71" customFormat="1">
      <c r="A633" s="87"/>
      <c r="B633" s="30"/>
      <c r="C633" s="70"/>
      <c r="G633" s="30"/>
      <c r="H633" s="77"/>
      <c r="I633" s="77"/>
      <c r="J633" s="58"/>
      <c r="K633" s="58"/>
      <c r="L633" s="3"/>
    </row>
    <row r="634" spans="1:12" s="71" customFormat="1">
      <c r="A634" s="87"/>
      <c r="B634" s="30"/>
      <c r="C634" s="70"/>
      <c r="G634" s="30"/>
      <c r="H634" s="77"/>
      <c r="I634" s="77"/>
      <c r="J634" s="58"/>
      <c r="K634" s="58"/>
      <c r="L634" s="3"/>
    </row>
    <row r="635" spans="1:12" s="71" customFormat="1">
      <c r="A635" s="87"/>
      <c r="B635" s="30"/>
      <c r="C635" s="70"/>
      <c r="G635" s="30"/>
      <c r="H635" s="77"/>
      <c r="I635" s="77"/>
      <c r="J635" s="58"/>
      <c r="K635" s="58"/>
      <c r="L635" s="3"/>
    </row>
    <row r="636" spans="1:12" s="71" customFormat="1">
      <c r="A636" s="87"/>
      <c r="B636" s="30"/>
      <c r="C636" s="70"/>
      <c r="G636" s="30"/>
      <c r="H636" s="77"/>
      <c r="I636" s="77"/>
      <c r="J636" s="58"/>
      <c r="K636" s="58"/>
      <c r="L636" s="3"/>
    </row>
    <row r="637" spans="1:12" s="71" customFormat="1">
      <c r="A637" s="87"/>
      <c r="B637" s="30"/>
      <c r="C637" s="70"/>
      <c r="G637" s="30"/>
      <c r="H637" s="77"/>
      <c r="I637" s="77"/>
      <c r="J637" s="58"/>
      <c r="K637" s="58"/>
      <c r="L637" s="3"/>
    </row>
    <row r="638" spans="1:12" s="71" customFormat="1">
      <c r="A638" s="87"/>
      <c r="B638" s="30"/>
      <c r="C638" s="70"/>
      <c r="G638" s="30"/>
      <c r="H638" s="77"/>
      <c r="I638" s="77"/>
      <c r="J638" s="58"/>
      <c r="K638" s="58"/>
      <c r="L638" s="3"/>
    </row>
    <row r="639" spans="1:12" s="71" customFormat="1">
      <c r="A639" s="87"/>
      <c r="B639" s="30"/>
      <c r="C639" s="70"/>
      <c r="G639" s="30"/>
      <c r="H639" s="77"/>
      <c r="I639" s="77"/>
      <c r="J639" s="58"/>
      <c r="K639" s="58"/>
      <c r="L639" s="3"/>
    </row>
    <row r="640" spans="1:12" s="71" customFormat="1">
      <c r="A640" s="87"/>
      <c r="B640" s="30"/>
      <c r="C640" s="70"/>
      <c r="G640" s="30"/>
      <c r="H640" s="77"/>
      <c r="I640" s="77"/>
      <c r="J640" s="58"/>
      <c r="K640" s="58"/>
      <c r="L640" s="3"/>
    </row>
    <row r="641" spans="1:12" s="71" customFormat="1">
      <c r="A641" s="87"/>
      <c r="B641" s="30"/>
      <c r="C641" s="70"/>
      <c r="G641" s="30"/>
      <c r="H641" s="77"/>
      <c r="I641" s="77"/>
      <c r="J641" s="58"/>
      <c r="K641" s="58"/>
      <c r="L641" s="3"/>
    </row>
    <row r="642" spans="1:12" s="71" customFormat="1">
      <c r="A642" s="87"/>
      <c r="B642" s="30"/>
      <c r="C642" s="70"/>
      <c r="G642" s="30"/>
      <c r="H642" s="77"/>
      <c r="I642" s="77"/>
      <c r="J642" s="58"/>
      <c r="K642" s="58"/>
      <c r="L642" s="3"/>
    </row>
    <row r="643" spans="1:12" s="71" customFormat="1">
      <c r="A643" s="87"/>
      <c r="B643" s="30"/>
      <c r="C643" s="70"/>
      <c r="G643" s="30"/>
      <c r="H643" s="77"/>
      <c r="I643" s="77"/>
      <c r="J643" s="58"/>
      <c r="K643" s="58"/>
      <c r="L643" s="3"/>
    </row>
    <row r="644" spans="1:12" s="71" customFormat="1">
      <c r="A644" s="87"/>
      <c r="B644" s="30"/>
      <c r="C644" s="70"/>
      <c r="G644" s="30"/>
      <c r="H644" s="77"/>
      <c r="I644" s="77"/>
      <c r="J644" s="58"/>
      <c r="K644" s="58"/>
      <c r="L644" s="3"/>
    </row>
    <row r="645" spans="1:12" s="71" customFormat="1">
      <c r="A645" s="87"/>
      <c r="B645" s="30"/>
      <c r="C645" s="70"/>
      <c r="G645" s="30"/>
      <c r="H645" s="77"/>
      <c r="I645" s="77"/>
      <c r="J645" s="58"/>
      <c r="K645" s="58"/>
      <c r="L645" s="3"/>
    </row>
    <row r="646" spans="1:12" s="71" customFormat="1">
      <c r="A646" s="87"/>
      <c r="B646" s="30"/>
      <c r="C646" s="70"/>
      <c r="G646" s="30"/>
      <c r="H646" s="77"/>
      <c r="I646" s="77"/>
      <c r="J646" s="58"/>
      <c r="K646" s="58"/>
      <c r="L646" s="3"/>
    </row>
    <row r="647" spans="1:12" s="71" customFormat="1">
      <c r="A647" s="87"/>
      <c r="B647" s="30"/>
      <c r="C647" s="70"/>
      <c r="G647" s="30"/>
      <c r="H647" s="77"/>
      <c r="I647" s="77"/>
      <c r="J647" s="58"/>
      <c r="K647" s="58"/>
      <c r="L647" s="3"/>
    </row>
    <row r="648" spans="1:12" s="71" customFormat="1">
      <c r="A648" s="87"/>
      <c r="B648" s="30"/>
      <c r="C648" s="70"/>
      <c r="G648" s="30"/>
      <c r="H648" s="77"/>
      <c r="I648" s="77"/>
      <c r="J648" s="58"/>
      <c r="K648" s="58"/>
      <c r="L648" s="3"/>
    </row>
    <row r="649" spans="1:12" s="71" customFormat="1">
      <c r="A649" s="87"/>
      <c r="B649" s="30"/>
      <c r="C649" s="70"/>
      <c r="G649" s="30"/>
      <c r="H649" s="77"/>
      <c r="I649" s="77"/>
      <c r="J649" s="58"/>
      <c r="K649" s="58"/>
      <c r="L649" s="3"/>
    </row>
    <row r="650" spans="1:12" s="71" customFormat="1">
      <c r="A650" s="87"/>
      <c r="B650" s="30"/>
      <c r="C650" s="70"/>
      <c r="G650" s="30"/>
      <c r="H650" s="77"/>
      <c r="I650" s="77"/>
      <c r="J650" s="58"/>
      <c r="K650" s="58"/>
      <c r="L650" s="3"/>
    </row>
    <row r="651" spans="1:12" s="71" customFormat="1">
      <c r="A651" s="87"/>
      <c r="B651" s="30"/>
      <c r="C651" s="70"/>
      <c r="G651" s="30"/>
      <c r="H651" s="77"/>
      <c r="I651" s="77"/>
      <c r="J651" s="58"/>
      <c r="K651" s="58"/>
      <c r="L651" s="3"/>
    </row>
    <row r="652" spans="1:12" s="71" customFormat="1">
      <c r="A652" s="87"/>
      <c r="B652" s="30"/>
      <c r="C652" s="70"/>
      <c r="G652" s="30"/>
      <c r="H652" s="77"/>
      <c r="I652" s="77"/>
      <c r="J652" s="58"/>
      <c r="K652" s="58"/>
      <c r="L652" s="3"/>
    </row>
    <row r="653" spans="1:12" s="71" customFormat="1">
      <c r="A653" s="87"/>
      <c r="B653" s="30"/>
      <c r="C653" s="70"/>
      <c r="G653" s="30"/>
      <c r="H653" s="77"/>
      <c r="I653" s="77"/>
      <c r="J653" s="58"/>
      <c r="K653" s="58"/>
      <c r="L653" s="3"/>
    </row>
    <row r="654" spans="1:12" s="71" customFormat="1">
      <c r="A654" s="87"/>
      <c r="B654" s="30"/>
      <c r="C654" s="70"/>
      <c r="G654" s="30"/>
      <c r="H654" s="77"/>
      <c r="I654" s="77"/>
      <c r="J654" s="58"/>
      <c r="K654" s="58"/>
      <c r="L654" s="3"/>
    </row>
    <row r="655" spans="1:12" s="71" customFormat="1">
      <c r="A655" s="87"/>
      <c r="B655" s="30"/>
      <c r="C655" s="70"/>
      <c r="G655" s="30"/>
      <c r="H655" s="77"/>
      <c r="I655" s="77"/>
      <c r="J655" s="58"/>
      <c r="K655" s="58"/>
      <c r="L655" s="3"/>
    </row>
    <row r="656" spans="1:12" s="71" customFormat="1">
      <c r="A656" s="87"/>
      <c r="B656" s="30"/>
      <c r="C656" s="70"/>
      <c r="G656" s="30"/>
      <c r="H656" s="77"/>
      <c r="I656" s="77"/>
      <c r="J656" s="58"/>
      <c r="K656" s="58"/>
      <c r="L656" s="3"/>
    </row>
    <row r="657" spans="1:12" s="71" customFormat="1">
      <c r="A657" s="87"/>
      <c r="B657" s="30"/>
      <c r="C657" s="70"/>
      <c r="G657" s="30"/>
      <c r="H657" s="77"/>
      <c r="I657" s="77"/>
      <c r="J657" s="58"/>
      <c r="K657" s="58"/>
      <c r="L657" s="3"/>
    </row>
    <row r="658" spans="1:12" s="71" customFormat="1">
      <c r="A658" s="87"/>
      <c r="B658" s="30"/>
      <c r="C658" s="70"/>
      <c r="G658" s="30"/>
      <c r="H658" s="77"/>
      <c r="I658" s="77"/>
      <c r="J658" s="58"/>
      <c r="K658" s="58"/>
      <c r="L658" s="3"/>
    </row>
    <row r="659" spans="1:12" s="71" customFormat="1">
      <c r="A659" s="87"/>
      <c r="B659" s="30"/>
      <c r="C659" s="70"/>
      <c r="G659" s="30"/>
      <c r="H659" s="77"/>
      <c r="I659" s="77"/>
      <c r="J659" s="58"/>
      <c r="K659" s="58"/>
      <c r="L659" s="3"/>
    </row>
    <row r="660" spans="1:12" s="71" customFormat="1">
      <c r="A660" s="87"/>
      <c r="B660" s="30"/>
      <c r="C660" s="70"/>
      <c r="G660" s="30"/>
      <c r="H660" s="77"/>
      <c r="I660" s="77"/>
      <c r="J660" s="58"/>
      <c r="K660" s="58"/>
      <c r="L660" s="3"/>
    </row>
    <row r="661" spans="1:12" s="71" customFormat="1">
      <c r="A661" s="87"/>
      <c r="B661" s="30"/>
      <c r="C661" s="70"/>
      <c r="G661" s="30"/>
      <c r="H661" s="77"/>
      <c r="I661" s="77"/>
      <c r="J661" s="58"/>
      <c r="K661" s="58"/>
      <c r="L661" s="3"/>
    </row>
    <row r="662" spans="1:12" s="71" customFormat="1">
      <c r="A662" s="87"/>
      <c r="B662" s="30"/>
      <c r="C662" s="70"/>
      <c r="G662" s="30"/>
      <c r="H662" s="77"/>
      <c r="I662" s="77"/>
      <c r="J662" s="58"/>
      <c r="K662" s="58"/>
      <c r="L662" s="3"/>
    </row>
    <row r="663" spans="1:12" s="71" customFormat="1">
      <c r="A663" s="87"/>
      <c r="B663" s="30"/>
      <c r="C663" s="70"/>
      <c r="G663" s="30"/>
      <c r="H663" s="77"/>
      <c r="I663" s="77"/>
      <c r="J663" s="58"/>
      <c r="K663" s="58"/>
      <c r="L663" s="3"/>
    </row>
    <row r="664" spans="1:12" s="71" customFormat="1">
      <c r="A664" s="87"/>
      <c r="B664" s="30"/>
      <c r="C664" s="70"/>
      <c r="G664" s="30"/>
      <c r="H664" s="77"/>
      <c r="I664" s="77"/>
      <c r="J664" s="58"/>
      <c r="K664" s="58"/>
      <c r="L664" s="3"/>
    </row>
    <row r="665" spans="1:12" s="71" customFormat="1">
      <c r="A665" s="87"/>
      <c r="B665" s="30"/>
      <c r="C665" s="70"/>
      <c r="G665" s="30"/>
      <c r="H665" s="77"/>
      <c r="I665" s="77"/>
      <c r="J665" s="58"/>
      <c r="K665" s="58"/>
      <c r="L665" s="3"/>
    </row>
    <row r="666" spans="1:12" s="71" customFormat="1">
      <c r="A666" s="87"/>
      <c r="B666" s="30"/>
      <c r="C666" s="70"/>
      <c r="G666" s="30"/>
      <c r="H666" s="77"/>
      <c r="I666" s="77"/>
      <c r="J666" s="58"/>
      <c r="K666" s="58"/>
      <c r="L666" s="3"/>
    </row>
    <row r="667" spans="1:12" s="71" customFormat="1">
      <c r="A667" s="87"/>
      <c r="B667" s="30"/>
      <c r="C667" s="70"/>
      <c r="G667" s="30"/>
      <c r="H667" s="77"/>
      <c r="I667" s="77"/>
      <c r="J667" s="58"/>
      <c r="K667" s="58"/>
      <c r="L667" s="3"/>
    </row>
    <row r="668" spans="1:12" s="71" customFormat="1">
      <c r="A668" s="87"/>
      <c r="B668" s="30"/>
      <c r="C668" s="70"/>
      <c r="G668" s="30"/>
      <c r="H668" s="77"/>
      <c r="I668" s="77"/>
      <c r="J668" s="58"/>
      <c r="K668" s="58"/>
      <c r="L668" s="3"/>
    </row>
    <row r="669" spans="1:12" s="71" customFormat="1">
      <c r="A669" s="87"/>
      <c r="B669" s="30"/>
      <c r="C669" s="70"/>
      <c r="G669" s="30"/>
      <c r="H669" s="77"/>
      <c r="I669" s="77"/>
      <c r="J669" s="58"/>
      <c r="K669" s="58"/>
      <c r="L669" s="3"/>
    </row>
    <row r="670" spans="1:12" s="71" customFormat="1">
      <c r="A670" s="87"/>
      <c r="B670" s="30"/>
      <c r="C670" s="70"/>
      <c r="G670" s="30"/>
      <c r="H670" s="77"/>
      <c r="I670" s="77"/>
      <c r="J670" s="58"/>
      <c r="K670" s="58"/>
      <c r="L670" s="3"/>
    </row>
    <row r="671" spans="1:12" s="71" customFormat="1">
      <c r="A671" s="87"/>
      <c r="B671" s="30"/>
      <c r="C671" s="70"/>
      <c r="G671" s="30"/>
      <c r="H671" s="77"/>
      <c r="I671" s="77"/>
      <c r="J671" s="58"/>
      <c r="K671" s="58"/>
      <c r="L671" s="3"/>
    </row>
    <row r="672" spans="1:12" s="71" customFormat="1">
      <c r="A672" s="87"/>
      <c r="B672" s="30"/>
      <c r="C672" s="70"/>
      <c r="G672" s="30"/>
      <c r="H672" s="77"/>
      <c r="I672" s="77"/>
      <c r="J672" s="58"/>
      <c r="K672" s="58"/>
      <c r="L672" s="3"/>
    </row>
    <row r="673" spans="1:12" s="71" customFormat="1">
      <c r="A673" s="87"/>
      <c r="B673" s="30"/>
      <c r="C673" s="70"/>
      <c r="G673" s="30"/>
      <c r="H673" s="77"/>
      <c r="I673" s="77"/>
      <c r="J673" s="58"/>
      <c r="K673" s="58"/>
      <c r="L673" s="3"/>
    </row>
    <row r="674" spans="1:12" s="71" customFormat="1">
      <c r="A674" s="87"/>
      <c r="B674" s="30"/>
      <c r="C674" s="70"/>
      <c r="G674" s="30"/>
      <c r="H674" s="77"/>
      <c r="I674" s="77"/>
      <c r="J674" s="58"/>
      <c r="K674" s="58"/>
      <c r="L674" s="3"/>
    </row>
    <row r="675" spans="1:12" s="71" customFormat="1">
      <c r="A675" s="87"/>
      <c r="B675" s="30"/>
      <c r="C675" s="70"/>
      <c r="G675" s="30"/>
      <c r="H675" s="77"/>
      <c r="I675" s="77"/>
      <c r="J675" s="58"/>
      <c r="K675" s="58"/>
      <c r="L675" s="3"/>
    </row>
    <row r="676" spans="1:12" s="71" customFormat="1">
      <c r="A676" s="87"/>
      <c r="B676" s="30"/>
      <c r="C676" s="70"/>
      <c r="G676" s="30"/>
      <c r="H676" s="77"/>
      <c r="I676" s="77"/>
      <c r="J676" s="58"/>
      <c r="K676" s="58"/>
      <c r="L676" s="3"/>
    </row>
    <row r="677" spans="1:12" s="71" customFormat="1">
      <c r="A677" s="87"/>
      <c r="B677" s="30"/>
      <c r="C677" s="70"/>
      <c r="G677" s="30"/>
      <c r="H677" s="77"/>
      <c r="I677" s="77"/>
      <c r="J677" s="58"/>
      <c r="K677" s="58"/>
      <c r="L677" s="3"/>
    </row>
    <row r="678" spans="1:12" s="71" customFormat="1">
      <c r="A678" s="87"/>
      <c r="B678" s="30"/>
      <c r="C678" s="70"/>
      <c r="G678" s="30"/>
      <c r="H678" s="77"/>
      <c r="I678" s="77"/>
      <c r="J678" s="58"/>
      <c r="K678" s="58"/>
      <c r="L678" s="3"/>
    </row>
    <row r="679" spans="1:12" s="71" customFormat="1">
      <c r="A679" s="87"/>
      <c r="B679" s="30"/>
      <c r="C679" s="70"/>
      <c r="G679" s="30"/>
      <c r="H679" s="77"/>
      <c r="I679" s="77"/>
      <c r="J679" s="58"/>
      <c r="K679" s="58"/>
      <c r="L679" s="3"/>
    </row>
    <row r="680" spans="1:12" s="71" customFormat="1">
      <c r="A680" s="87"/>
      <c r="B680" s="30"/>
      <c r="C680" s="70"/>
      <c r="G680" s="30"/>
      <c r="H680" s="77"/>
      <c r="I680" s="77"/>
      <c r="J680" s="58"/>
      <c r="K680" s="58"/>
      <c r="L680" s="3"/>
    </row>
    <row r="681" spans="1:12" s="71" customFormat="1">
      <c r="A681" s="87"/>
      <c r="B681" s="30"/>
      <c r="C681" s="70"/>
      <c r="G681" s="30"/>
      <c r="H681" s="77"/>
      <c r="I681" s="77"/>
      <c r="J681" s="58"/>
      <c r="K681" s="58"/>
      <c r="L681" s="3"/>
    </row>
    <row r="682" spans="1:12" s="71" customFormat="1">
      <c r="A682" s="87"/>
      <c r="B682" s="30"/>
      <c r="C682" s="70"/>
      <c r="G682" s="30"/>
      <c r="H682" s="77"/>
      <c r="I682" s="77"/>
      <c r="J682" s="58"/>
      <c r="K682" s="58"/>
      <c r="L682" s="3"/>
    </row>
    <row r="683" spans="1:12" s="71" customFormat="1">
      <c r="A683" s="87"/>
      <c r="B683" s="30"/>
      <c r="C683" s="70"/>
      <c r="G683" s="30"/>
      <c r="H683" s="77"/>
      <c r="I683" s="77"/>
      <c r="J683" s="58"/>
      <c r="K683" s="58"/>
      <c r="L683" s="3"/>
    </row>
    <row r="684" spans="1:12" s="71" customFormat="1">
      <c r="A684" s="87"/>
      <c r="B684" s="30"/>
      <c r="C684" s="70"/>
      <c r="G684" s="30"/>
      <c r="H684" s="77"/>
      <c r="I684" s="77"/>
      <c r="J684" s="58"/>
      <c r="K684" s="58"/>
      <c r="L684" s="3"/>
    </row>
    <row r="685" spans="1:12" s="71" customFormat="1">
      <c r="A685" s="87"/>
      <c r="B685" s="30"/>
      <c r="C685" s="70"/>
      <c r="G685" s="30"/>
      <c r="H685" s="77"/>
      <c r="I685" s="77"/>
      <c r="J685" s="58"/>
      <c r="K685" s="58"/>
      <c r="L685" s="3"/>
    </row>
    <row r="686" spans="1:12" s="71" customFormat="1">
      <c r="A686" s="87"/>
      <c r="B686" s="30"/>
      <c r="C686" s="70"/>
      <c r="G686" s="30"/>
      <c r="H686" s="77"/>
      <c r="I686" s="77"/>
      <c r="J686" s="58"/>
      <c r="K686" s="58"/>
      <c r="L686" s="3"/>
    </row>
    <row r="687" spans="1:12" s="71" customFormat="1">
      <c r="A687" s="87"/>
      <c r="B687" s="30"/>
      <c r="C687" s="70"/>
      <c r="G687" s="30"/>
      <c r="H687" s="77"/>
      <c r="I687" s="77"/>
      <c r="J687" s="58"/>
      <c r="K687" s="58"/>
      <c r="L687" s="3"/>
    </row>
    <row r="688" spans="1:12" s="71" customFormat="1">
      <c r="A688" s="87"/>
      <c r="B688" s="30"/>
      <c r="C688" s="70"/>
      <c r="G688" s="30"/>
      <c r="H688" s="77"/>
      <c r="I688" s="77"/>
      <c r="J688" s="58"/>
      <c r="K688" s="58"/>
      <c r="L688" s="3"/>
    </row>
    <row r="689" spans="1:12" s="71" customFormat="1">
      <c r="A689" s="87"/>
      <c r="B689" s="30"/>
      <c r="C689" s="70"/>
      <c r="G689" s="30"/>
      <c r="H689" s="77"/>
      <c r="I689" s="77"/>
      <c r="J689" s="58"/>
      <c r="K689" s="58"/>
      <c r="L689" s="3"/>
    </row>
    <row r="690" spans="1:12" s="71" customFormat="1">
      <c r="A690" s="87"/>
      <c r="B690" s="30"/>
      <c r="C690" s="70"/>
      <c r="G690" s="30"/>
      <c r="H690" s="77"/>
      <c r="I690" s="77"/>
      <c r="J690" s="58"/>
      <c r="K690" s="58"/>
      <c r="L690" s="3"/>
    </row>
    <row r="691" spans="1:12" s="71" customFormat="1">
      <c r="A691" s="87"/>
      <c r="B691" s="30"/>
      <c r="C691" s="70"/>
      <c r="G691" s="30"/>
      <c r="H691" s="77"/>
      <c r="I691" s="77"/>
      <c r="J691" s="58"/>
      <c r="K691" s="58"/>
      <c r="L691" s="3"/>
    </row>
    <row r="692" spans="1:12" s="71" customFormat="1">
      <c r="A692" s="87"/>
      <c r="B692" s="30"/>
      <c r="C692" s="70"/>
      <c r="G692" s="30"/>
      <c r="H692" s="77"/>
      <c r="I692" s="77"/>
      <c r="J692" s="58"/>
      <c r="K692" s="58"/>
      <c r="L692" s="3"/>
    </row>
    <row r="693" spans="1:12" s="71" customFormat="1">
      <c r="A693" s="87"/>
      <c r="B693" s="30"/>
      <c r="C693" s="70"/>
      <c r="G693" s="30"/>
      <c r="H693" s="77"/>
      <c r="I693" s="77"/>
      <c r="J693" s="58"/>
      <c r="K693" s="58"/>
      <c r="L693" s="3"/>
    </row>
    <row r="694" spans="1:12" s="71" customFormat="1">
      <c r="A694" s="87"/>
      <c r="B694" s="30"/>
      <c r="C694" s="70"/>
      <c r="G694" s="30"/>
      <c r="H694" s="77"/>
      <c r="I694" s="77"/>
      <c r="J694" s="58"/>
      <c r="K694" s="58"/>
      <c r="L694" s="3"/>
    </row>
    <row r="695" spans="1:12" s="71" customFormat="1">
      <c r="A695" s="87"/>
      <c r="B695" s="30"/>
      <c r="C695" s="70"/>
      <c r="G695" s="30"/>
      <c r="H695" s="77"/>
      <c r="I695" s="77"/>
      <c r="J695" s="58"/>
      <c r="K695" s="58"/>
      <c r="L695" s="3"/>
    </row>
    <row r="696" spans="1:12" s="71" customFormat="1">
      <c r="A696" s="87"/>
      <c r="B696" s="30"/>
      <c r="C696" s="70"/>
      <c r="G696" s="30"/>
      <c r="H696" s="77"/>
      <c r="I696" s="77"/>
      <c r="J696" s="58"/>
      <c r="K696" s="58"/>
      <c r="L696" s="3"/>
    </row>
    <row r="697" spans="1:12" s="71" customFormat="1">
      <c r="A697" s="87"/>
      <c r="B697" s="30"/>
      <c r="C697" s="70"/>
      <c r="G697" s="30"/>
      <c r="H697" s="77"/>
      <c r="I697" s="77"/>
      <c r="J697" s="58"/>
      <c r="K697" s="58"/>
      <c r="L697" s="3"/>
    </row>
    <row r="698" spans="1:12" s="71" customFormat="1">
      <c r="A698" s="87"/>
      <c r="B698" s="30"/>
      <c r="C698" s="70"/>
      <c r="G698" s="30"/>
      <c r="H698" s="77"/>
      <c r="I698" s="77"/>
      <c r="J698" s="58"/>
      <c r="K698" s="58"/>
      <c r="L698" s="3"/>
    </row>
    <row r="699" spans="1:12" s="71" customFormat="1">
      <c r="A699" s="87"/>
      <c r="B699" s="30"/>
      <c r="C699" s="70"/>
      <c r="G699" s="30"/>
      <c r="H699" s="77"/>
      <c r="I699" s="77"/>
      <c r="J699" s="58"/>
      <c r="K699" s="58"/>
      <c r="L699" s="3"/>
    </row>
    <row r="700" spans="1:12" s="71" customFormat="1">
      <c r="A700" s="87"/>
      <c r="B700" s="30"/>
      <c r="C700" s="70"/>
      <c r="G700" s="30"/>
      <c r="H700" s="77"/>
      <c r="I700" s="77"/>
      <c r="J700" s="58"/>
      <c r="K700" s="58"/>
      <c r="L700" s="3"/>
    </row>
    <row r="701" spans="1:12" s="71" customFormat="1">
      <c r="A701" s="87"/>
      <c r="B701" s="30"/>
      <c r="C701" s="70"/>
      <c r="G701" s="30"/>
      <c r="H701" s="77"/>
      <c r="I701" s="77"/>
      <c r="J701" s="58"/>
      <c r="K701" s="58"/>
      <c r="L701" s="3"/>
    </row>
    <row r="702" spans="1:12" s="71" customFormat="1">
      <c r="A702" s="87"/>
      <c r="B702" s="30"/>
      <c r="C702" s="70"/>
      <c r="G702" s="30"/>
      <c r="H702" s="77"/>
      <c r="I702" s="77"/>
      <c r="J702" s="58"/>
      <c r="K702" s="58"/>
      <c r="L702" s="3"/>
    </row>
    <row r="703" spans="1:12" s="71" customFormat="1">
      <c r="A703" s="87"/>
      <c r="B703" s="30"/>
      <c r="C703" s="70"/>
      <c r="G703" s="30"/>
      <c r="H703" s="77"/>
      <c r="I703" s="77"/>
      <c r="J703" s="58"/>
      <c r="K703" s="58"/>
      <c r="L703" s="3"/>
    </row>
    <row r="704" spans="1:12" s="71" customFormat="1">
      <c r="A704" s="87"/>
      <c r="B704" s="30"/>
      <c r="C704" s="70"/>
      <c r="G704" s="30"/>
      <c r="H704" s="77"/>
      <c r="I704" s="77"/>
      <c r="J704" s="58"/>
      <c r="K704" s="58"/>
      <c r="L704" s="3"/>
    </row>
    <row r="705" spans="1:12" s="71" customFormat="1">
      <c r="A705" s="87"/>
      <c r="B705" s="30"/>
      <c r="C705" s="70"/>
      <c r="G705" s="30"/>
      <c r="H705" s="77"/>
      <c r="I705" s="77"/>
      <c r="J705" s="58"/>
      <c r="K705" s="58"/>
      <c r="L705" s="3"/>
    </row>
    <row r="706" spans="1:12" s="71" customFormat="1">
      <c r="A706" s="87"/>
      <c r="B706" s="30"/>
      <c r="C706" s="70"/>
      <c r="G706" s="30"/>
      <c r="H706" s="77"/>
      <c r="I706" s="77"/>
      <c r="J706" s="58"/>
      <c r="K706" s="58"/>
      <c r="L706" s="3"/>
    </row>
    <row r="707" spans="1:12" s="71" customFormat="1">
      <c r="A707" s="87"/>
      <c r="B707" s="30"/>
      <c r="C707" s="70"/>
      <c r="G707" s="30"/>
      <c r="H707" s="77"/>
      <c r="I707" s="77"/>
      <c r="J707" s="58"/>
      <c r="K707" s="58"/>
      <c r="L707" s="3"/>
    </row>
    <row r="708" spans="1:12" s="71" customFormat="1">
      <c r="A708" s="87"/>
      <c r="B708" s="30"/>
      <c r="C708" s="70"/>
      <c r="G708" s="30"/>
      <c r="H708" s="77"/>
      <c r="I708" s="77"/>
      <c r="J708" s="58"/>
      <c r="K708" s="58"/>
      <c r="L708" s="3"/>
    </row>
    <row r="709" spans="1:12" s="71" customFormat="1">
      <c r="A709" s="87"/>
      <c r="B709" s="30"/>
      <c r="C709" s="70"/>
      <c r="G709" s="30"/>
      <c r="H709" s="77"/>
      <c r="I709" s="77"/>
      <c r="J709" s="58"/>
      <c r="K709" s="58"/>
      <c r="L709" s="3"/>
    </row>
    <row r="710" spans="1:12" s="71" customFormat="1">
      <c r="A710" s="87"/>
      <c r="B710" s="30"/>
      <c r="C710" s="70"/>
      <c r="G710" s="30"/>
      <c r="H710" s="77"/>
      <c r="I710" s="77"/>
      <c r="J710" s="58"/>
      <c r="K710" s="58"/>
      <c r="L710" s="3"/>
    </row>
    <row r="711" spans="1:12" s="71" customFormat="1">
      <c r="A711" s="87"/>
      <c r="B711" s="30"/>
      <c r="C711" s="70"/>
      <c r="G711" s="30"/>
      <c r="H711" s="77"/>
      <c r="I711" s="77"/>
      <c r="J711" s="58"/>
      <c r="K711" s="58"/>
      <c r="L711" s="3"/>
    </row>
    <row r="712" spans="1:12" s="71" customFormat="1">
      <c r="A712" s="87"/>
      <c r="B712" s="30"/>
      <c r="C712" s="70"/>
      <c r="G712" s="30"/>
      <c r="H712" s="77"/>
      <c r="I712" s="77"/>
      <c r="J712" s="58"/>
      <c r="K712" s="58"/>
      <c r="L712" s="3"/>
    </row>
    <row r="713" spans="1:12" s="71" customFormat="1">
      <c r="A713" s="87"/>
      <c r="B713" s="30"/>
      <c r="C713" s="70"/>
      <c r="G713" s="30"/>
      <c r="H713" s="77"/>
      <c r="I713" s="77"/>
      <c r="J713" s="58"/>
      <c r="K713" s="58"/>
      <c r="L713" s="3"/>
    </row>
    <row r="714" spans="1:12" s="71" customFormat="1">
      <c r="A714" s="87"/>
      <c r="B714" s="30"/>
      <c r="C714" s="70"/>
      <c r="G714" s="30"/>
      <c r="H714" s="77"/>
      <c r="I714" s="77"/>
      <c r="J714" s="58"/>
      <c r="K714" s="58"/>
      <c r="L714" s="3"/>
    </row>
    <row r="715" spans="1:12" s="71" customFormat="1">
      <c r="A715" s="87"/>
      <c r="B715" s="30"/>
      <c r="C715" s="70"/>
      <c r="G715" s="30"/>
      <c r="H715" s="77"/>
      <c r="I715" s="77"/>
      <c r="J715" s="58"/>
      <c r="K715" s="58"/>
      <c r="L715" s="3"/>
    </row>
    <row r="716" spans="1:12" s="71" customFormat="1">
      <c r="A716" s="87"/>
      <c r="B716" s="30"/>
      <c r="C716" s="70"/>
      <c r="G716" s="30"/>
      <c r="H716" s="77"/>
      <c r="I716" s="77"/>
      <c r="J716" s="58"/>
      <c r="K716" s="58"/>
      <c r="L716" s="3"/>
    </row>
    <row r="717" spans="1:12" s="71" customFormat="1">
      <c r="A717" s="87"/>
      <c r="B717" s="30"/>
      <c r="C717" s="70"/>
      <c r="G717" s="30"/>
      <c r="H717" s="77"/>
      <c r="I717" s="77"/>
      <c r="J717" s="58"/>
      <c r="K717" s="58"/>
      <c r="L717" s="3"/>
    </row>
    <row r="718" spans="1:12" s="71" customFormat="1">
      <c r="A718" s="87"/>
      <c r="B718" s="30"/>
      <c r="C718" s="70"/>
      <c r="G718" s="30"/>
      <c r="H718" s="77"/>
      <c r="I718" s="77"/>
      <c r="J718" s="58"/>
      <c r="K718" s="58"/>
      <c r="L718" s="3"/>
    </row>
    <row r="719" spans="1:12" s="71" customFormat="1">
      <c r="A719" s="87"/>
      <c r="B719" s="30"/>
      <c r="C719" s="70"/>
      <c r="G719" s="30"/>
      <c r="H719" s="77"/>
      <c r="I719" s="77"/>
      <c r="J719" s="58"/>
      <c r="K719" s="58"/>
      <c r="L719" s="3"/>
    </row>
    <row r="720" spans="1:12" s="71" customFormat="1">
      <c r="A720" s="87"/>
      <c r="B720" s="30"/>
      <c r="C720" s="70"/>
      <c r="G720" s="30"/>
      <c r="H720" s="77"/>
      <c r="I720" s="77"/>
      <c r="J720" s="58"/>
      <c r="K720" s="58"/>
      <c r="L720" s="3"/>
    </row>
    <row r="721" spans="1:12" s="71" customFormat="1">
      <c r="A721" s="87"/>
      <c r="B721" s="30"/>
      <c r="C721" s="70"/>
      <c r="G721" s="30"/>
      <c r="H721" s="77"/>
      <c r="I721" s="77"/>
      <c r="J721" s="58"/>
      <c r="K721" s="58"/>
      <c r="L721" s="3"/>
    </row>
    <row r="722" spans="1:12" s="71" customFormat="1">
      <c r="A722" s="87"/>
      <c r="B722" s="30"/>
      <c r="C722" s="70"/>
      <c r="G722" s="30"/>
      <c r="H722" s="77"/>
      <c r="I722" s="77"/>
      <c r="J722" s="58"/>
      <c r="K722" s="58"/>
      <c r="L722" s="3"/>
    </row>
    <row r="723" spans="1:12" s="71" customFormat="1">
      <c r="A723" s="87"/>
      <c r="B723" s="30"/>
      <c r="C723" s="70"/>
      <c r="G723" s="30"/>
      <c r="H723" s="77"/>
      <c r="I723" s="77"/>
      <c r="J723" s="58"/>
      <c r="K723" s="58"/>
      <c r="L723" s="3"/>
    </row>
    <row r="724" spans="1:12" s="71" customFormat="1">
      <c r="A724" s="87"/>
      <c r="B724" s="30"/>
      <c r="C724" s="70"/>
      <c r="G724" s="30"/>
      <c r="H724" s="77"/>
      <c r="I724" s="77"/>
      <c r="J724" s="58"/>
      <c r="K724" s="58"/>
      <c r="L724" s="3"/>
    </row>
    <row r="725" spans="1:12" s="71" customFormat="1">
      <c r="A725" s="87"/>
      <c r="B725" s="30"/>
      <c r="C725" s="70"/>
      <c r="G725" s="30"/>
      <c r="H725" s="77"/>
      <c r="I725" s="77"/>
      <c r="J725" s="58"/>
      <c r="K725" s="58"/>
      <c r="L725" s="3"/>
    </row>
    <row r="726" spans="1:12" s="71" customFormat="1">
      <c r="A726" s="87"/>
      <c r="B726" s="30"/>
      <c r="C726" s="70"/>
      <c r="G726" s="30"/>
      <c r="H726" s="77"/>
      <c r="I726" s="77"/>
      <c r="J726" s="58"/>
      <c r="K726" s="58"/>
      <c r="L726" s="3"/>
    </row>
    <row r="727" spans="1:12" s="71" customFormat="1">
      <c r="A727" s="87"/>
      <c r="B727" s="30"/>
      <c r="C727" s="70"/>
      <c r="G727" s="30"/>
      <c r="H727" s="77"/>
      <c r="I727" s="77"/>
      <c r="J727" s="58"/>
      <c r="K727" s="58"/>
      <c r="L727" s="3"/>
    </row>
    <row r="728" spans="1:12" s="71" customFormat="1">
      <c r="A728" s="87"/>
      <c r="B728" s="30"/>
      <c r="C728" s="70"/>
      <c r="G728" s="30"/>
      <c r="H728" s="77"/>
      <c r="I728" s="77"/>
      <c r="J728" s="58"/>
      <c r="K728" s="58"/>
      <c r="L728" s="3"/>
    </row>
    <row r="729" spans="1:12" s="71" customFormat="1">
      <c r="A729" s="87"/>
      <c r="B729" s="30"/>
      <c r="C729" s="70"/>
      <c r="G729" s="30"/>
      <c r="H729" s="77"/>
      <c r="I729" s="77"/>
      <c r="J729" s="58"/>
      <c r="K729" s="58"/>
      <c r="L729" s="3"/>
    </row>
    <row r="730" spans="1:12" s="71" customFormat="1">
      <c r="A730" s="87"/>
      <c r="B730" s="30"/>
      <c r="C730" s="70"/>
      <c r="G730" s="30"/>
      <c r="H730" s="77"/>
      <c r="I730" s="77"/>
      <c r="J730" s="58"/>
      <c r="K730" s="58"/>
      <c r="L730" s="3"/>
    </row>
    <row r="731" spans="1:12" s="71" customFormat="1">
      <c r="A731" s="87"/>
      <c r="B731" s="30"/>
      <c r="C731" s="70"/>
      <c r="G731" s="30"/>
      <c r="H731" s="77"/>
      <c r="I731" s="77"/>
      <c r="J731" s="58"/>
      <c r="K731" s="58"/>
      <c r="L731" s="3"/>
    </row>
    <row r="732" spans="1:12" s="71" customFormat="1">
      <c r="A732" s="87"/>
      <c r="B732" s="30"/>
      <c r="C732" s="70"/>
      <c r="G732" s="30"/>
      <c r="H732" s="77"/>
      <c r="I732" s="77"/>
      <c r="J732" s="58"/>
      <c r="K732" s="58"/>
      <c r="L732" s="3"/>
    </row>
    <row r="733" spans="1:12" s="71" customFormat="1">
      <c r="A733" s="87"/>
      <c r="B733" s="30"/>
      <c r="C733" s="70"/>
      <c r="G733" s="30"/>
      <c r="H733" s="77"/>
      <c r="I733" s="77"/>
      <c r="J733" s="58"/>
      <c r="K733" s="58"/>
      <c r="L733" s="3"/>
    </row>
    <row r="734" spans="1:12" s="71" customFormat="1">
      <c r="A734" s="87"/>
      <c r="B734" s="30"/>
      <c r="C734" s="70"/>
      <c r="G734" s="30"/>
      <c r="H734" s="77"/>
      <c r="I734" s="77"/>
      <c r="J734" s="58"/>
      <c r="K734" s="58"/>
      <c r="L734" s="3"/>
    </row>
    <row r="735" spans="1:12" s="71" customFormat="1">
      <c r="A735" s="87"/>
      <c r="B735" s="30"/>
      <c r="C735" s="70"/>
      <c r="G735" s="30"/>
      <c r="H735" s="77"/>
      <c r="I735" s="77"/>
      <c r="J735" s="58"/>
      <c r="K735" s="58"/>
      <c r="L735" s="3"/>
    </row>
    <row r="736" spans="1:12" s="71" customFormat="1">
      <c r="A736" s="87"/>
      <c r="B736" s="30"/>
      <c r="C736" s="70"/>
      <c r="G736" s="30"/>
      <c r="H736" s="77"/>
      <c r="I736" s="77"/>
      <c r="J736" s="58"/>
      <c r="K736" s="58"/>
      <c r="L736" s="3"/>
    </row>
    <row r="737" spans="1:12" s="71" customFormat="1">
      <c r="A737" s="87"/>
      <c r="B737" s="30"/>
      <c r="C737" s="70"/>
      <c r="G737" s="30"/>
      <c r="H737" s="77"/>
      <c r="I737" s="77"/>
      <c r="J737" s="58"/>
      <c r="K737" s="58"/>
      <c r="L737" s="3"/>
    </row>
    <row r="738" spans="1:12" s="71" customFormat="1">
      <c r="A738" s="87"/>
      <c r="B738" s="30"/>
      <c r="C738" s="70"/>
      <c r="G738" s="30"/>
      <c r="H738" s="77"/>
      <c r="I738" s="77"/>
      <c r="J738" s="58"/>
      <c r="K738" s="58"/>
      <c r="L738" s="3"/>
    </row>
    <row r="739" spans="1:12" s="71" customFormat="1">
      <c r="A739" s="87"/>
      <c r="B739" s="30"/>
      <c r="C739" s="70"/>
      <c r="G739" s="30"/>
      <c r="H739" s="77"/>
      <c r="I739" s="77"/>
      <c r="J739" s="58"/>
      <c r="K739" s="58"/>
      <c r="L739" s="3"/>
    </row>
    <row r="740" spans="1:12" s="71" customFormat="1">
      <c r="A740" s="87"/>
      <c r="B740" s="30"/>
      <c r="C740" s="70"/>
      <c r="G740" s="30"/>
      <c r="H740" s="77"/>
      <c r="I740" s="77"/>
      <c r="J740" s="58"/>
      <c r="K740" s="58"/>
      <c r="L740" s="3"/>
    </row>
    <row r="741" spans="1:12" s="71" customFormat="1">
      <c r="A741" s="87"/>
      <c r="B741" s="30"/>
      <c r="C741" s="70"/>
      <c r="G741" s="30"/>
      <c r="H741" s="77"/>
      <c r="I741" s="77"/>
      <c r="J741" s="58"/>
      <c r="K741" s="58"/>
      <c r="L741" s="3"/>
    </row>
    <row r="742" spans="1:12" s="71" customFormat="1">
      <c r="A742" s="87"/>
      <c r="B742" s="30"/>
      <c r="C742" s="70"/>
      <c r="G742" s="30"/>
      <c r="H742" s="77"/>
      <c r="I742" s="77"/>
      <c r="J742" s="58"/>
      <c r="K742" s="58"/>
      <c r="L742" s="3"/>
    </row>
    <row r="743" spans="1:12" s="71" customFormat="1">
      <c r="A743" s="87"/>
      <c r="B743" s="30"/>
      <c r="C743" s="70"/>
      <c r="G743" s="30"/>
      <c r="H743" s="77"/>
      <c r="I743" s="77"/>
      <c r="J743" s="58"/>
      <c r="K743" s="58"/>
      <c r="L743" s="3"/>
    </row>
    <row r="744" spans="1:12" s="71" customFormat="1">
      <c r="A744" s="87"/>
      <c r="B744" s="30"/>
      <c r="C744" s="70"/>
      <c r="G744" s="30"/>
      <c r="H744" s="77"/>
      <c r="I744" s="77"/>
      <c r="J744" s="58"/>
      <c r="K744" s="58"/>
      <c r="L744" s="3"/>
    </row>
    <row r="745" spans="1:12" s="71" customFormat="1">
      <c r="A745" s="87"/>
      <c r="B745" s="30"/>
      <c r="C745" s="70"/>
      <c r="G745" s="30"/>
      <c r="H745" s="77"/>
      <c r="I745" s="77"/>
      <c r="J745" s="58"/>
      <c r="K745" s="58"/>
      <c r="L745" s="3"/>
    </row>
    <row r="746" spans="1:12" s="71" customFormat="1">
      <c r="A746" s="87"/>
      <c r="B746" s="30"/>
      <c r="C746" s="70"/>
      <c r="G746" s="30"/>
      <c r="H746" s="77"/>
      <c r="I746" s="77"/>
      <c r="J746" s="58"/>
      <c r="K746" s="58"/>
      <c r="L746" s="3"/>
    </row>
    <row r="747" spans="1:12" s="71" customFormat="1">
      <c r="A747" s="87"/>
      <c r="B747" s="30"/>
      <c r="C747" s="70"/>
      <c r="G747" s="30"/>
      <c r="H747" s="77"/>
      <c r="I747" s="77"/>
      <c r="J747" s="58"/>
      <c r="K747" s="58"/>
      <c r="L747" s="3"/>
    </row>
    <row r="748" spans="1:12" s="71" customFormat="1">
      <c r="A748" s="87"/>
      <c r="B748" s="30"/>
      <c r="C748" s="70"/>
      <c r="G748" s="30"/>
      <c r="H748" s="77"/>
      <c r="I748" s="77"/>
      <c r="J748" s="58"/>
      <c r="K748" s="58"/>
      <c r="L748" s="3"/>
    </row>
    <row r="749" spans="1:12" s="71" customFormat="1">
      <c r="A749" s="87"/>
      <c r="B749" s="30"/>
      <c r="C749" s="70"/>
      <c r="G749" s="30"/>
      <c r="H749" s="77"/>
      <c r="I749" s="77"/>
      <c r="J749" s="58"/>
      <c r="K749" s="58"/>
      <c r="L749" s="3"/>
    </row>
    <row r="750" spans="1:12" s="71" customFormat="1">
      <c r="A750" s="87"/>
      <c r="B750" s="30"/>
      <c r="C750" s="70"/>
      <c r="G750" s="30"/>
      <c r="H750" s="77"/>
      <c r="I750" s="77"/>
      <c r="J750" s="58"/>
      <c r="K750" s="58"/>
      <c r="L750" s="3"/>
    </row>
    <row r="751" spans="1:12" s="71" customFormat="1">
      <c r="A751" s="87"/>
      <c r="B751" s="30"/>
      <c r="C751" s="70"/>
      <c r="G751" s="30"/>
      <c r="H751" s="77"/>
      <c r="I751" s="77"/>
      <c r="J751" s="58"/>
      <c r="K751" s="58"/>
      <c r="L751" s="3"/>
    </row>
    <row r="752" spans="1:12" s="71" customFormat="1">
      <c r="A752" s="87"/>
      <c r="B752" s="30"/>
      <c r="C752" s="70"/>
      <c r="G752" s="30"/>
      <c r="H752" s="77"/>
      <c r="I752" s="77"/>
      <c r="J752" s="58"/>
      <c r="K752" s="58"/>
      <c r="L752" s="3"/>
    </row>
    <row r="753" spans="1:12" s="71" customFormat="1">
      <c r="A753" s="87"/>
      <c r="B753" s="30"/>
      <c r="C753" s="70"/>
      <c r="G753" s="30"/>
      <c r="H753" s="77"/>
      <c r="I753" s="77"/>
      <c r="J753" s="58"/>
      <c r="K753" s="58"/>
      <c r="L753" s="3"/>
    </row>
    <row r="754" spans="1:12" s="71" customFormat="1">
      <c r="A754" s="87"/>
      <c r="B754" s="30"/>
      <c r="C754" s="70"/>
      <c r="G754" s="30"/>
      <c r="H754" s="77"/>
      <c r="I754" s="77"/>
      <c r="J754" s="58"/>
      <c r="K754" s="58"/>
      <c r="L754" s="3"/>
    </row>
    <row r="755" spans="1:12" s="71" customFormat="1">
      <c r="A755" s="87"/>
      <c r="B755" s="30"/>
      <c r="C755" s="70"/>
      <c r="G755" s="30"/>
      <c r="H755" s="77"/>
      <c r="I755" s="77"/>
      <c r="J755" s="58"/>
      <c r="K755" s="58"/>
      <c r="L755" s="3"/>
    </row>
    <row r="756" spans="1:12" s="71" customFormat="1">
      <c r="A756" s="87"/>
      <c r="B756" s="30"/>
      <c r="C756" s="70"/>
      <c r="G756" s="30"/>
      <c r="H756" s="77"/>
      <c r="I756" s="77"/>
      <c r="J756" s="58"/>
      <c r="K756" s="58"/>
      <c r="L756" s="3"/>
    </row>
    <row r="757" spans="1:12" s="71" customFormat="1">
      <c r="A757" s="87"/>
      <c r="B757" s="30"/>
      <c r="C757" s="70"/>
      <c r="G757" s="30"/>
      <c r="H757" s="77"/>
      <c r="I757" s="77"/>
      <c r="J757" s="58"/>
      <c r="K757" s="58"/>
      <c r="L757" s="3"/>
    </row>
    <row r="758" spans="1:12" s="71" customFormat="1">
      <c r="A758" s="87"/>
      <c r="B758" s="30"/>
      <c r="C758" s="70"/>
      <c r="G758" s="30"/>
      <c r="H758" s="77"/>
      <c r="I758" s="77"/>
      <c r="J758" s="58"/>
      <c r="K758" s="58"/>
      <c r="L758" s="3"/>
    </row>
    <row r="759" spans="1:12" s="71" customFormat="1">
      <c r="A759" s="87"/>
      <c r="B759" s="30"/>
      <c r="C759" s="70"/>
      <c r="G759" s="30"/>
      <c r="H759" s="77"/>
      <c r="I759" s="77"/>
      <c r="J759" s="58"/>
      <c r="K759" s="58"/>
      <c r="L759" s="3"/>
    </row>
    <row r="760" spans="1:12" s="71" customFormat="1">
      <c r="A760" s="87"/>
      <c r="B760" s="30"/>
      <c r="C760" s="70"/>
      <c r="G760" s="30"/>
      <c r="H760" s="77"/>
      <c r="I760" s="77"/>
      <c r="J760" s="58"/>
      <c r="K760" s="58"/>
      <c r="L760" s="3"/>
    </row>
    <row r="761" spans="1:12" s="71" customFormat="1">
      <c r="A761" s="87"/>
      <c r="B761" s="30"/>
      <c r="C761" s="70"/>
      <c r="G761" s="30"/>
      <c r="H761" s="77"/>
      <c r="I761" s="77"/>
      <c r="J761" s="58"/>
      <c r="K761" s="58"/>
      <c r="L761" s="3"/>
    </row>
    <row r="762" spans="1:12" s="71" customFormat="1">
      <c r="A762" s="87"/>
      <c r="B762" s="30"/>
      <c r="C762" s="70"/>
      <c r="G762" s="30"/>
      <c r="H762" s="77"/>
      <c r="I762" s="77"/>
      <c r="J762" s="58"/>
      <c r="K762" s="58"/>
      <c r="L762" s="3"/>
    </row>
    <row r="763" spans="1:12" s="71" customFormat="1">
      <c r="A763" s="87"/>
      <c r="B763" s="30"/>
      <c r="C763" s="70"/>
      <c r="G763" s="30"/>
      <c r="H763" s="77"/>
      <c r="I763" s="77"/>
      <c r="J763" s="58"/>
      <c r="K763" s="58"/>
      <c r="L763" s="3"/>
    </row>
    <row r="764" spans="1:12" s="71" customFormat="1">
      <c r="A764" s="87"/>
      <c r="B764" s="30"/>
      <c r="C764" s="70"/>
      <c r="G764" s="30"/>
      <c r="H764" s="77"/>
      <c r="I764" s="77"/>
      <c r="J764" s="58"/>
      <c r="K764" s="58"/>
      <c r="L764" s="3"/>
    </row>
    <row r="765" spans="1:12" s="71" customFormat="1">
      <c r="A765" s="87"/>
      <c r="B765" s="30"/>
      <c r="C765" s="70"/>
      <c r="G765" s="30"/>
      <c r="H765" s="77"/>
      <c r="I765" s="77"/>
      <c r="J765" s="58"/>
      <c r="K765" s="58"/>
      <c r="L765" s="3"/>
    </row>
    <row r="766" spans="1:12" s="71" customFormat="1">
      <c r="A766" s="87"/>
      <c r="B766" s="30"/>
      <c r="C766" s="70"/>
      <c r="G766" s="30"/>
      <c r="H766" s="77"/>
      <c r="I766" s="77"/>
      <c r="J766" s="58"/>
      <c r="K766" s="58"/>
      <c r="L766" s="3"/>
    </row>
    <row r="767" spans="1:12" s="71" customFormat="1">
      <c r="A767" s="87"/>
      <c r="B767" s="30"/>
      <c r="C767" s="70"/>
      <c r="G767" s="30"/>
      <c r="H767" s="77"/>
      <c r="I767" s="77"/>
      <c r="J767" s="58"/>
      <c r="K767" s="58"/>
      <c r="L767" s="3"/>
    </row>
    <row r="768" spans="1:12" s="71" customFormat="1">
      <c r="A768" s="87"/>
      <c r="B768" s="30"/>
      <c r="C768" s="70"/>
      <c r="G768" s="30"/>
      <c r="H768" s="77"/>
      <c r="I768" s="77"/>
      <c r="J768" s="58"/>
      <c r="K768" s="58"/>
      <c r="L768" s="3"/>
    </row>
    <row r="769" spans="1:12" s="71" customFormat="1">
      <c r="A769" s="87"/>
      <c r="B769" s="30"/>
      <c r="C769" s="70"/>
      <c r="G769" s="30"/>
      <c r="H769" s="77"/>
      <c r="I769" s="77"/>
      <c r="J769" s="58"/>
      <c r="K769" s="58"/>
      <c r="L769" s="3"/>
    </row>
    <row r="770" spans="1:12" s="71" customFormat="1">
      <c r="A770" s="87"/>
      <c r="B770" s="30"/>
      <c r="C770" s="70"/>
      <c r="G770" s="30"/>
      <c r="H770" s="77"/>
      <c r="I770" s="77"/>
      <c r="J770" s="58"/>
      <c r="K770" s="58"/>
      <c r="L770" s="3"/>
    </row>
    <row r="771" spans="1:12" s="71" customFormat="1">
      <c r="A771" s="87"/>
      <c r="B771" s="30"/>
      <c r="C771" s="70"/>
      <c r="G771" s="30"/>
      <c r="H771" s="77"/>
      <c r="I771" s="77"/>
      <c r="J771" s="58"/>
      <c r="K771" s="58"/>
      <c r="L771" s="3"/>
    </row>
    <row r="772" spans="1:12" s="71" customFormat="1">
      <c r="A772" s="87"/>
      <c r="B772" s="30"/>
      <c r="C772" s="70"/>
      <c r="G772" s="30"/>
      <c r="H772" s="77"/>
      <c r="I772" s="77"/>
      <c r="J772" s="58"/>
      <c r="K772" s="58"/>
      <c r="L772" s="3"/>
    </row>
    <row r="773" spans="1:12" s="71" customFormat="1">
      <c r="A773" s="87"/>
      <c r="B773" s="30"/>
      <c r="C773" s="70"/>
      <c r="G773" s="30"/>
      <c r="H773" s="77"/>
      <c r="I773" s="77"/>
      <c r="J773" s="58"/>
      <c r="K773" s="58"/>
      <c r="L773" s="3"/>
    </row>
    <row r="774" spans="1:12" s="71" customFormat="1">
      <c r="A774" s="87"/>
      <c r="B774" s="30"/>
      <c r="C774" s="70"/>
      <c r="G774" s="30"/>
      <c r="H774" s="77"/>
      <c r="I774" s="77"/>
      <c r="J774" s="58"/>
      <c r="K774" s="58"/>
      <c r="L774" s="3"/>
    </row>
    <row r="775" spans="1:12" s="71" customFormat="1">
      <c r="A775" s="87"/>
      <c r="B775" s="30"/>
      <c r="C775" s="70"/>
      <c r="G775" s="30"/>
      <c r="H775" s="77"/>
      <c r="I775" s="77"/>
      <c r="J775" s="58"/>
      <c r="K775" s="58"/>
      <c r="L775" s="3"/>
    </row>
    <row r="776" spans="1:12" s="71" customFormat="1">
      <c r="A776" s="87"/>
      <c r="B776" s="30"/>
      <c r="C776" s="70"/>
      <c r="G776" s="30"/>
      <c r="H776" s="77"/>
      <c r="I776" s="77"/>
      <c r="J776" s="58"/>
      <c r="K776" s="58"/>
      <c r="L776" s="3"/>
    </row>
    <row r="777" spans="1:12" s="71" customFormat="1">
      <c r="A777" s="87"/>
      <c r="B777" s="30"/>
      <c r="C777" s="70"/>
      <c r="G777" s="30"/>
      <c r="H777" s="77"/>
      <c r="I777" s="77"/>
      <c r="J777" s="58"/>
      <c r="K777" s="58"/>
      <c r="L777" s="3"/>
    </row>
    <row r="778" spans="1:12" s="71" customFormat="1">
      <c r="A778" s="87"/>
      <c r="B778" s="30"/>
      <c r="C778" s="70"/>
      <c r="G778" s="30"/>
      <c r="H778" s="77"/>
      <c r="I778" s="77"/>
      <c r="J778" s="58"/>
      <c r="K778" s="58"/>
      <c r="L778" s="3"/>
    </row>
    <row r="779" spans="1:12" s="71" customFormat="1">
      <c r="A779" s="87"/>
      <c r="B779" s="30"/>
      <c r="C779" s="70"/>
      <c r="G779" s="30"/>
      <c r="H779" s="77"/>
      <c r="I779" s="77"/>
      <c r="J779" s="58"/>
      <c r="K779" s="58"/>
      <c r="L779" s="3"/>
    </row>
    <row r="780" spans="1:12" s="71" customFormat="1">
      <c r="A780" s="87"/>
      <c r="B780" s="30"/>
      <c r="C780" s="70"/>
      <c r="G780" s="30"/>
      <c r="H780" s="77"/>
      <c r="I780" s="77"/>
      <c r="J780" s="58"/>
      <c r="K780" s="58"/>
      <c r="L780" s="3"/>
    </row>
    <row r="781" spans="1:12" s="71" customFormat="1">
      <c r="A781" s="87"/>
      <c r="B781" s="30"/>
      <c r="C781" s="70"/>
      <c r="G781" s="30"/>
      <c r="H781" s="77"/>
      <c r="I781" s="77"/>
      <c r="J781" s="58"/>
      <c r="K781" s="58"/>
      <c r="L781" s="3"/>
    </row>
    <row r="782" spans="1:12" s="71" customFormat="1">
      <c r="A782" s="87"/>
      <c r="B782" s="30"/>
      <c r="C782" s="70"/>
      <c r="G782" s="30"/>
      <c r="H782" s="77"/>
      <c r="I782" s="77"/>
      <c r="J782" s="58"/>
      <c r="K782" s="58"/>
      <c r="L782" s="3"/>
    </row>
    <row r="783" spans="1:12" s="71" customFormat="1">
      <c r="A783" s="87"/>
      <c r="B783" s="30"/>
      <c r="C783" s="70"/>
      <c r="G783" s="30"/>
      <c r="H783" s="77"/>
      <c r="I783" s="77"/>
      <c r="J783" s="58"/>
      <c r="K783" s="58"/>
      <c r="L783" s="3"/>
    </row>
    <row r="784" spans="1:12" s="71" customFormat="1">
      <c r="A784" s="87"/>
      <c r="B784" s="30"/>
      <c r="C784" s="70"/>
      <c r="G784" s="30"/>
      <c r="H784" s="77"/>
      <c r="I784" s="77"/>
      <c r="J784" s="58"/>
      <c r="K784" s="58"/>
      <c r="L784" s="3"/>
    </row>
    <row r="785" spans="1:12" s="71" customFormat="1">
      <c r="A785" s="87"/>
      <c r="B785" s="30"/>
      <c r="C785" s="70"/>
      <c r="G785" s="30"/>
      <c r="H785" s="77"/>
      <c r="I785" s="77"/>
      <c r="J785" s="58"/>
      <c r="K785" s="58"/>
      <c r="L785" s="3"/>
    </row>
    <row r="786" spans="1:12" s="71" customFormat="1">
      <c r="A786" s="87"/>
      <c r="B786" s="30"/>
      <c r="C786" s="70"/>
      <c r="G786" s="30"/>
      <c r="H786" s="77"/>
      <c r="I786" s="77"/>
      <c r="J786" s="58"/>
      <c r="K786" s="58"/>
      <c r="L786" s="3"/>
    </row>
    <row r="787" spans="1:12" s="71" customFormat="1">
      <c r="A787" s="87"/>
      <c r="B787" s="30"/>
      <c r="C787" s="70"/>
      <c r="G787" s="30"/>
      <c r="H787" s="77"/>
      <c r="I787" s="77"/>
      <c r="J787" s="58"/>
      <c r="K787" s="58"/>
      <c r="L787" s="3"/>
    </row>
    <row r="788" spans="1:12" s="71" customFormat="1">
      <c r="A788" s="87"/>
      <c r="B788" s="30"/>
      <c r="C788" s="70"/>
      <c r="G788" s="30"/>
      <c r="H788" s="77"/>
      <c r="I788" s="77"/>
      <c r="J788" s="58"/>
      <c r="K788" s="58"/>
      <c r="L788" s="3"/>
    </row>
    <row r="789" spans="1:12" s="71" customFormat="1">
      <c r="A789" s="87"/>
      <c r="B789" s="30"/>
      <c r="C789" s="70"/>
      <c r="G789" s="30"/>
      <c r="H789" s="77"/>
      <c r="I789" s="77"/>
      <c r="J789" s="58"/>
      <c r="K789" s="58"/>
      <c r="L789" s="3"/>
    </row>
    <row r="790" spans="1:12" s="71" customFormat="1">
      <c r="A790" s="87"/>
      <c r="B790" s="30"/>
      <c r="C790" s="70"/>
      <c r="G790" s="30"/>
      <c r="H790" s="77"/>
      <c r="I790" s="77"/>
      <c r="J790" s="58"/>
      <c r="K790" s="58"/>
      <c r="L790" s="3"/>
    </row>
    <row r="791" spans="1:12" s="71" customFormat="1">
      <c r="A791" s="87"/>
      <c r="B791" s="30"/>
      <c r="C791" s="70"/>
      <c r="G791" s="30"/>
      <c r="H791" s="77"/>
      <c r="I791" s="77"/>
      <c r="J791" s="58"/>
      <c r="K791" s="58"/>
      <c r="L791" s="3"/>
    </row>
    <row r="792" spans="1:12" s="71" customFormat="1">
      <c r="A792" s="87"/>
      <c r="B792" s="30"/>
      <c r="C792" s="70"/>
      <c r="G792" s="30"/>
      <c r="H792" s="77"/>
      <c r="I792" s="77"/>
      <c r="J792" s="58"/>
      <c r="K792" s="58"/>
      <c r="L792" s="3"/>
    </row>
    <row r="793" spans="1:12" s="71" customFormat="1">
      <c r="A793" s="87"/>
      <c r="B793" s="30"/>
      <c r="C793" s="70"/>
      <c r="G793" s="30"/>
      <c r="H793" s="77"/>
      <c r="I793" s="77"/>
      <c r="J793" s="58"/>
      <c r="K793" s="58"/>
      <c r="L793" s="3"/>
    </row>
    <row r="794" spans="1:12" s="71" customFormat="1">
      <c r="A794" s="87"/>
      <c r="B794" s="30"/>
      <c r="C794" s="70"/>
      <c r="G794" s="30"/>
      <c r="H794" s="77"/>
      <c r="I794" s="77"/>
      <c r="J794" s="58"/>
      <c r="K794" s="58"/>
      <c r="L794" s="3"/>
    </row>
    <row r="795" spans="1:12" s="71" customFormat="1">
      <c r="A795" s="87"/>
      <c r="B795" s="30"/>
      <c r="C795" s="70"/>
      <c r="G795" s="30"/>
      <c r="H795" s="77"/>
      <c r="I795" s="77"/>
      <c r="J795" s="58"/>
      <c r="K795" s="58"/>
      <c r="L795" s="3"/>
    </row>
    <row r="796" spans="1:12" s="71" customFormat="1">
      <c r="A796" s="87"/>
      <c r="B796" s="30"/>
      <c r="C796" s="70"/>
      <c r="G796" s="30"/>
      <c r="H796" s="77"/>
      <c r="I796" s="77"/>
      <c r="J796" s="58"/>
      <c r="K796" s="58"/>
      <c r="L796" s="3"/>
    </row>
    <row r="797" spans="1:12" s="71" customFormat="1">
      <c r="A797" s="87"/>
      <c r="B797" s="30"/>
      <c r="C797" s="70"/>
      <c r="G797" s="30"/>
      <c r="H797" s="77"/>
      <c r="I797" s="77"/>
      <c r="J797" s="58"/>
      <c r="K797" s="58"/>
      <c r="L797" s="3"/>
    </row>
    <row r="798" spans="1:12" s="71" customFormat="1">
      <c r="A798" s="87"/>
      <c r="B798" s="30"/>
      <c r="C798" s="70"/>
      <c r="G798" s="30"/>
      <c r="H798" s="77"/>
      <c r="I798" s="77"/>
      <c r="J798" s="58"/>
      <c r="K798" s="58"/>
      <c r="L798" s="3"/>
    </row>
    <row r="799" spans="1:12" s="71" customFormat="1">
      <c r="A799" s="87"/>
      <c r="B799" s="30"/>
      <c r="C799" s="70"/>
      <c r="G799" s="30"/>
      <c r="H799" s="77"/>
      <c r="I799" s="77"/>
      <c r="J799" s="58"/>
      <c r="K799" s="58"/>
      <c r="L799" s="3"/>
    </row>
    <row r="800" spans="1:12" s="71" customFormat="1">
      <c r="A800" s="87"/>
      <c r="B800" s="30"/>
      <c r="C800" s="70"/>
      <c r="G800" s="30"/>
      <c r="H800" s="77"/>
      <c r="I800" s="77"/>
      <c r="J800" s="58"/>
      <c r="K800" s="58"/>
      <c r="L800" s="3"/>
    </row>
    <row r="801" spans="1:12" s="71" customFormat="1">
      <c r="A801" s="87"/>
      <c r="B801" s="30"/>
      <c r="C801" s="70"/>
      <c r="G801" s="30"/>
      <c r="H801" s="77"/>
      <c r="I801" s="77"/>
      <c r="J801" s="58"/>
      <c r="K801" s="58"/>
      <c r="L801" s="3"/>
    </row>
    <row r="802" spans="1:12" s="71" customFormat="1">
      <c r="A802" s="87"/>
      <c r="B802" s="30"/>
      <c r="C802" s="70"/>
      <c r="G802" s="30"/>
      <c r="H802" s="77"/>
      <c r="I802" s="77"/>
      <c r="J802" s="58"/>
      <c r="K802" s="58"/>
      <c r="L802" s="3"/>
    </row>
    <row r="803" spans="1:12" s="71" customFormat="1">
      <c r="A803" s="87"/>
      <c r="B803" s="30"/>
      <c r="C803" s="70"/>
      <c r="G803" s="30"/>
      <c r="H803" s="77"/>
      <c r="I803" s="77"/>
      <c r="J803" s="58"/>
      <c r="K803" s="58"/>
      <c r="L803" s="3"/>
    </row>
    <row r="804" spans="1:12" s="71" customFormat="1">
      <c r="A804" s="87"/>
      <c r="B804" s="30"/>
      <c r="C804" s="70"/>
      <c r="G804" s="30"/>
      <c r="H804" s="77"/>
      <c r="I804" s="77"/>
      <c r="J804" s="58"/>
      <c r="K804" s="58"/>
      <c r="L804" s="3"/>
    </row>
    <row r="805" spans="1:12" s="71" customFormat="1">
      <c r="A805" s="87"/>
      <c r="B805" s="30"/>
      <c r="C805" s="70"/>
      <c r="G805" s="30"/>
      <c r="H805" s="77"/>
      <c r="I805" s="77"/>
      <c r="J805" s="58"/>
      <c r="K805" s="58"/>
      <c r="L805" s="3"/>
    </row>
    <row r="806" spans="1:12" s="71" customFormat="1">
      <c r="A806" s="87"/>
      <c r="B806" s="30"/>
      <c r="C806" s="70"/>
      <c r="G806" s="30"/>
      <c r="H806" s="77"/>
      <c r="I806" s="77"/>
      <c r="J806" s="58"/>
      <c r="K806" s="58"/>
      <c r="L806" s="3"/>
    </row>
    <row r="807" spans="1:12" s="71" customFormat="1">
      <c r="A807" s="87"/>
      <c r="B807" s="30"/>
      <c r="C807" s="70"/>
      <c r="G807" s="30"/>
      <c r="H807" s="77"/>
      <c r="I807" s="77"/>
      <c r="J807" s="58"/>
      <c r="K807" s="58"/>
      <c r="L807" s="3"/>
    </row>
    <row r="808" spans="1:12" s="71" customFormat="1">
      <c r="A808" s="87"/>
      <c r="B808" s="30"/>
      <c r="C808" s="70"/>
      <c r="G808" s="30"/>
      <c r="H808" s="77"/>
      <c r="I808" s="77"/>
      <c r="J808" s="58"/>
      <c r="K808" s="58"/>
      <c r="L808" s="3"/>
    </row>
    <row r="809" spans="1:12" s="71" customFormat="1">
      <c r="A809" s="87"/>
      <c r="B809" s="30"/>
      <c r="C809" s="70"/>
      <c r="G809" s="30"/>
      <c r="H809" s="77"/>
      <c r="I809" s="77"/>
      <c r="J809" s="58"/>
      <c r="K809" s="58"/>
      <c r="L809" s="3"/>
    </row>
    <row r="810" spans="1:12" s="71" customFormat="1">
      <c r="A810" s="87"/>
      <c r="B810" s="30"/>
      <c r="C810" s="70"/>
      <c r="G810" s="30"/>
      <c r="H810" s="77"/>
      <c r="I810" s="77"/>
      <c r="J810" s="58"/>
      <c r="K810" s="58"/>
      <c r="L810" s="3"/>
    </row>
    <row r="811" spans="1:12" s="71" customFormat="1">
      <c r="A811" s="87"/>
      <c r="B811" s="30"/>
      <c r="C811" s="70"/>
      <c r="G811" s="30"/>
      <c r="H811" s="77"/>
      <c r="I811" s="77"/>
      <c r="J811" s="58"/>
      <c r="K811" s="58"/>
      <c r="L811" s="3"/>
    </row>
    <row r="812" spans="1:12" s="71" customFormat="1">
      <c r="A812" s="87"/>
      <c r="B812" s="30"/>
      <c r="C812" s="70"/>
      <c r="G812" s="30"/>
      <c r="H812" s="77"/>
      <c r="I812" s="77"/>
      <c r="J812" s="58"/>
      <c r="K812" s="58"/>
      <c r="L812" s="3"/>
    </row>
    <row r="813" spans="1:12" s="71" customFormat="1">
      <c r="A813" s="87"/>
      <c r="B813" s="30"/>
      <c r="C813" s="70"/>
      <c r="G813" s="30"/>
      <c r="H813" s="77"/>
      <c r="I813" s="77"/>
      <c r="J813" s="58"/>
      <c r="K813" s="58"/>
      <c r="L813" s="3"/>
    </row>
    <row r="814" spans="1:12" s="71" customFormat="1">
      <c r="A814" s="87"/>
      <c r="B814" s="30"/>
      <c r="C814" s="70"/>
      <c r="G814" s="30"/>
      <c r="H814" s="77"/>
      <c r="I814" s="77"/>
      <c r="J814" s="58"/>
      <c r="K814" s="58"/>
      <c r="L814" s="3"/>
    </row>
    <row r="815" spans="1:12" s="71" customFormat="1">
      <c r="A815" s="87"/>
      <c r="B815" s="30"/>
      <c r="C815" s="70"/>
      <c r="G815" s="30"/>
      <c r="H815" s="77"/>
      <c r="I815" s="77"/>
      <c r="J815" s="58"/>
      <c r="K815" s="58"/>
      <c r="L815" s="3"/>
    </row>
    <row r="816" spans="1:12" s="71" customFormat="1">
      <c r="A816" s="87"/>
      <c r="B816" s="30"/>
      <c r="C816" s="70"/>
      <c r="G816" s="30"/>
      <c r="H816" s="77"/>
      <c r="I816" s="77"/>
      <c r="J816" s="58"/>
      <c r="K816" s="58"/>
      <c r="L816" s="3"/>
    </row>
    <row r="817" spans="1:12" s="71" customFormat="1">
      <c r="A817" s="87"/>
      <c r="B817" s="30"/>
      <c r="C817" s="70"/>
      <c r="G817" s="30"/>
      <c r="H817" s="77"/>
      <c r="I817" s="77"/>
      <c r="J817" s="58"/>
      <c r="K817" s="58"/>
      <c r="L817" s="3"/>
    </row>
    <row r="818" spans="1:12" s="71" customFormat="1">
      <c r="A818" s="87"/>
      <c r="B818" s="30"/>
      <c r="C818" s="70"/>
      <c r="G818" s="30"/>
      <c r="H818" s="77"/>
      <c r="I818" s="77"/>
      <c r="J818" s="58"/>
      <c r="K818" s="58"/>
      <c r="L818" s="3"/>
    </row>
    <row r="819" spans="1:12" s="71" customFormat="1">
      <c r="A819" s="87"/>
      <c r="B819" s="30"/>
      <c r="C819" s="70"/>
      <c r="G819" s="30"/>
      <c r="H819" s="77"/>
      <c r="I819" s="77"/>
      <c r="J819" s="58"/>
      <c r="K819" s="58"/>
      <c r="L819" s="3"/>
    </row>
    <row r="820" spans="1:12" s="71" customFormat="1">
      <c r="A820" s="87"/>
      <c r="B820" s="30"/>
      <c r="C820" s="70"/>
      <c r="G820" s="30"/>
      <c r="H820" s="77"/>
      <c r="I820" s="77"/>
      <c r="J820" s="58"/>
      <c r="K820" s="58"/>
      <c r="L820" s="3"/>
    </row>
    <row r="821" spans="1:12" s="71" customFormat="1">
      <c r="A821" s="87"/>
      <c r="B821" s="30"/>
      <c r="C821" s="70"/>
      <c r="G821" s="30"/>
      <c r="H821" s="77"/>
      <c r="I821" s="77"/>
      <c r="J821" s="58"/>
      <c r="K821" s="58"/>
      <c r="L821" s="3"/>
    </row>
    <row r="822" spans="1:12" s="71" customFormat="1">
      <c r="A822" s="87"/>
      <c r="B822" s="30"/>
      <c r="C822" s="70"/>
      <c r="G822" s="30"/>
      <c r="H822" s="77"/>
      <c r="I822" s="77"/>
      <c r="J822" s="58"/>
      <c r="K822" s="58"/>
      <c r="L822" s="3"/>
    </row>
    <row r="823" spans="1:12" s="71" customFormat="1">
      <c r="A823" s="87"/>
      <c r="B823" s="30"/>
      <c r="C823" s="70"/>
      <c r="G823" s="30"/>
      <c r="H823" s="77"/>
      <c r="I823" s="77"/>
      <c r="J823" s="58"/>
      <c r="K823" s="58"/>
      <c r="L823" s="3"/>
    </row>
    <row r="824" spans="1:12" s="71" customFormat="1">
      <c r="A824" s="87"/>
      <c r="B824" s="30"/>
      <c r="C824" s="70"/>
      <c r="G824" s="30"/>
      <c r="H824" s="77"/>
      <c r="I824" s="77"/>
      <c r="J824" s="58"/>
      <c r="K824" s="58"/>
      <c r="L824" s="3"/>
    </row>
    <row r="825" spans="1:12" s="71" customFormat="1">
      <c r="A825" s="87"/>
      <c r="B825" s="30"/>
      <c r="C825" s="70"/>
      <c r="G825" s="30"/>
      <c r="H825" s="77"/>
      <c r="I825" s="77"/>
      <c r="J825" s="58"/>
      <c r="K825" s="58"/>
      <c r="L825" s="3"/>
    </row>
    <row r="826" spans="1:12" s="71" customFormat="1">
      <c r="A826" s="87"/>
      <c r="B826" s="30"/>
      <c r="C826" s="70"/>
      <c r="G826" s="30"/>
      <c r="H826" s="77"/>
      <c r="I826" s="77"/>
      <c r="J826" s="58"/>
      <c r="K826" s="58"/>
      <c r="L826" s="3"/>
    </row>
    <row r="827" spans="1:12" s="71" customFormat="1">
      <c r="A827" s="87"/>
      <c r="B827" s="30"/>
      <c r="C827" s="70"/>
      <c r="G827" s="30"/>
      <c r="H827" s="77"/>
      <c r="I827" s="77"/>
      <c r="J827" s="58"/>
      <c r="K827" s="58"/>
      <c r="L827" s="3"/>
    </row>
    <row r="828" spans="1:12" s="71" customFormat="1">
      <c r="A828" s="87"/>
      <c r="B828" s="30"/>
      <c r="C828" s="70"/>
      <c r="G828" s="30"/>
      <c r="H828" s="77"/>
      <c r="I828" s="77"/>
      <c r="J828" s="58"/>
      <c r="K828" s="58"/>
      <c r="L828" s="3"/>
    </row>
    <row r="829" spans="1:12" s="71" customFormat="1">
      <c r="A829" s="87"/>
      <c r="B829" s="30"/>
      <c r="C829" s="70"/>
      <c r="G829" s="30"/>
      <c r="H829" s="77"/>
      <c r="I829" s="77"/>
      <c r="J829" s="58"/>
      <c r="K829" s="58"/>
      <c r="L829" s="3"/>
    </row>
    <row r="830" spans="1:12" s="71" customFormat="1">
      <c r="A830" s="87"/>
      <c r="B830" s="30"/>
      <c r="C830" s="70"/>
      <c r="G830" s="30"/>
      <c r="H830" s="77"/>
      <c r="I830" s="77"/>
      <c r="J830" s="58"/>
      <c r="K830" s="58"/>
      <c r="L830" s="3"/>
    </row>
    <row r="831" spans="1:12" s="71" customFormat="1">
      <c r="A831" s="87"/>
      <c r="B831" s="30"/>
      <c r="C831" s="70"/>
      <c r="G831" s="30"/>
      <c r="H831" s="77"/>
      <c r="I831" s="77"/>
      <c r="J831" s="58"/>
      <c r="K831" s="58"/>
      <c r="L831" s="3"/>
    </row>
    <row r="832" spans="1:12" s="71" customFormat="1">
      <c r="A832" s="87"/>
      <c r="B832" s="30"/>
      <c r="C832" s="70"/>
      <c r="G832" s="30"/>
      <c r="H832" s="77"/>
      <c r="I832" s="77"/>
      <c r="J832" s="58"/>
      <c r="K832" s="58"/>
      <c r="L832" s="3"/>
    </row>
    <row r="833" spans="1:12" s="71" customFormat="1">
      <c r="A833" s="87"/>
      <c r="B833" s="30"/>
      <c r="C833" s="70"/>
      <c r="G833" s="30"/>
      <c r="H833" s="77"/>
      <c r="I833" s="77"/>
      <c r="J833" s="58"/>
      <c r="K833" s="58"/>
      <c r="L833" s="3"/>
    </row>
    <row r="834" spans="1:12" s="71" customFormat="1">
      <c r="A834" s="87"/>
      <c r="B834" s="30"/>
      <c r="C834" s="70"/>
      <c r="G834" s="30"/>
      <c r="H834" s="77"/>
      <c r="I834" s="77"/>
      <c r="J834" s="58"/>
      <c r="K834" s="58"/>
      <c r="L834" s="3"/>
    </row>
    <row r="835" spans="1:12" s="71" customFormat="1">
      <c r="A835" s="87"/>
      <c r="B835" s="30"/>
      <c r="C835" s="70"/>
      <c r="G835" s="30"/>
      <c r="H835" s="77"/>
      <c r="I835" s="77"/>
      <c r="J835" s="58"/>
      <c r="K835" s="58"/>
      <c r="L835" s="3"/>
    </row>
    <row r="836" spans="1:12" s="71" customFormat="1">
      <c r="A836" s="87"/>
      <c r="B836" s="30"/>
      <c r="C836" s="70"/>
      <c r="G836" s="30"/>
      <c r="H836" s="77"/>
      <c r="I836" s="77"/>
      <c r="J836" s="58"/>
      <c r="K836" s="58"/>
      <c r="L836" s="3"/>
    </row>
    <row r="837" spans="1:12" s="71" customFormat="1">
      <c r="A837" s="87"/>
      <c r="B837" s="30"/>
      <c r="C837" s="70"/>
      <c r="G837" s="30"/>
      <c r="H837" s="77"/>
      <c r="I837" s="77"/>
      <c r="J837" s="58"/>
      <c r="K837" s="58"/>
      <c r="L837" s="3"/>
    </row>
    <row r="838" spans="1:12" s="71" customFormat="1">
      <c r="A838" s="87"/>
      <c r="B838" s="30"/>
      <c r="C838" s="70"/>
      <c r="G838" s="30"/>
      <c r="H838" s="77"/>
      <c r="I838" s="77"/>
      <c r="J838" s="58"/>
      <c r="K838" s="58"/>
      <c r="L838" s="3"/>
    </row>
    <row r="839" spans="1:12" s="71" customFormat="1">
      <c r="A839" s="87"/>
      <c r="B839" s="30"/>
      <c r="C839" s="70"/>
      <c r="G839" s="30"/>
      <c r="H839" s="77"/>
      <c r="I839" s="77"/>
      <c r="J839" s="58"/>
      <c r="K839" s="58"/>
      <c r="L839" s="3"/>
    </row>
    <row r="840" spans="1:12" s="71" customFormat="1">
      <c r="A840" s="87"/>
      <c r="B840" s="30"/>
      <c r="C840" s="70"/>
      <c r="G840" s="30"/>
      <c r="H840" s="77"/>
      <c r="I840" s="77"/>
      <c r="J840" s="58"/>
      <c r="K840" s="58"/>
      <c r="L840" s="3"/>
    </row>
    <row r="841" spans="1:12" s="71" customFormat="1">
      <c r="A841" s="87"/>
      <c r="B841" s="30"/>
      <c r="C841" s="70"/>
      <c r="G841" s="30"/>
      <c r="H841" s="77"/>
      <c r="I841" s="77"/>
      <c r="J841" s="58"/>
      <c r="K841" s="58"/>
      <c r="L841" s="3"/>
    </row>
    <row r="842" spans="1:12" s="71" customFormat="1">
      <c r="A842" s="87"/>
      <c r="B842" s="30"/>
      <c r="C842" s="70"/>
      <c r="G842" s="30"/>
      <c r="H842" s="77"/>
      <c r="I842" s="77"/>
      <c r="J842" s="58"/>
      <c r="K842" s="58"/>
      <c r="L842" s="3"/>
    </row>
    <row r="843" spans="1:12" s="71" customFormat="1">
      <c r="A843" s="87"/>
      <c r="B843" s="30"/>
      <c r="C843" s="70"/>
      <c r="G843" s="30"/>
      <c r="H843" s="77"/>
      <c r="I843" s="77"/>
      <c r="J843" s="58"/>
      <c r="K843" s="58"/>
      <c r="L843" s="3"/>
    </row>
    <row r="844" spans="1:12" s="71" customFormat="1">
      <c r="A844" s="87"/>
      <c r="B844" s="30"/>
      <c r="C844" s="70"/>
      <c r="G844" s="30"/>
      <c r="H844" s="77"/>
      <c r="I844" s="77"/>
      <c r="J844" s="58"/>
      <c r="K844" s="58"/>
      <c r="L844" s="3"/>
    </row>
    <row r="845" spans="1:12" s="71" customFormat="1">
      <c r="A845" s="87"/>
      <c r="B845" s="30"/>
      <c r="C845" s="70"/>
      <c r="G845" s="30"/>
      <c r="H845" s="77"/>
      <c r="I845" s="77"/>
      <c r="J845" s="58"/>
      <c r="K845" s="58"/>
      <c r="L845" s="3"/>
    </row>
    <row r="846" spans="1:12" s="71" customFormat="1">
      <c r="A846" s="87"/>
      <c r="B846" s="30"/>
      <c r="C846" s="70"/>
      <c r="G846" s="30"/>
      <c r="H846" s="77"/>
      <c r="I846" s="77"/>
      <c r="J846" s="58"/>
      <c r="K846" s="58"/>
      <c r="L846" s="3"/>
    </row>
    <row r="847" spans="1:12" s="71" customFormat="1">
      <c r="A847" s="87"/>
      <c r="B847" s="30"/>
      <c r="C847" s="70"/>
      <c r="G847" s="30"/>
      <c r="H847" s="77"/>
      <c r="I847" s="77"/>
      <c r="J847" s="58"/>
      <c r="K847" s="58"/>
      <c r="L847" s="3"/>
    </row>
    <row r="848" spans="1:12" s="71" customFormat="1">
      <c r="A848" s="87"/>
      <c r="B848" s="30"/>
      <c r="C848" s="70"/>
      <c r="G848" s="30"/>
      <c r="H848" s="77"/>
      <c r="I848" s="77"/>
      <c r="J848" s="58"/>
      <c r="K848" s="58"/>
      <c r="L848" s="3"/>
    </row>
    <row r="849" spans="1:12" s="71" customFormat="1">
      <c r="A849" s="87"/>
      <c r="B849" s="30"/>
      <c r="C849" s="70"/>
      <c r="G849" s="30"/>
      <c r="H849" s="77"/>
      <c r="I849" s="77"/>
      <c r="J849" s="58"/>
      <c r="K849" s="58"/>
      <c r="L849" s="3"/>
    </row>
    <row r="850" spans="1:12" s="71" customFormat="1">
      <c r="A850" s="87"/>
      <c r="B850" s="30"/>
      <c r="C850" s="70"/>
      <c r="G850" s="30"/>
      <c r="H850" s="77"/>
      <c r="I850" s="77"/>
      <c r="J850" s="58"/>
      <c r="K850" s="58"/>
      <c r="L850" s="3"/>
    </row>
    <row r="851" spans="1:12" s="71" customFormat="1">
      <c r="A851" s="87"/>
      <c r="B851" s="30"/>
      <c r="C851" s="70"/>
      <c r="G851" s="30"/>
      <c r="H851" s="77"/>
      <c r="I851" s="77"/>
      <c r="J851" s="58"/>
      <c r="K851" s="58"/>
      <c r="L851" s="3"/>
    </row>
    <row r="852" spans="1:12" s="71" customFormat="1">
      <c r="A852" s="87"/>
      <c r="B852" s="30"/>
      <c r="C852" s="70"/>
      <c r="G852" s="30"/>
      <c r="H852" s="77"/>
      <c r="I852" s="77"/>
      <c r="J852" s="58"/>
      <c r="K852" s="58"/>
      <c r="L852" s="3"/>
    </row>
    <row r="853" spans="1:12" s="71" customFormat="1">
      <c r="A853" s="87"/>
      <c r="B853" s="30"/>
      <c r="C853" s="70"/>
      <c r="G853" s="30"/>
      <c r="H853" s="77"/>
      <c r="I853" s="77"/>
      <c r="J853" s="58"/>
      <c r="K853" s="58"/>
      <c r="L853" s="3"/>
    </row>
    <row r="854" spans="1:12" s="71" customFormat="1">
      <c r="A854" s="87"/>
      <c r="B854" s="30"/>
      <c r="C854" s="70"/>
      <c r="G854" s="30"/>
      <c r="H854" s="77"/>
      <c r="I854" s="77"/>
      <c r="J854" s="58"/>
      <c r="K854" s="58"/>
      <c r="L854" s="3"/>
    </row>
    <row r="855" spans="1:12" s="71" customFormat="1">
      <c r="A855" s="87"/>
      <c r="B855" s="30"/>
      <c r="C855" s="70"/>
      <c r="G855" s="30"/>
      <c r="H855" s="77"/>
      <c r="I855" s="77"/>
      <c r="J855" s="58"/>
      <c r="K855" s="58"/>
      <c r="L855" s="3"/>
    </row>
    <row r="856" spans="1:12" s="71" customFormat="1">
      <c r="A856" s="87"/>
      <c r="B856" s="30"/>
      <c r="C856" s="70"/>
      <c r="G856" s="30"/>
      <c r="H856" s="77"/>
      <c r="I856" s="77"/>
      <c r="J856" s="58"/>
      <c r="K856" s="58"/>
      <c r="L856" s="3"/>
    </row>
    <row r="857" spans="1:12" s="71" customFormat="1">
      <c r="A857" s="87"/>
      <c r="B857" s="30"/>
      <c r="C857" s="70"/>
      <c r="G857" s="30"/>
      <c r="H857" s="77"/>
      <c r="I857" s="77"/>
      <c r="J857" s="58"/>
      <c r="K857" s="58"/>
      <c r="L857" s="3"/>
    </row>
    <row r="858" spans="1:12" s="71" customFormat="1">
      <c r="A858" s="87"/>
      <c r="B858" s="30"/>
      <c r="C858" s="70"/>
      <c r="G858" s="30"/>
      <c r="H858" s="77"/>
      <c r="I858" s="77"/>
      <c r="J858" s="58"/>
      <c r="K858" s="58"/>
      <c r="L858" s="3"/>
    </row>
    <row r="859" spans="1:12" s="71" customFormat="1">
      <c r="A859" s="87"/>
      <c r="B859" s="30"/>
      <c r="C859" s="70"/>
      <c r="G859" s="30"/>
      <c r="H859" s="77"/>
      <c r="I859" s="77"/>
      <c r="J859" s="58"/>
      <c r="K859" s="58"/>
      <c r="L859" s="3"/>
    </row>
    <row r="860" spans="1:12" s="71" customFormat="1">
      <c r="A860" s="87"/>
      <c r="B860" s="30"/>
      <c r="C860" s="70"/>
      <c r="G860" s="30"/>
      <c r="H860" s="77"/>
      <c r="I860" s="77"/>
      <c r="J860" s="58"/>
      <c r="K860" s="58"/>
      <c r="L860" s="3"/>
    </row>
    <row r="861" spans="1:12" s="71" customFormat="1">
      <c r="A861" s="87"/>
      <c r="B861" s="30"/>
      <c r="C861" s="70"/>
      <c r="G861" s="30"/>
      <c r="H861" s="77"/>
      <c r="I861" s="77"/>
      <c r="J861" s="58"/>
      <c r="K861" s="58"/>
      <c r="L861" s="3"/>
    </row>
    <row r="862" spans="1:12" s="71" customFormat="1">
      <c r="A862" s="87"/>
      <c r="B862" s="30"/>
      <c r="C862" s="70"/>
      <c r="G862" s="30"/>
      <c r="H862" s="77"/>
      <c r="I862" s="77"/>
      <c r="J862" s="58"/>
      <c r="K862" s="58"/>
      <c r="L862" s="3"/>
    </row>
    <row r="863" spans="1:12" s="71" customFormat="1">
      <c r="A863" s="87"/>
      <c r="B863" s="30"/>
      <c r="C863" s="70"/>
      <c r="G863" s="30"/>
      <c r="H863" s="77"/>
      <c r="I863" s="77"/>
      <c r="J863" s="58"/>
      <c r="K863" s="58"/>
      <c r="L863" s="3"/>
    </row>
    <row r="864" spans="1:12" s="71" customFormat="1">
      <c r="A864" s="87"/>
      <c r="B864" s="30"/>
      <c r="C864" s="70"/>
      <c r="G864" s="30"/>
      <c r="H864" s="77"/>
      <c r="I864" s="77"/>
      <c r="J864" s="58"/>
      <c r="K864" s="58"/>
      <c r="L864" s="3"/>
    </row>
    <row r="865" spans="1:12" s="71" customFormat="1">
      <c r="A865" s="87"/>
      <c r="B865" s="30"/>
      <c r="C865" s="70"/>
      <c r="G865" s="30"/>
      <c r="H865" s="77"/>
      <c r="I865" s="77"/>
      <c r="J865" s="58"/>
      <c r="K865" s="58"/>
      <c r="L865" s="3"/>
    </row>
    <row r="866" spans="1:12" s="71" customFormat="1">
      <c r="A866" s="87"/>
      <c r="B866" s="30"/>
      <c r="C866" s="70"/>
      <c r="G866" s="30"/>
      <c r="H866" s="77"/>
      <c r="I866" s="77"/>
      <c r="J866" s="58"/>
      <c r="K866" s="58"/>
      <c r="L866" s="3"/>
    </row>
    <row r="867" spans="1:12" s="71" customFormat="1">
      <c r="A867" s="87"/>
      <c r="B867" s="30"/>
      <c r="C867" s="70"/>
      <c r="G867" s="30"/>
      <c r="H867" s="77"/>
      <c r="I867" s="77"/>
      <c r="J867" s="58"/>
      <c r="K867" s="58"/>
      <c r="L867" s="3"/>
    </row>
    <row r="868" spans="1:12" s="71" customFormat="1">
      <c r="A868" s="87"/>
      <c r="B868" s="30"/>
      <c r="C868" s="70"/>
      <c r="G868" s="30"/>
      <c r="H868" s="77"/>
      <c r="I868" s="77"/>
      <c r="J868" s="58"/>
      <c r="K868" s="58"/>
      <c r="L868" s="3"/>
    </row>
    <row r="869" spans="1:12" s="71" customFormat="1">
      <c r="A869" s="87"/>
      <c r="B869" s="30"/>
      <c r="C869" s="70"/>
      <c r="G869" s="30"/>
      <c r="H869" s="77"/>
      <c r="I869" s="77"/>
      <c r="J869" s="58"/>
      <c r="K869" s="58"/>
      <c r="L869" s="3"/>
    </row>
    <row r="870" spans="1:12" s="71" customFormat="1">
      <c r="A870" s="87"/>
      <c r="B870" s="30"/>
      <c r="C870" s="70"/>
      <c r="G870" s="30"/>
      <c r="H870" s="77"/>
      <c r="I870" s="77"/>
      <c r="J870" s="58"/>
      <c r="K870" s="58"/>
      <c r="L870" s="3"/>
    </row>
    <row r="871" spans="1:12" s="71" customFormat="1">
      <c r="A871" s="87"/>
      <c r="B871" s="30"/>
      <c r="C871" s="70"/>
      <c r="G871" s="30"/>
      <c r="H871" s="77"/>
      <c r="I871" s="77"/>
      <c r="J871" s="58"/>
      <c r="K871" s="58"/>
      <c r="L871" s="3"/>
    </row>
    <row r="872" spans="1:12" s="71" customFormat="1">
      <c r="A872" s="87"/>
      <c r="B872" s="30"/>
      <c r="C872" s="70"/>
      <c r="G872" s="30"/>
      <c r="H872" s="77"/>
      <c r="I872" s="77"/>
      <c r="J872" s="58"/>
      <c r="K872" s="58"/>
      <c r="L872" s="3"/>
    </row>
    <row r="873" spans="1:12" s="71" customFormat="1">
      <c r="A873" s="87"/>
      <c r="B873" s="30"/>
      <c r="C873" s="70"/>
      <c r="G873" s="30"/>
      <c r="H873" s="77"/>
      <c r="I873" s="77"/>
      <c r="J873" s="58"/>
      <c r="K873" s="58"/>
      <c r="L873" s="3"/>
    </row>
    <row r="874" spans="1:12" s="71" customFormat="1">
      <c r="A874" s="87"/>
      <c r="B874" s="30"/>
      <c r="C874" s="70"/>
      <c r="G874" s="30"/>
      <c r="H874" s="77"/>
      <c r="I874" s="77"/>
      <c r="J874" s="58"/>
      <c r="K874" s="58"/>
      <c r="L874" s="3"/>
    </row>
    <row r="875" spans="1:12" s="71" customFormat="1">
      <c r="A875" s="87"/>
      <c r="B875" s="30"/>
      <c r="C875" s="70"/>
      <c r="G875" s="30"/>
      <c r="H875" s="77"/>
      <c r="I875" s="77"/>
      <c r="J875" s="58"/>
      <c r="K875" s="58"/>
      <c r="L875" s="3"/>
    </row>
    <row r="876" spans="1:12" s="71" customFormat="1">
      <c r="A876" s="87"/>
      <c r="B876" s="30"/>
      <c r="C876" s="70"/>
      <c r="G876" s="30"/>
      <c r="H876" s="77"/>
      <c r="I876" s="77"/>
      <c r="J876" s="58"/>
      <c r="K876" s="58"/>
      <c r="L876" s="3"/>
    </row>
    <row r="877" spans="1:12" s="71" customFormat="1">
      <c r="A877" s="87"/>
      <c r="B877" s="30"/>
      <c r="C877" s="70"/>
      <c r="G877" s="30"/>
      <c r="H877" s="77"/>
      <c r="I877" s="77"/>
      <c r="J877" s="58"/>
      <c r="K877" s="58"/>
      <c r="L877" s="3"/>
    </row>
    <row r="878" spans="1:12" s="71" customFormat="1">
      <c r="A878" s="87"/>
      <c r="B878" s="30"/>
      <c r="C878" s="70"/>
      <c r="G878" s="30"/>
      <c r="H878" s="77"/>
      <c r="I878" s="77"/>
      <c r="J878" s="58"/>
      <c r="K878" s="58"/>
      <c r="L878" s="3"/>
    </row>
    <row r="879" spans="1:12" s="71" customFormat="1">
      <c r="A879" s="87"/>
      <c r="B879" s="30"/>
      <c r="C879" s="70"/>
      <c r="G879" s="30"/>
      <c r="H879" s="77"/>
      <c r="I879" s="77"/>
      <c r="J879" s="58"/>
      <c r="K879" s="58"/>
      <c r="L879" s="3"/>
    </row>
    <row r="880" spans="1:12" s="71" customFormat="1">
      <c r="A880" s="87"/>
      <c r="B880" s="30"/>
      <c r="C880" s="70"/>
      <c r="G880" s="30"/>
      <c r="H880" s="77"/>
      <c r="I880" s="77"/>
      <c r="J880" s="58"/>
      <c r="K880" s="58"/>
      <c r="L880" s="3"/>
    </row>
    <row r="881" spans="1:12" s="71" customFormat="1">
      <c r="A881" s="87"/>
      <c r="B881" s="30"/>
      <c r="C881" s="70"/>
      <c r="G881" s="30"/>
      <c r="H881" s="77"/>
      <c r="I881" s="77"/>
      <c r="J881" s="58"/>
      <c r="K881" s="58"/>
      <c r="L881" s="3"/>
    </row>
    <row r="882" spans="1:12" s="71" customFormat="1">
      <c r="A882" s="87"/>
      <c r="B882" s="30"/>
      <c r="C882" s="70"/>
      <c r="G882" s="30"/>
      <c r="H882" s="77"/>
      <c r="I882" s="77"/>
      <c r="J882" s="58"/>
      <c r="K882" s="58"/>
      <c r="L882" s="3"/>
    </row>
    <row r="883" spans="1:12" s="71" customFormat="1">
      <c r="A883" s="87"/>
      <c r="B883" s="30"/>
      <c r="C883" s="70"/>
      <c r="G883" s="30"/>
      <c r="H883" s="77"/>
      <c r="I883" s="77"/>
      <c r="J883" s="58"/>
      <c r="K883" s="58"/>
      <c r="L883" s="3"/>
    </row>
    <row r="884" spans="1:12" s="71" customFormat="1">
      <c r="A884" s="87"/>
      <c r="B884" s="30"/>
      <c r="C884" s="70"/>
      <c r="G884" s="30"/>
      <c r="H884" s="77"/>
      <c r="I884" s="77"/>
      <c r="J884" s="58"/>
      <c r="K884" s="58"/>
      <c r="L884" s="3"/>
    </row>
    <row r="885" spans="1:12" s="71" customFormat="1">
      <c r="A885" s="87"/>
      <c r="B885" s="30"/>
      <c r="C885" s="70"/>
      <c r="G885" s="30"/>
      <c r="H885" s="77"/>
      <c r="I885" s="77"/>
      <c r="J885" s="58"/>
      <c r="K885" s="58"/>
      <c r="L885" s="3"/>
    </row>
    <row r="886" spans="1:12" s="71" customFormat="1">
      <c r="A886" s="87"/>
      <c r="B886" s="30"/>
      <c r="C886" s="70"/>
      <c r="G886" s="30"/>
      <c r="H886" s="77"/>
      <c r="I886" s="77"/>
      <c r="J886" s="58"/>
      <c r="K886" s="58"/>
      <c r="L886" s="3"/>
    </row>
    <row r="887" spans="1:12" s="71" customFormat="1">
      <c r="A887" s="87"/>
      <c r="B887" s="30"/>
      <c r="C887" s="70"/>
      <c r="G887" s="30"/>
      <c r="H887" s="77"/>
      <c r="I887" s="77"/>
      <c r="J887" s="58"/>
      <c r="K887" s="58"/>
      <c r="L887" s="3"/>
    </row>
    <row r="888" spans="1:12" s="71" customFormat="1">
      <c r="A888" s="87"/>
      <c r="B888" s="30"/>
      <c r="C888" s="70"/>
      <c r="G888" s="30"/>
      <c r="H888" s="77"/>
      <c r="I888" s="77"/>
      <c r="J888" s="58"/>
      <c r="K888" s="58"/>
      <c r="L888" s="3"/>
    </row>
    <row r="889" spans="1:12" s="71" customFormat="1">
      <c r="A889" s="87"/>
      <c r="B889" s="30"/>
      <c r="C889" s="70"/>
      <c r="G889" s="30"/>
      <c r="H889" s="77"/>
      <c r="I889" s="77"/>
      <c r="J889" s="58"/>
      <c r="K889" s="58"/>
      <c r="L889" s="3"/>
    </row>
    <row r="890" spans="1:12" s="71" customFormat="1">
      <c r="A890" s="87"/>
      <c r="B890" s="30"/>
      <c r="C890" s="70"/>
      <c r="G890" s="30"/>
      <c r="H890" s="77"/>
      <c r="I890" s="77"/>
      <c r="J890" s="58"/>
      <c r="K890" s="58"/>
      <c r="L890" s="3"/>
    </row>
    <row r="891" spans="1:12" s="71" customFormat="1">
      <c r="A891" s="87"/>
      <c r="B891" s="30"/>
      <c r="C891" s="70"/>
      <c r="G891" s="30"/>
      <c r="H891" s="77"/>
      <c r="I891" s="77"/>
      <c r="J891" s="58"/>
      <c r="K891" s="58"/>
      <c r="L891" s="3"/>
    </row>
    <row r="892" spans="1:12" s="71" customFormat="1">
      <c r="A892" s="87"/>
      <c r="B892" s="30"/>
      <c r="C892" s="70"/>
      <c r="G892" s="30"/>
      <c r="H892" s="77"/>
      <c r="I892" s="77"/>
      <c r="J892" s="58"/>
      <c r="K892" s="58"/>
      <c r="L892" s="3"/>
    </row>
    <row r="893" spans="1:12" s="71" customFormat="1">
      <c r="A893" s="87"/>
      <c r="B893" s="30"/>
      <c r="C893" s="70"/>
      <c r="G893" s="30"/>
      <c r="H893" s="77"/>
      <c r="I893" s="77"/>
      <c r="J893" s="58"/>
      <c r="K893" s="58"/>
      <c r="L893" s="3"/>
    </row>
    <row r="894" spans="1:12" s="71" customFormat="1">
      <c r="A894" s="87"/>
      <c r="B894" s="30"/>
      <c r="C894" s="70"/>
      <c r="G894" s="30"/>
      <c r="H894" s="77"/>
      <c r="I894" s="77"/>
      <c r="J894" s="58"/>
      <c r="K894" s="58"/>
      <c r="L894" s="3"/>
    </row>
    <row r="895" spans="1:12" s="71" customFormat="1">
      <c r="A895" s="87"/>
      <c r="B895" s="30"/>
      <c r="C895" s="70"/>
      <c r="G895" s="30"/>
      <c r="H895" s="77"/>
      <c r="I895" s="77"/>
      <c r="J895" s="58"/>
      <c r="K895" s="58"/>
      <c r="L895" s="3"/>
    </row>
    <row r="896" spans="1:12" s="71" customFormat="1">
      <c r="A896" s="87"/>
      <c r="B896" s="30"/>
      <c r="C896" s="70"/>
      <c r="G896" s="30"/>
      <c r="H896" s="77"/>
      <c r="I896" s="77"/>
      <c r="J896" s="58"/>
      <c r="K896" s="58"/>
      <c r="L896" s="3"/>
    </row>
    <row r="897" spans="1:12" s="71" customFormat="1">
      <c r="A897" s="87"/>
      <c r="B897" s="30"/>
      <c r="C897" s="70"/>
      <c r="G897" s="30"/>
      <c r="H897" s="77"/>
      <c r="I897" s="77"/>
      <c r="J897" s="58"/>
      <c r="K897" s="58"/>
      <c r="L897" s="3"/>
    </row>
    <row r="898" spans="1:12" s="71" customFormat="1">
      <c r="A898" s="87"/>
      <c r="B898" s="30"/>
      <c r="C898" s="70"/>
      <c r="G898" s="30"/>
      <c r="H898" s="77"/>
      <c r="I898" s="77"/>
      <c r="J898" s="58"/>
      <c r="K898" s="58"/>
      <c r="L898" s="3"/>
    </row>
    <row r="899" spans="1:12" s="71" customFormat="1">
      <c r="A899" s="87"/>
      <c r="B899" s="30"/>
      <c r="C899" s="70"/>
      <c r="G899" s="30"/>
      <c r="H899" s="77"/>
      <c r="I899" s="77"/>
      <c r="J899" s="58"/>
      <c r="K899" s="58"/>
      <c r="L899" s="3"/>
    </row>
    <row r="900" spans="1:12" s="71" customFormat="1">
      <c r="A900" s="87"/>
      <c r="B900" s="30"/>
      <c r="C900" s="70"/>
      <c r="G900" s="30"/>
      <c r="H900" s="77"/>
      <c r="I900" s="77"/>
      <c r="J900" s="58"/>
      <c r="K900" s="58"/>
      <c r="L900" s="3"/>
    </row>
    <row r="901" spans="1:12" s="71" customFormat="1">
      <c r="A901" s="87"/>
      <c r="B901" s="30"/>
      <c r="C901" s="70"/>
      <c r="G901" s="30"/>
      <c r="H901" s="77"/>
      <c r="I901" s="77"/>
      <c r="J901" s="58"/>
      <c r="K901" s="58"/>
      <c r="L901" s="3"/>
    </row>
    <row r="902" spans="1:12" s="71" customFormat="1">
      <c r="A902" s="87"/>
      <c r="B902" s="30"/>
      <c r="C902" s="70"/>
      <c r="G902" s="30"/>
      <c r="H902" s="77"/>
      <c r="I902" s="77"/>
      <c r="J902" s="58"/>
      <c r="K902" s="58"/>
      <c r="L902" s="3"/>
    </row>
    <row r="903" spans="1:12" s="71" customFormat="1">
      <c r="A903" s="87"/>
      <c r="B903" s="30"/>
      <c r="C903" s="70"/>
      <c r="G903" s="30"/>
      <c r="H903" s="77"/>
      <c r="I903" s="77"/>
      <c r="J903" s="58"/>
      <c r="K903" s="58"/>
      <c r="L903" s="3"/>
    </row>
    <row r="904" spans="1:12" s="71" customFormat="1">
      <c r="A904" s="87"/>
      <c r="B904" s="30"/>
      <c r="C904" s="70"/>
      <c r="G904" s="30"/>
      <c r="H904" s="77"/>
      <c r="I904" s="77"/>
      <c r="J904" s="58"/>
      <c r="K904" s="58"/>
      <c r="L904" s="3"/>
    </row>
    <row r="905" spans="1:12" s="71" customFormat="1">
      <c r="A905" s="87"/>
      <c r="B905" s="30"/>
      <c r="C905" s="70"/>
      <c r="G905" s="30"/>
      <c r="H905" s="77"/>
      <c r="I905" s="77"/>
      <c r="J905" s="58"/>
      <c r="K905" s="58"/>
      <c r="L905" s="3"/>
    </row>
    <row r="906" spans="1:12" s="71" customFormat="1">
      <c r="A906" s="87"/>
      <c r="B906" s="30"/>
      <c r="C906" s="70"/>
      <c r="G906" s="30"/>
      <c r="H906" s="77"/>
      <c r="I906" s="77"/>
      <c r="J906" s="58"/>
      <c r="K906" s="58"/>
      <c r="L906" s="3"/>
    </row>
    <row r="907" spans="1:12" s="71" customFormat="1">
      <c r="A907" s="87"/>
      <c r="B907" s="30"/>
      <c r="C907" s="70"/>
      <c r="G907" s="30"/>
      <c r="H907" s="77"/>
      <c r="I907" s="77"/>
      <c r="J907" s="58"/>
      <c r="K907" s="58"/>
      <c r="L907" s="3"/>
    </row>
    <row r="908" spans="1:12" s="71" customFormat="1">
      <c r="A908" s="87"/>
      <c r="B908" s="30"/>
      <c r="C908" s="70"/>
      <c r="G908" s="30"/>
      <c r="H908" s="77"/>
      <c r="I908" s="77"/>
      <c r="J908" s="58"/>
      <c r="K908" s="58"/>
      <c r="L908" s="3"/>
    </row>
    <row r="909" spans="1:12" s="71" customFormat="1">
      <c r="A909" s="87"/>
      <c r="B909" s="30"/>
      <c r="C909" s="70"/>
      <c r="G909" s="30"/>
      <c r="H909" s="77"/>
      <c r="I909" s="77"/>
      <c r="J909" s="58"/>
      <c r="K909" s="58"/>
      <c r="L909" s="3"/>
    </row>
    <row r="910" spans="1:12" s="71" customFormat="1">
      <c r="A910" s="87"/>
      <c r="B910" s="30"/>
      <c r="C910" s="70"/>
      <c r="G910" s="30"/>
      <c r="H910" s="77"/>
      <c r="I910" s="77"/>
      <c r="J910" s="58"/>
      <c r="K910" s="58"/>
      <c r="L910" s="3"/>
    </row>
    <row r="911" spans="1:12" s="71" customFormat="1">
      <c r="A911" s="87"/>
      <c r="B911" s="30"/>
      <c r="C911" s="70"/>
      <c r="G911" s="30"/>
      <c r="H911" s="77"/>
      <c r="I911" s="77"/>
      <c r="J911" s="58"/>
      <c r="K911" s="58"/>
      <c r="L911" s="3"/>
    </row>
    <row r="912" spans="1:12" s="71" customFormat="1">
      <c r="A912" s="87"/>
      <c r="B912" s="30"/>
      <c r="C912" s="70"/>
      <c r="G912" s="30"/>
      <c r="H912" s="77"/>
      <c r="I912" s="77"/>
      <c r="J912" s="58"/>
      <c r="K912" s="58"/>
      <c r="L912" s="3"/>
    </row>
    <row r="913" spans="1:12" s="71" customFormat="1">
      <c r="A913" s="87"/>
      <c r="B913" s="30"/>
      <c r="C913" s="70"/>
      <c r="G913" s="30"/>
      <c r="H913" s="77"/>
      <c r="I913" s="77"/>
      <c r="J913" s="58"/>
      <c r="K913" s="58"/>
      <c r="L913" s="3"/>
    </row>
    <row r="914" spans="1:12" s="71" customFormat="1">
      <c r="A914" s="87"/>
      <c r="B914" s="30"/>
      <c r="C914" s="70"/>
      <c r="G914" s="30"/>
      <c r="H914" s="77"/>
      <c r="I914" s="77"/>
      <c r="J914" s="58"/>
      <c r="K914" s="58"/>
      <c r="L914" s="3"/>
    </row>
    <row r="915" spans="1:12" s="71" customFormat="1">
      <c r="A915" s="87"/>
      <c r="B915" s="30"/>
      <c r="C915" s="70"/>
      <c r="G915" s="30"/>
      <c r="H915" s="77"/>
      <c r="I915" s="77"/>
      <c r="J915" s="58"/>
      <c r="K915" s="58"/>
      <c r="L915" s="3"/>
    </row>
    <row r="916" spans="1:12" s="71" customFormat="1">
      <c r="A916" s="87"/>
      <c r="B916" s="30"/>
      <c r="C916" s="70"/>
      <c r="G916" s="30"/>
      <c r="H916" s="77"/>
      <c r="I916" s="77"/>
      <c r="J916" s="58"/>
      <c r="K916" s="58"/>
      <c r="L916" s="3"/>
    </row>
    <row r="917" spans="1:12" s="71" customFormat="1">
      <c r="A917" s="87"/>
      <c r="B917" s="30"/>
      <c r="C917" s="70"/>
      <c r="G917" s="30"/>
      <c r="H917" s="77"/>
      <c r="I917" s="77"/>
      <c r="J917" s="58"/>
      <c r="K917" s="58"/>
      <c r="L917" s="3"/>
    </row>
    <row r="918" spans="1:12" s="71" customFormat="1">
      <c r="A918" s="87"/>
      <c r="B918" s="30"/>
      <c r="C918" s="70"/>
      <c r="G918" s="30"/>
      <c r="H918" s="77"/>
      <c r="I918" s="77"/>
      <c r="J918" s="58"/>
      <c r="K918" s="58"/>
      <c r="L918" s="3"/>
    </row>
    <row r="919" spans="1:12" s="71" customFormat="1">
      <c r="A919" s="87"/>
      <c r="B919" s="30"/>
      <c r="C919" s="70"/>
      <c r="G919" s="30"/>
      <c r="H919" s="77"/>
      <c r="I919" s="77"/>
      <c r="J919" s="58"/>
      <c r="K919" s="58"/>
      <c r="L919" s="3"/>
    </row>
    <row r="920" spans="1:12" s="71" customFormat="1">
      <c r="A920" s="87"/>
      <c r="B920" s="30"/>
      <c r="C920" s="70"/>
      <c r="G920" s="30"/>
      <c r="H920" s="77"/>
      <c r="I920" s="77"/>
      <c r="J920" s="58"/>
      <c r="K920" s="58"/>
      <c r="L920" s="3"/>
    </row>
    <row r="921" spans="1:12" s="71" customFormat="1">
      <c r="A921" s="87"/>
      <c r="B921" s="30"/>
      <c r="C921" s="70"/>
      <c r="G921" s="30"/>
      <c r="H921" s="77"/>
      <c r="I921" s="77"/>
      <c r="J921" s="58"/>
      <c r="K921" s="58"/>
      <c r="L921" s="3"/>
    </row>
    <row r="922" spans="1:12" s="71" customFormat="1">
      <c r="A922" s="87"/>
      <c r="B922" s="30"/>
      <c r="C922" s="70"/>
      <c r="G922" s="30"/>
      <c r="H922" s="77"/>
      <c r="I922" s="77"/>
      <c r="J922" s="58"/>
      <c r="K922" s="58"/>
      <c r="L922" s="3"/>
    </row>
    <row r="923" spans="1:12" s="71" customFormat="1">
      <c r="A923" s="87"/>
      <c r="B923" s="30"/>
      <c r="C923" s="70"/>
      <c r="G923" s="30"/>
      <c r="H923" s="77"/>
      <c r="I923" s="77"/>
      <c r="J923" s="58"/>
      <c r="K923" s="58"/>
      <c r="L923" s="3"/>
    </row>
    <row r="924" spans="1:12" s="71" customFormat="1">
      <c r="A924" s="87"/>
      <c r="B924" s="30"/>
      <c r="C924" s="70"/>
      <c r="G924" s="30"/>
      <c r="H924" s="77"/>
      <c r="I924" s="77"/>
      <c r="J924" s="58"/>
      <c r="K924" s="58"/>
      <c r="L924" s="3"/>
    </row>
    <row r="925" spans="1:12" s="71" customFormat="1">
      <c r="A925" s="87"/>
      <c r="B925" s="30"/>
      <c r="C925" s="70"/>
      <c r="G925" s="30"/>
      <c r="H925" s="77"/>
      <c r="I925" s="77"/>
      <c r="J925" s="58"/>
      <c r="K925" s="58"/>
      <c r="L925" s="3"/>
    </row>
    <row r="926" spans="1:12" s="71" customFormat="1">
      <c r="A926" s="87"/>
      <c r="B926" s="30"/>
      <c r="C926" s="70"/>
      <c r="G926" s="30"/>
      <c r="H926" s="77"/>
      <c r="I926" s="77"/>
      <c r="J926" s="58"/>
      <c r="K926" s="58"/>
      <c r="L926" s="3"/>
    </row>
    <row r="927" spans="1:12" s="71" customFormat="1">
      <c r="A927" s="87"/>
      <c r="B927" s="30"/>
      <c r="C927" s="70"/>
      <c r="G927" s="30"/>
      <c r="H927" s="77"/>
      <c r="I927" s="77"/>
      <c r="J927" s="58"/>
      <c r="K927" s="58"/>
      <c r="L927" s="3"/>
    </row>
    <row r="928" spans="1:12" s="71" customFormat="1">
      <c r="A928" s="87"/>
      <c r="B928" s="30"/>
      <c r="C928" s="70"/>
      <c r="G928" s="30"/>
      <c r="H928" s="77"/>
      <c r="I928" s="77"/>
      <c r="J928" s="58"/>
      <c r="K928" s="58"/>
      <c r="L928" s="3"/>
    </row>
    <row r="929" spans="1:12" s="71" customFormat="1">
      <c r="A929" s="87"/>
      <c r="B929" s="30"/>
      <c r="C929" s="70"/>
      <c r="G929" s="30"/>
      <c r="H929" s="77"/>
      <c r="I929" s="77"/>
      <c r="J929" s="58"/>
      <c r="K929" s="58"/>
      <c r="L929" s="3"/>
    </row>
    <row r="930" spans="1:12" s="71" customFormat="1">
      <c r="A930" s="87"/>
      <c r="B930" s="30"/>
      <c r="C930" s="70"/>
      <c r="G930" s="30"/>
      <c r="H930" s="77"/>
      <c r="I930" s="77"/>
      <c r="J930" s="58"/>
      <c r="K930" s="58"/>
      <c r="L930" s="3"/>
    </row>
    <row r="931" spans="1:12" s="71" customFormat="1">
      <c r="A931" s="87"/>
      <c r="B931" s="30"/>
      <c r="C931" s="70"/>
      <c r="G931" s="30"/>
      <c r="H931" s="77"/>
      <c r="I931" s="77"/>
      <c r="J931" s="58"/>
      <c r="K931" s="58"/>
      <c r="L931" s="3"/>
    </row>
    <row r="932" spans="1:12" s="71" customFormat="1">
      <c r="A932" s="87"/>
      <c r="B932" s="30"/>
      <c r="C932" s="70"/>
      <c r="G932" s="30"/>
      <c r="H932" s="77"/>
      <c r="I932" s="77"/>
      <c r="J932" s="58"/>
      <c r="K932" s="58"/>
      <c r="L932" s="3"/>
    </row>
    <row r="933" spans="1:12" s="71" customFormat="1">
      <c r="A933" s="87"/>
      <c r="B933" s="30"/>
      <c r="C933" s="70"/>
      <c r="G933" s="30"/>
      <c r="H933" s="77"/>
      <c r="I933" s="77"/>
      <c r="J933" s="58"/>
      <c r="K933" s="58"/>
      <c r="L933" s="3"/>
    </row>
    <row r="934" spans="1:12" s="71" customFormat="1">
      <c r="A934" s="87"/>
      <c r="B934" s="30"/>
      <c r="C934" s="70"/>
      <c r="G934" s="30"/>
      <c r="H934" s="77"/>
      <c r="I934" s="77"/>
      <c r="J934" s="58"/>
      <c r="K934" s="58"/>
      <c r="L934" s="3"/>
    </row>
    <row r="935" spans="1:12" s="71" customFormat="1">
      <c r="A935" s="87"/>
      <c r="B935" s="30"/>
      <c r="C935" s="70"/>
      <c r="G935" s="30"/>
      <c r="H935" s="77"/>
      <c r="I935" s="77"/>
      <c r="J935" s="58"/>
      <c r="K935" s="58"/>
      <c r="L935" s="3"/>
    </row>
    <row r="936" spans="1:12" s="71" customFormat="1">
      <c r="A936" s="87"/>
      <c r="B936" s="30"/>
      <c r="C936" s="70"/>
      <c r="G936" s="30"/>
      <c r="H936" s="77"/>
      <c r="I936" s="77"/>
      <c r="J936" s="58"/>
      <c r="K936" s="58"/>
      <c r="L936" s="3"/>
    </row>
    <row r="937" spans="1:12" s="71" customFormat="1">
      <c r="A937" s="87"/>
      <c r="B937" s="30"/>
      <c r="C937" s="70"/>
      <c r="G937" s="30"/>
      <c r="H937" s="77"/>
      <c r="I937" s="77"/>
      <c r="J937" s="58"/>
      <c r="K937" s="58"/>
      <c r="L937" s="3"/>
    </row>
    <row r="938" spans="1:12" s="71" customFormat="1">
      <c r="A938" s="87"/>
      <c r="B938" s="30"/>
      <c r="C938" s="70"/>
      <c r="G938" s="30"/>
      <c r="H938" s="77"/>
      <c r="I938" s="77"/>
      <c r="J938" s="58"/>
      <c r="K938" s="58"/>
      <c r="L938" s="3"/>
    </row>
    <row r="939" spans="1:12" s="71" customFormat="1">
      <c r="A939" s="87"/>
      <c r="B939" s="30"/>
      <c r="C939" s="70"/>
      <c r="G939" s="30"/>
      <c r="H939" s="77"/>
      <c r="I939" s="77"/>
      <c r="J939" s="58"/>
      <c r="K939" s="58"/>
      <c r="L939" s="3"/>
    </row>
    <row r="940" spans="1:12" s="71" customFormat="1">
      <c r="A940" s="87"/>
      <c r="B940" s="30"/>
      <c r="C940" s="70"/>
      <c r="G940" s="30"/>
      <c r="H940" s="77"/>
      <c r="I940" s="77"/>
      <c r="J940" s="58"/>
      <c r="K940" s="58"/>
      <c r="L940" s="3"/>
    </row>
    <row r="941" spans="1:12" s="71" customFormat="1">
      <c r="A941" s="87"/>
      <c r="B941" s="30"/>
      <c r="C941" s="70"/>
      <c r="G941" s="30"/>
      <c r="H941" s="77"/>
      <c r="I941" s="77"/>
      <c r="J941" s="58"/>
      <c r="K941" s="58"/>
      <c r="L941" s="3"/>
    </row>
    <row r="942" spans="1:12" s="71" customFormat="1">
      <c r="A942" s="87"/>
      <c r="B942" s="30"/>
      <c r="C942" s="70"/>
      <c r="G942" s="30"/>
      <c r="H942" s="77"/>
      <c r="I942" s="77"/>
      <c r="J942" s="58"/>
      <c r="K942" s="58"/>
      <c r="L942" s="3"/>
    </row>
    <row r="943" spans="1:12" s="71" customFormat="1">
      <c r="A943" s="87"/>
      <c r="B943" s="30"/>
      <c r="C943" s="70"/>
      <c r="G943" s="30"/>
      <c r="H943" s="77"/>
      <c r="I943" s="77"/>
      <c r="J943" s="58"/>
      <c r="K943" s="58"/>
      <c r="L943" s="3"/>
    </row>
    <row r="944" spans="1:12" s="71" customFormat="1">
      <c r="A944" s="87"/>
      <c r="B944" s="30"/>
      <c r="C944" s="70"/>
      <c r="G944" s="30"/>
      <c r="H944" s="77"/>
      <c r="I944" s="77"/>
      <c r="J944" s="58"/>
      <c r="K944" s="58"/>
      <c r="L944" s="3"/>
    </row>
    <row r="945" spans="1:12" s="71" customFormat="1">
      <c r="A945" s="87"/>
      <c r="B945" s="30"/>
      <c r="C945" s="70"/>
      <c r="G945" s="30"/>
      <c r="H945" s="77"/>
      <c r="I945" s="77"/>
      <c r="J945" s="58"/>
      <c r="K945" s="58"/>
      <c r="L945" s="3"/>
    </row>
    <row r="946" spans="1:12" s="71" customFormat="1">
      <c r="A946" s="87"/>
      <c r="B946" s="30"/>
      <c r="C946" s="70"/>
      <c r="G946" s="30"/>
      <c r="H946" s="77"/>
      <c r="I946" s="77"/>
      <c r="J946" s="58"/>
      <c r="K946" s="58"/>
      <c r="L946" s="3"/>
    </row>
    <row r="947" spans="1:12" s="71" customFormat="1">
      <c r="A947" s="87"/>
      <c r="B947" s="30"/>
      <c r="C947" s="70"/>
      <c r="G947" s="30"/>
      <c r="H947" s="77"/>
      <c r="I947" s="77"/>
      <c r="J947" s="58"/>
      <c r="K947" s="58"/>
      <c r="L947" s="3"/>
    </row>
    <row r="948" spans="1:12" s="71" customFormat="1">
      <c r="A948" s="87"/>
      <c r="B948" s="30"/>
      <c r="C948" s="70"/>
      <c r="G948" s="30"/>
      <c r="H948" s="77"/>
      <c r="I948" s="77"/>
      <c r="J948" s="58"/>
      <c r="K948" s="58"/>
      <c r="L948" s="3"/>
    </row>
    <row r="949" spans="1:12" s="71" customFormat="1">
      <c r="A949" s="87"/>
      <c r="B949" s="30"/>
      <c r="C949" s="70"/>
      <c r="G949" s="30"/>
      <c r="H949" s="77"/>
      <c r="I949" s="77"/>
      <c r="J949" s="58"/>
      <c r="K949" s="58"/>
      <c r="L949" s="3"/>
    </row>
    <row r="950" spans="1:12" s="71" customFormat="1">
      <c r="A950" s="87"/>
      <c r="B950" s="30"/>
      <c r="C950" s="70"/>
      <c r="G950" s="30"/>
      <c r="H950" s="77"/>
      <c r="I950" s="77"/>
      <c r="J950" s="58"/>
      <c r="K950" s="58"/>
      <c r="L950" s="3"/>
    </row>
    <row r="951" spans="1:12" s="71" customFormat="1">
      <c r="A951" s="87"/>
      <c r="B951" s="30"/>
      <c r="C951" s="70"/>
      <c r="G951" s="30"/>
      <c r="H951" s="77"/>
      <c r="I951" s="77"/>
      <c r="J951" s="58"/>
      <c r="K951" s="58"/>
      <c r="L951" s="3"/>
    </row>
    <row r="952" spans="1:12" s="71" customFormat="1">
      <c r="A952" s="87"/>
      <c r="B952" s="30"/>
      <c r="C952" s="70"/>
      <c r="G952" s="30"/>
      <c r="H952" s="77"/>
      <c r="I952" s="77"/>
      <c r="J952" s="58"/>
      <c r="K952" s="58"/>
      <c r="L952" s="3"/>
    </row>
    <row r="953" spans="1:12" s="71" customFormat="1">
      <c r="A953" s="87"/>
      <c r="B953" s="30"/>
      <c r="C953" s="70"/>
      <c r="G953" s="30"/>
      <c r="H953" s="77"/>
      <c r="I953" s="77"/>
      <c r="J953" s="58"/>
      <c r="K953" s="58"/>
      <c r="L953" s="3"/>
    </row>
    <row r="954" spans="1:12" s="71" customFormat="1">
      <c r="A954" s="87"/>
      <c r="B954" s="30"/>
      <c r="C954" s="70"/>
      <c r="G954" s="30"/>
      <c r="H954" s="77"/>
      <c r="I954" s="77"/>
      <c r="J954" s="58"/>
      <c r="K954" s="58"/>
      <c r="L954" s="3"/>
    </row>
    <row r="955" spans="1:12" s="71" customFormat="1">
      <c r="A955" s="87"/>
      <c r="B955" s="30"/>
      <c r="C955" s="70"/>
      <c r="G955" s="30"/>
      <c r="H955" s="77"/>
      <c r="I955" s="77"/>
      <c r="J955" s="58"/>
      <c r="K955" s="58"/>
      <c r="L955" s="3"/>
    </row>
    <row r="956" spans="1:12" s="71" customFormat="1">
      <c r="A956" s="87"/>
      <c r="B956" s="30"/>
      <c r="C956" s="70"/>
      <c r="G956" s="30"/>
      <c r="H956" s="77"/>
      <c r="I956" s="77"/>
      <c r="J956" s="58"/>
      <c r="K956" s="58"/>
      <c r="L956" s="3"/>
    </row>
    <row r="957" spans="1:12" s="71" customFormat="1">
      <c r="A957" s="87"/>
      <c r="B957" s="30"/>
      <c r="C957" s="70"/>
      <c r="G957" s="30"/>
      <c r="H957" s="77"/>
      <c r="I957" s="77"/>
      <c r="J957" s="58"/>
      <c r="K957" s="58"/>
      <c r="L957" s="3"/>
    </row>
    <row r="958" spans="1:12" s="71" customFormat="1">
      <c r="A958" s="87"/>
      <c r="B958" s="30"/>
      <c r="C958" s="70"/>
      <c r="G958" s="30"/>
      <c r="H958" s="77"/>
      <c r="I958" s="77"/>
      <c r="J958" s="58"/>
      <c r="K958" s="58"/>
      <c r="L958" s="3"/>
    </row>
    <row r="959" spans="1:12" s="71" customFormat="1">
      <c r="A959" s="87"/>
      <c r="B959" s="30"/>
      <c r="C959" s="70"/>
      <c r="G959" s="30"/>
      <c r="H959" s="77"/>
      <c r="I959" s="77"/>
      <c r="J959" s="58"/>
      <c r="K959" s="58"/>
      <c r="L959" s="3"/>
    </row>
    <row r="960" spans="1:12" s="71" customFormat="1">
      <c r="A960" s="87"/>
      <c r="B960" s="30"/>
      <c r="C960" s="70"/>
      <c r="G960" s="30"/>
      <c r="H960" s="77"/>
      <c r="I960" s="77"/>
      <c r="J960" s="58"/>
      <c r="K960" s="58"/>
      <c r="L960" s="3"/>
    </row>
    <row r="961" spans="1:12" s="71" customFormat="1">
      <c r="A961" s="87"/>
      <c r="B961" s="30"/>
      <c r="C961" s="70"/>
      <c r="G961" s="30"/>
      <c r="H961" s="77"/>
      <c r="I961" s="77"/>
      <c r="J961" s="58"/>
      <c r="K961" s="58"/>
      <c r="L961" s="3"/>
    </row>
    <row r="962" spans="1:12" s="71" customFormat="1">
      <c r="A962" s="87"/>
      <c r="B962" s="30"/>
      <c r="C962" s="70"/>
      <c r="G962" s="30"/>
      <c r="H962" s="77"/>
      <c r="I962" s="77"/>
      <c r="J962" s="58"/>
      <c r="K962" s="58"/>
      <c r="L962" s="3"/>
    </row>
    <row r="963" spans="1:12" s="71" customFormat="1">
      <c r="A963" s="87"/>
      <c r="B963" s="30"/>
      <c r="C963" s="70"/>
      <c r="G963" s="30"/>
      <c r="H963" s="77"/>
      <c r="I963" s="77"/>
      <c r="J963" s="58"/>
      <c r="K963" s="58"/>
      <c r="L963" s="3"/>
    </row>
    <row r="964" spans="1:12" s="71" customFormat="1">
      <c r="A964" s="87"/>
      <c r="B964" s="30"/>
      <c r="C964" s="70"/>
      <c r="G964" s="30"/>
      <c r="H964" s="77"/>
      <c r="I964" s="77"/>
      <c r="J964" s="58"/>
      <c r="K964" s="58"/>
      <c r="L964" s="3"/>
    </row>
    <row r="965" spans="1:12" s="71" customFormat="1">
      <c r="A965" s="87"/>
      <c r="B965" s="30"/>
      <c r="C965" s="70"/>
      <c r="G965" s="30"/>
      <c r="H965" s="77"/>
      <c r="I965" s="77"/>
      <c r="J965" s="58"/>
      <c r="K965" s="58"/>
      <c r="L965" s="3"/>
    </row>
    <row r="966" spans="1:12" s="71" customFormat="1">
      <c r="A966" s="87"/>
      <c r="B966" s="30"/>
      <c r="C966" s="70"/>
      <c r="G966" s="30"/>
      <c r="H966" s="77"/>
      <c r="I966" s="77"/>
      <c r="J966" s="58"/>
      <c r="K966" s="58"/>
      <c r="L966" s="3"/>
    </row>
    <row r="967" spans="1:12" s="71" customFormat="1">
      <c r="A967" s="87"/>
      <c r="B967" s="30"/>
      <c r="C967" s="70"/>
      <c r="G967" s="30"/>
      <c r="H967" s="77"/>
      <c r="I967" s="77"/>
      <c r="J967" s="58"/>
      <c r="K967" s="58"/>
      <c r="L967" s="3"/>
    </row>
    <row r="968" spans="1:12" s="71" customFormat="1">
      <c r="A968" s="87"/>
      <c r="B968" s="30"/>
      <c r="C968" s="70"/>
      <c r="G968" s="30"/>
      <c r="H968" s="77"/>
      <c r="I968" s="77"/>
      <c r="J968" s="58"/>
      <c r="K968" s="58"/>
      <c r="L968" s="3"/>
    </row>
    <row r="969" spans="1:12" s="71" customFormat="1">
      <c r="A969" s="87"/>
      <c r="B969" s="30"/>
      <c r="C969" s="70"/>
      <c r="G969" s="30"/>
      <c r="H969" s="77"/>
      <c r="I969" s="77"/>
      <c r="J969" s="58"/>
      <c r="K969" s="58"/>
      <c r="L969" s="3"/>
    </row>
    <row r="970" spans="1:12" s="71" customFormat="1">
      <c r="A970" s="87"/>
      <c r="B970" s="30"/>
      <c r="C970" s="70"/>
      <c r="G970" s="30"/>
      <c r="H970" s="77"/>
      <c r="I970" s="77"/>
      <c r="J970" s="58"/>
      <c r="K970" s="58"/>
      <c r="L970" s="3"/>
    </row>
    <row r="971" spans="1:12" s="71" customFormat="1">
      <c r="A971" s="87"/>
      <c r="B971" s="30"/>
      <c r="C971" s="70"/>
      <c r="G971" s="30"/>
      <c r="H971" s="77"/>
      <c r="I971" s="77"/>
      <c r="J971" s="58"/>
      <c r="K971" s="58"/>
      <c r="L971" s="3"/>
    </row>
    <row r="972" spans="1:12" s="71" customFormat="1">
      <c r="A972" s="87"/>
      <c r="B972" s="30"/>
      <c r="C972" s="70"/>
      <c r="G972" s="30"/>
      <c r="H972" s="77"/>
      <c r="I972" s="77"/>
      <c r="J972" s="58"/>
      <c r="K972" s="58"/>
      <c r="L972" s="3"/>
    </row>
    <row r="973" spans="1:12" s="71" customFormat="1">
      <c r="A973" s="87"/>
      <c r="B973" s="30"/>
      <c r="C973" s="70"/>
      <c r="G973" s="30"/>
      <c r="H973" s="77"/>
      <c r="I973" s="77"/>
      <c r="J973" s="58"/>
      <c r="K973" s="58"/>
      <c r="L973" s="3"/>
    </row>
    <row r="974" spans="1:12" s="71" customFormat="1">
      <c r="A974" s="87"/>
      <c r="B974" s="30"/>
      <c r="C974" s="70"/>
      <c r="G974" s="30"/>
      <c r="H974" s="77"/>
      <c r="I974" s="77"/>
      <c r="J974" s="58"/>
      <c r="K974" s="58"/>
      <c r="L974" s="3"/>
    </row>
    <row r="975" spans="1:12" s="71" customFormat="1">
      <c r="A975" s="87"/>
      <c r="B975" s="30"/>
      <c r="C975" s="70"/>
      <c r="G975" s="30"/>
      <c r="H975" s="77"/>
      <c r="I975" s="77"/>
      <c r="J975" s="58"/>
      <c r="K975" s="58"/>
      <c r="L975" s="3"/>
    </row>
    <row r="976" spans="1:12" s="71" customFormat="1">
      <c r="A976" s="87"/>
      <c r="B976" s="30"/>
      <c r="C976" s="70"/>
      <c r="G976" s="30"/>
      <c r="H976" s="77"/>
      <c r="I976" s="77"/>
      <c r="J976" s="58"/>
      <c r="K976" s="58"/>
      <c r="L976" s="3"/>
    </row>
    <row r="977" spans="1:12" s="71" customFormat="1">
      <c r="A977" s="87"/>
      <c r="B977" s="30"/>
      <c r="C977" s="70"/>
      <c r="G977" s="30"/>
      <c r="H977" s="77"/>
      <c r="I977" s="77"/>
      <c r="J977" s="58"/>
      <c r="K977" s="58"/>
      <c r="L977" s="3"/>
    </row>
    <row r="978" spans="1:12" s="71" customFormat="1">
      <c r="A978" s="87"/>
      <c r="B978" s="30"/>
      <c r="C978" s="70"/>
      <c r="G978" s="30"/>
      <c r="H978" s="77"/>
      <c r="I978" s="77"/>
      <c r="J978" s="58"/>
      <c r="K978" s="58"/>
      <c r="L978" s="3"/>
    </row>
    <row r="979" spans="1:12" s="71" customFormat="1">
      <c r="A979" s="87"/>
      <c r="B979" s="30"/>
      <c r="C979" s="70"/>
      <c r="G979" s="30"/>
      <c r="H979" s="77"/>
      <c r="I979" s="77"/>
      <c r="J979" s="58"/>
      <c r="K979" s="58"/>
      <c r="L979" s="3"/>
    </row>
    <row r="980" spans="1:12" s="71" customFormat="1">
      <c r="A980" s="87"/>
      <c r="B980" s="30"/>
      <c r="C980" s="70"/>
      <c r="G980" s="30"/>
      <c r="H980" s="77"/>
      <c r="I980" s="77"/>
      <c r="J980" s="58"/>
      <c r="K980" s="58"/>
      <c r="L980" s="3"/>
    </row>
    <row r="981" spans="1:12" s="71" customFormat="1">
      <c r="A981" s="87"/>
      <c r="B981" s="30"/>
      <c r="C981" s="70"/>
      <c r="G981" s="30"/>
      <c r="H981" s="77"/>
      <c r="I981" s="77"/>
      <c r="J981" s="58"/>
      <c r="K981" s="58"/>
      <c r="L981" s="3"/>
    </row>
    <row r="982" spans="1:12" s="71" customFormat="1">
      <c r="A982" s="87"/>
      <c r="B982" s="30"/>
      <c r="C982" s="70"/>
      <c r="G982" s="30"/>
      <c r="H982" s="77"/>
      <c r="I982" s="77"/>
      <c r="J982" s="58"/>
      <c r="K982" s="58"/>
      <c r="L982" s="3"/>
    </row>
    <row r="983" spans="1:12" s="71" customFormat="1">
      <c r="A983" s="87"/>
      <c r="B983" s="30"/>
      <c r="C983" s="70"/>
      <c r="G983" s="30"/>
      <c r="H983" s="77"/>
      <c r="I983" s="77"/>
      <c r="J983" s="58"/>
      <c r="K983" s="58"/>
      <c r="L983" s="3"/>
    </row>
    <row r="984" spans="1:12" s="71" customFormat="1">
      <c r="A984" s="87"/>
      <c r="B984" s="30"/>
      <c r="C984" s="70"/>
      <c r="G984" s="30"/>
      <c r="H984" s="77"/>
      <c r="I984" s="77"/>
      <c r="J984" s="58"/>
      <c r="K984" s="58"/>
      <c r="L984" s="3"/>
    </row>
    <row r="985" spans="1:12" s="71" customFormat="1">
      <c r="A985" s="87"/>
      <c r="B985" s="30"/>
      <c r="C985" s="70"/>
      <c r="G985" s="30"/>
      <c r="H985" s="77"/>
      <c r="I985" s="77"/>
      <c r="J985" s="58"/>
      <c r="K985" s="58"/>
      <c r="L985" s="3"/>
    </row>
    <row r="986" spans="1:12" s="71" customFormat="1">
      <c r="A986" s="87"/>
      <c r="B986" s="30"/>
      <c r="C986" s="70"/>
      <c r="G986" s="30"/>
      <c r="H986" s="77"/>
      <c r="I986" s="77"/>
      <c r="J986" s="58"/>
      <c r="K986" s="58"/>
      <c r="L986" s="3"/>
    </row>
    <row r="987" spans="1:12" s="71" customFormat="1">
      <c r="A987" s="87"/>
      <c r="B987" s="30"/>
      <c r="C987" s="70"/>
      <c r="G987" s="30"/>
      <c r="H987" s="77"/>
      <c r="I987" s="77"/>
      <c r="J987" s="58"/>
      <c r="K987" s="58"/>
      <c r="L987" s="3"/>
    </row>
    <row r="988" spans="1:12" s="71" customFormat="1">
      <c r="A988" s="87"/>
      <c r="B988" s="30"/>
      <c r="C988" s="70"/>
      <c r="G988" s="30"/>
      <c r="H988" s="77"/>
      <c r="I988" s="77"/>
      <c r="J988" s="58"/>
      <c r="K988" s="58"/>
      <c r="L988" s="3"/>
    </row>
    <row r="989" spans="1:12" s="71" customFormat="1">
      <c r="A989" s="87"/>
      <c r="B989" s="30"/>
      <c r="C989" s="70"/>
      <c r="G989" s="30"/>
      <c r="H989" s="77"/>
      <c r="I989" s="77"/>
      <c r="J989" s="58"/>
      <c r="K989" s="58"/>
      <c r="L989" s="3"/>
    </row>
    <row r="990" spans="1:12" s="71" customFormat="1">
      <c r="A990" s="87"/>
      <c r="B990" s="30"/>
      <c r="C990" s="70"/>
      <c r="G990" s="30"/>
      <c r="H990" s="77"/>
      <c r="I990" s="77"/>
      <c r="J990" s="58"/>
      <c r="K990" s="58"/>
      <c r="L990" s="3"/>
    </row>
    <row r="991" spans="1:12" s="71" customFormat="1">
      <c r="A991" s="87"/>
      <c r="B991" s="30"/>
      <c r="C991" s="70"/>
      <c r="G991" s="30"/>
      <c r="H991" s="77"/>
      <c r="I991" s="77"/>
      <c r="J991" s="58"/>
      <c r="K991" s="58"/>
      <c r="L991" s="3"/>
    </row>
    <row r="992" spans="1:12" s="71" customFormat="1">
      <c r="A992" s="87"/>
      <c r="B992" s="30"/>
      <c r="C992" s="70"/>
      <c r="G992" s="30"/>
      <c r="H992" s="77"/>
      <c r="I992" s="77"/>
      <c r="J992" s="58"/>
      <c r="K992" s="58"/>
      <c r="L992" s="3"/>
    </row>
    <row r="993" spans="1:12" s="71" customFormat="1">
      <c r="A993" s="87"/>
      <c r="B993" s="30"/>
      <c r="C993" s="70"/>
      <c r="G993" s="30"/>
      <c r="H993" s="77"/>
      <c r="I993" s="77"/>
      <c r="J993" s="58"/>
      <c r="K993" s="58"/>
      <c r="L993" s="3"/>
    </row>
    <row r="994" spans="1:12" s="71" customFormat="1">
      <c r="A994" s="87"/>
      <c r="B994" s="30"/>
      <c r="C994" s="70"/>
      <c r="G994" s="30"/>
      <c r="H994" s="77"/>
      <c r="I994" s="77"/>
      <c r="J994" s="58"/>
      <c r="K994" s="58"/>
      <c r="L994" s="3"/>
    </row>
    <row r="995" spans="1:12" s="71" customFormat="1">
      <c r="A995" s="87"/>
      <c r="B995" s="30"/>
      <c r="C995" s="70"/>
      <c r="G995" s="30"/>
      <c r="H995" s="77"/>
      <c r="I995" s="77"/>
      <c r="J995" s="58"/>
      <c r="K995" s="58"/>
      <c r="L995" s="3"/>
    </row>
    <row r="996" spans="1:12" s="71" customFormat="1">
      <c r="A996" s="87"/>
      <c r="B996" s="30"/>
      <c r="C996" s="70"/>
      <c r="G996" s="30"/>
      <c r="H996" s="77"/>
      <c r="I996" s="77"/>
      <c r="J996" s="58"/>
      <c r="K996" s="58"/>
      <c r="L996" s="3"/>
    </row>
    <row r="997" spans="1:12" s="71" customFormat="1">
      <c r="A997" s="87"/>
      <c r="B997" s="30"/>
      <c r="C997" s="70"/>
      <c r="G997" s="30"/>
      <c r="H997" s="77"/>
      <c r="I997" s="77"/>
      <c r="J997" s="58"/>
      <c r="K997" s="58"/>
      <c r="L997" s="3"/>
    </row>
    <row r="998" spans="1:12" s="71" customFormat="1">
      <c r="A998" s="87"/>
      <c r="B998" s="30"/>
      <c r="C998" s="70"/>
      <c r="G998" s="30"/>
      <c r="H998" s="77"/>
      <c r="I998" s="77"/>
      <c r="J998" s="58"/>
      <c r="K998" s="58"/>
      <c r="L998" s="3"/>
    </row>
    <row r="999" spans="1:12" s="71" customFormat="1">
      <c r="A999" s="87"/>
      <c r="B999" s="30"/>
      <c r="C999" s="70"/>
      <c r="G999" s="30"/>
      <c r="H999" s="77"/>
      <c r="I999" s="77"/>
      <c r="J999" s="58"/>
      <c r="K999" s="58"/>
      <c r="L999" s="3"/>
    </row>
    <row r="1000" spans="1:12" s="71" customFormat="1">
      <c r="A1000" s="87"/>
      <c r="B1000" s="30"/>
      <c r="C1000" s="70"/>
      <c r="G1000" s="30"/>
      <c r="H1000" s="77"/>
      <c r="I1000" s="77"/>
      <c r="J1000" s="58"/>
      <c r="K1000" s="58"/>
      <c r="L1000" s="3"/>
    </row>
    <row r="1001" spans="1:12" s="71" customFormat="1">
      <c r="A1001" s="87"/>
      <c r="B1001" s="30"/>
      <c r="C1001" s="70"/>
      <c r="G1001" s="30"/>
      <c r="H1001" s="77"/>
      <c r="I1001" s="77"/>
      <c r="J1001" s="58"/>
      <c r="K1001" s="58"/>
      <c r="L1001" s="3"/>
    </row>
    <row r="1002" spans="1:12" s="71" customFormat="1">
      <c r="A1002" s="87"/>
      <c r="B1002" s="30"/>
      <c r="C1002" s="70"/>
      <c r="G1002" s="30"/>
      <c r="H1002" s="77"/>
      <c r="I1002" s="77"/>
      <c r="J1002" s="58"/>
      <c r="K1002" s="58"/>
      <c r="L1002" s="3"/>
    </row>
    <row r="1003" spans="1:12" s="71" customFormat="1">
      <c r="A1003" s="87"/>
      <c r="B1003" s="30"/>
      <c r="C1003" s="70"/>
      <c r="G1003" s="30"/>
      <c r="H1003" s="77"/>
      <c r="I1003" s="77"/>
      <c r="J1003" s="58"/>
      <c r="K1003" s="58"/>
      <c r="L1003" s="3"/>
    </row>
    <row r="1004" spans="1:12" s="71" customFormat="1">
      <c r="A1004" s="87"/>
      <c r="B1004" s="30"/>
      <c r="C1004" s="70"/>
      <c r="G1004" s="30"/>
      <c r="H1004" s="77"/>
      <c r="I1004" s="77"/>
      <c r="J1004" s="58"/>
      <c r="K1004" s="58"/>
      <c r="L1004" s="3"/>
    </row>
    <row r="1005" spans="1:12" s="71" customFormat="1">
      <c r="A1005" s="87"/>
      <c r="B1005" s="30"/>
      <c r="C1005" s="70"/>
      <c r="G1005" s="30"/>
      <c r="H1005" s="77"/>
      <c r="I1005" s="77"/>
      <c r="J1005" s="58"/>
      <c r="K1005" s="58"/>
      <c r="L1005" s="3"/>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L1004"/>
  <sheetViews>
    <sheetView showZeros="0" topLeftCell="A59" zoomScale="80" zoomScaleNormal="80" workbookViewId="0">
      <selection activeCell="D27" sqref="D27:D112"/>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7.5703125" style="77" customWidth="1"/>
    <col min="10" max="10" width="43.5703125" style="58" customWidth="1"/>
    <col min="11" max="11" width="9.140625" style="58" customWidth="1"/>
    <col min="12" max="16384" width="8.85546875" style="3"/>
  </cols>
  <sheetData>
    <row r="1" spans="2:12" ht="15.75">
      <c r="B1" s="1" t="str">
        <f>'Drawings &amp; Data'!A1</f>
        <v>ESTATE NAME</v>
      </c>
      <c r="C1" s="1"/>
      <c r="D1" s="1"/>
      <c r="E1" s="1"/>
      <c r="F1" s="1"/>
      <c r="G1" s="1"/>
      <c r="H1" s="1"/>
      <c r="I1" s="1"/>
      <c r="J1" s="3"/>
      <c r="K1" s="3"/>
    </row>
    <row r="2" spans="2:12" ht="15.75">
      <c r="B2" s="4" t="str">
        <f>'Drawings &amp; Data'!A2</f>
        <v>STAGE X</v>
      </c>
      <c r="C2" s="1"/>
      <c r="D2" s="1"/>
      <c r="E2" s="1"/>
      <c r="F2" s="1"/>
      <c r="G2" s="1"/>
      <c r="H2" s="1"/>
      <c r="I2" s="1"/>
      <c r="J2" s="3"/>
      <c r="K2" s="3"/>
    </row>
    <row r="3" spans="2:12" ht="15.75">
      <c r="B3" s="1"/>
      <c r="C3" s="1"/>
      <c r="D3" s="1"/>
      <c r="E3" s="1"/>
      <c r="F3" s="1"/>
      <c r="G3" s="1"/>
      <c r="H3" s="1"/>
      <c r="I3" s="1"/>
      <c r="J3" s="3"/>
      <c r="K3" s="3"/>
    </row>
    <row r="4" spans="2:12" ht="15.75">
      <c r="B4" s="5" t="s">
        <v>9</v>
      </c>
      <c r="C4" s="1"/>
      <c r="D4" s="1"/>
      <c r="E4" s="1"/>
      <c r="F4" s="1"/>
      <c r="G4" s="1"/>
      <c r="H4" s="1"/>
      <c r="I4" s="1"/>
      <c r="J4" s="3"/>
      <c r="K4" s="3"/>
    </row>
    <row r="5" spans="2:12" ht="15.75">
      <c r="B5" s="6" t="str">
        <f>'Drawings &amp; Data'!A5</f>
        <v>Name and/or entity</v>
      </c>
      <c r="C5" s="1"/>
      <c r="D5" s="1"/>
      <c r="E5" s="1"/>
      <c r="F5" s="1"/>
      <c r="G5" s="1"/>
      <c r="H5" s="1"/>
      <c r="I5" s="1"/>
      <c r="J5" s="3"/>
      <c r="K5" s="3"/>
    </row>
    <row r="6" spans="2:12" ht="15.75">
      <c r="B6" s="6" t="str">
        <f>'Drawings &amp; Data'!A6</f>
        <v>Address 1</v>
      </c>
      <c r="C6" s="1"/>
      <c r="D6" s="1"/>
      <c r="E6" s="1"/>
      <c r="F6" s="1"/>
      <c r="G6" s="1"/>
      <c r="H6" s="1"/>
      <c r="I6" s="1"/>
      <c r="J6" s="3"/>
      <c r="K6" s="3"/>
    </row>
    <row r="7" spans="2:12" ht="15.75">
      <c r="B7" s="6" t="str">
        <f>'Drawings &amp; Data'!A7</f>
        <v>Address 2</v>
      </c>
      <c r="C7" s="1"/>
      <c r="D7" s="1"/>
      <c r="E7" s="1"/>
      <c r="F7" s="1"/>
      <c r="G7" s="1"/>
      <c r="H7" s="1"/>
      <c r="I7" s="1"/>
      <c r="J7" s="3"/>
      <c r="K7" s="3"/>
    </row>
    <row r="8" spans="2:12">
      <c r="B8" s="6"/>
      <c r="C8" s="6"/>
      <c r="D8" s="6"/>
      <c r="E8" s="6"/>
      <c r="F8" s="6"/>
      <c r="G8" s="6"/>
      <c r="H8" s="6"/>
      <c r="I8" s="6"/>
    </row>
    <row r="9" spans="2:12" ht="15">
      <c r="B9" s="5" t="s">
        <v>10</v>
      </c>
      <c r="C9" s="6"/>
      <c r="D9" s="6"/>
      <c r="E9" s="6"/>
      <c r="F9" s="6"/>
      <c r="G9" s="6"/>
      <c r="H9" s="6"/>
      <c r="I9" s="6"/>
    </row>
    <row r="10" spans="2:12">
      <c r="B10" s="6" t="s">
        <v>282</v>
      </c>
      <c r="C10" s="6"/>
      <c r="D10" s="6"/>
      <c r="E10" s="6"/>
      <c r="F10" s="6"/>
      <c r="G10" s="6"/>
      <c r="H10" s="6"/>
      <c r="I10" s="6"/>
      <c r="L10" s="58"/>
    </row>
    <row r="11" spans="2:12">
      <c r="B11" s="6" t="s">
        <v>530</v>
      </c>
      <c r="C11" s="6"/>
      <c r="D11" s="6"/>
      <c r="E11" s="6"/>
      <c r="F11" s="6"/>
      <c r="G11" s="6"/>
      <c r="H11" s="6"/>
      <c r="I11" s="6"/>
    </row>
    <row r="12" spans="2:12">
      <c r="B12" s="6" t="s">
        <v>529</v>
      </c>
      <c r="C12" s="6"/>
      <c r="D12" s="6"/>
      <c r="E12" s="6"/>
      <c r="F12" s="6"/>
      <c r="G12" s="6"/>
      <c r="H12" s="6"/>
      <c r="I12" s="6"/>
    </row>
    <row r="13" spans="2:12">
      <c r="B13" s="6"/>
      <c r="C13" s="6"/>
      <c r="D13" s="6"/>
      <c r="E13" s="6"/>
      <c r="F13" s="6"/>
      <c r="G13" s="6"/>
      <c r="H13" s="6"/>
      <c r="I13" s="6"/>
    </row>
    <row r="14" spans="2:12" ht="15.75">
      <c r="B14" s="4" t="s">
        <v>377</v>
      </c>
      <c r="C14" s="6"/>
      <c r="D14" s="6"/>
      <c r="E14" s="6"/>
      <c r="F14" s="6"/>
      <c r="G14" s="6"/>
      <c r="H14" s="6"/>
      <c r="I14" s="6"/>
    </row>
    <row r="15" spans="2:12" ht="15.75">
      <c r="B15" s="1" t="s">
        <v>30</v>
      </c>
      <c r="C15" s="6"/>
      <c r="D15" s="6"/>
      <c r="E15" s="6"/>
      <c r="F15" s="6"/>
      <c r="G15" s="6"/>
      <c r="H15" s="6"/>
      <c r="I15" s="6"/>
    </row>
    <row r="16" spans="2:12">
      <c r="B16" s="6"/>
      <c r="C16" s="6"/>
      <c r="D16" s="6"/>
      <c r="E16" s="6"/>
      <c r="F16" s="6"/>
      <c r="G16" s="6"/>
      <c r="H16" s="6"/>
      <c r="I16" s="6"/>
    </row>
    <row r="17" spans="1:11" ht="72"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72.599999999999994"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60.6" customHeight="1">
      <c r="B21" s="110" t="s">
        <v>183</v>
      </c>
      <c r="C21" s="110"/>
      <c r="D21" s="38"/>
      <c r="E21" s="38"/>
      <c r="F21" s="38"/>
      <c r="G21" s="39"/>
      <c r="H21" s="40"/>
      <c r="I21" s="40"/>
    </row>
    <row r="22" spans="1:11" s="41" customFormat="1" ht="15">
      <c r="A22" s="43" t="s">
        <v>513</v>
      </c>
      <c r="B22" s="94"/>
      <c r="C22" s="30"/>
      <c r="D22" s="38"/>
      <c r="E22" s="38"/>
      <c r="F22" s="38"/>
      <c r="G22" s="39"/>
      <c r="H22" s="40"/>
      <c r="I22" s="40"/>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49"/>
    </row>
    <row r="25" spans="1:11" s="41" customFormat="1" ht="15">
      <c r="A25" s="50">
        <v>1</v>
      </c>
      <c r="B25" s="51">
        <f ca="1">IF($A25="","",NumList())</f>
        <v>1</v>
      </c>
      <c r="C25" s="52" t="s">
        <v>75</v>
      </c>
      <c r="D25" s="48"/>
      <c r="E25" s="46"/>
      <c r="F25" s="46"/>
      <c r="G25" s="46"/>
      <c r="H25" s="49"/>
      <c r="I25" s="53">
        <f t="shared" ref="I25:I93" si="0">F25*H25</f>
        <v>0</v>
      </c>
    </row>
    <row r="26" spans="1:11" s="41" customFormat="1" ht="15">
      <c r="A26" s="50">
        <v>2</v>
      </c>
      <c r="B26" s="51" t="str">
        <f ca="1">IF($A26="","",NumList())</f>
        <v>1.1</v>
      </c>
      <c r="C26" s="54" t="s">
        <v>76</v>
      </c>
      <c r="D26" s="55"/>
      <c r="E26" s="51"/>
      <c r="F26" s="51"/>
      <c r="G26" s="46"/>
      <c r="H26" s="49"/>
      <c r="I26" s="53">
        <f t="shared" si="0"/>
        <v>0</v>
      </c>
    </row>
    <row r="27" spans="1:11" s="41" customFormat="1" ht="99.75">
      <c r="A27" s="50">
        <v>3</v>
      </c>
      <c r="B27" s="51" t="str">
        <f ca="1">IF($A27="","",NumList())</f>
        <v>1.1.1</v>
      </c>
      <c r="C27" s="54" t="s">
        <v>349</v>
      </c>
      <c r="D27" s="55">
        <f ca="1">IF(ISTEXT(G27),RANDBETWEEN(1,1),0)</f>
        <v>1</v>
      </c>
      <c r="E27" s="51"/>
      <c r="F27" s="89">
        <f ca="1">IF(ISTEXT(G27),RANDBETWEEN(1,100),0)</f>
        <v>25</v>
      </c>
      <c r="G27" s="51" t="s">
        <v>0</v>
      </c>
      <c r="H27" s="49">
        <f ca="1">IF(ISTEXT(G27),RANDBETWEEN(1,100),0)</f>
        <v>99</v>
      </c>
      <c r="I27" s="53">
        <f t="shared" ca="1" si="0"/>
        <v>2475</v>
      </c>
    </row>
    <row r="28" spans="1:11" s="41" customFormat="1" ht="85.5">
      <c r="A28" s="50">
        <v>3</v>
      </c>
      <c r="B28" s="51" t="str">
        <f ca="1">IF($A28="","",NumList())</f>
        <v>1.1.2</v>
      </c>
      <c r="C28" s="54" t="s">
        <v>350</v>
      </c>
      <c r="D28" s="55">
        <f t="shared" ref="D28:D91" ca="1" si="1">IF(ISTEXT(G28),RANDBETWEEN(1,1),0)</f>
        <v>1</v>
      </c>
      <c r="E28" s="51"/>
      <c r="F28" s="89">
        <f t="shared" ref="F28:F91" ca="1" si="2">IF(ISTEXT(G28),RANDBETWEEN(1,100),0)</f>
        <v>65</v>
      </c>
      <c r="G28" s="51" t="s">
        <v>0</v>
      </c>
      <c r="H28" s="49">
        <f t="shared" ref="H28:H91" ca="1" si="3">IF(ISTEXT(G28),RANDBETWEEN(1,100),0)</f>
        <v>96</v>
      </c>
      <c r="I28" s="53">
        <f t="shared" ca="1" si="0"/>
        <v>6240</v>
      </c>
    </row>
    <row r="29" spans="1:11" s="41" customFormat="1" ht="15">
      <c r="A29" s="50">
        <v>3</v>
      </c>
      <c r="B29" s="51" t="str">
        <f ca="1">IF($A29="","",NumList())</f>
        <v>1.1.3</v>
      </c>
      <c r="C29" s="96" t="s">
        <v>351</v>
      </c>
      <c r="D29" s="55">
        <f t="shared" ca="1" si="1"/>
        <v>1</v>
      </c>
      <c r="E29" s="51"/>
      <c r="F29" s="89">
        <f t="shared" ca="1" si="2"/>
        <v>38</v>
      </c>
      <c r="G29" s="51" t="s">
        <v>0</v>
      </c>
      <c r="H29" s="49">
        <f t="shared" ca="1" si="3"/>
        <v>19</v>
      </c>
      <c r="I29" s="53">
        <f t="shared" ca="1" si="0"/>
        <v>722</v>
      </c>
    </row>
    <row r="30" spans="1:11" s="41" customFormat="1" ht="15">
      <c r="A30" s="50">
        <v>3</v>
      </c>
      <c r="B30" s="51" t="str">
        <f ca="1">IF($A30="","",NumList())</f>
        <v>1.1.4</v>
      </c>
      <c r="C30" s="96" t="s">
        <v>352</v>
      </c>
      <c r="D30" s="55">
        <f t="shared" ca="1" si="1"/>
        <v>1</v>
      </c>
      <c r="E30" s="51"/>
      <c r="F30" s="89">
        <f t="shared" ca="1" si="2"/>
        <v>18</v>
      </c>
      <c r="G30" s="51" t="s">
        <v>0</v>
      </c>
      <c r="H30" s="49">
        <f t="shared" ca="1" si="3"/>
        <v>50</v>
      </c>
      <c r="I30" s="53">
        <f t="shared" ca="1" si="0"/>
        <v>900</v>
      </c>
    </row>
    <row r="31" spans="1:11" s="41" customFormat="1" ht="15">
      <c r="A31" s="50">
        <v>3</v>
      </c>
      <c r="B31" s="51" t="str">
        <f ca="1">IF($A31="","",NumList())</f>
        <v>1.1.5</v>
      </c>
      <c r="C31" s="96" t="s">
        <v>353</v>
      </c>
      <c r="D31" s="55">
        <f t="shared" ca="1" si="1"/>
        <v>1</v>
      </c>
      <c r="E31" s="51"/>
      <c r="F31" s="89">
        <f t="shared" ca="1" si="2"/>
        <v>54</v>
      </c>
      <c r="G31" s="51" t="s">
        <v>0</v>
      </c>
      <c r="H31" s="49">
        <f t="shared" ca="1" si="3"/>
        <v>95</v>
      </c>
      <c r="I31" s="53">
        <f t="shared" ca="1" si="0"/>
        <v>5130</v>
      </c>
    </row>
    <row r="32" spans="1:11" s="41" customFormat="1" ht="15">
      <c r="A32" s="50">
        <v>3</v>
      </c>
      <c r="B32" s="51" t="str">
        <f ca="1">IF($A32="","",NumList())</f>
        <v>1.1.6</v>
      </c>
      <c r="C32" s="96" t="s">
        <v>354</v>
      </c>
      <c r="D32" s="55">
        <f t="shared" ca="1" si="1"/>
        <v>1</v>
      </c>
      <c r="E32" s="51"/>
      <c r="F32" s="89">
        <f t="shared" ca="1" si="2"/>
        <v>69</v>
      </c>
      <c r="G32" s="51" t="s">
        <v>0</v>
      </c>
      <c r="H32" s="49">
        <f t="shared" ca="1" si="3"/>
        <v>3</v>
      </c>
      <c r="I32" s="53">
        <f t="shared" ca="1" si="0"/>
        <v>207</v>
      </c>
    </row>
    <row r="33" spans="1:10" s="41" customFormat="1" ht="15">
      <c r="A33" s="50" t="s">
        <v>516</v>
      </c>
      <c r="B33" s="51" t="str">
        <f>IF($A33="","",NumList())</f>
        <v/>
      </c>
      <c r="C33" s="47"/>
      <c r="D33" s="55">
        <f t="shared" ca="1" si="1"/>
        <v>0</v>
      </c>
      <c r="E33" s="48"/>
      <c r="F33" s="89">
        <f t="shared" ca="1" si="2"/>
        <v>0</v>
      </c>
      <c r="G33" s="46"/>
      <c r="H33" s="49">
        <f t="shared" ca="1" si="3"/>
        <v>0</v>
      </c>
      <c r="I33" s="53">
        <f t="shared" ca="1" si="0"/>
        <v>0</v>
      </c>
    </row>
    <row r="34" spans="1:10" s="41" customFormat="1" ht="45">
      <c r="A34" s="50">
        <v>1</v>
      </c>
      <c r="B34" s="51">
        <f ca="1">IF($A34="","",NumList())</f>
        <v>2</v>
      </c>
      <c r="C34" s="63" t="s">
        <v>618</v>
      </c>
      <c r="D34" s="55">
        <f t="shared" ca="1" si="1"/>
        <v>0</v>
      </c>
      <c r="E34" s="48"/>
      <c r="F34" s="89">
        <f t="shared" ca="1" si="2"/>
        <v>0</v>
      </c>
      <c r="G34" s="46"/>
      <c r="H34" s="49">
        <f t="shared" ca="1" si="3"/>
        <v>0</v>
      </c>
      <c r="I34" s="53">
        <f t="shared" ca="1" si="0"/>
        <v>0</v>
      </c>
    </row>
    <row r="35" spans="1:10" s="41" customFormat="1" ht="34.5" customHeight="1">
      <c r="A35" s="50" t="s">
        <v>516</v>
      </c>
      <c r="B35" s="51" t="str">
        <f>IF($A35="","",NumList())</f>
        <v/>
      </c>
      <c r="C35" s="63" t="s">
        <v>288</v>
      </c>
      <c r="D35" s="55">
        <f t="shared" ca="1" si="1"/>
        <v>0</v>
      </c>
      <c r="E35" s="48"/>
      <c r="F35" s="89">
        <f t="shared" ca="1" si="2"/>
        <v>0</v>
      </c>
      <c r="G35" s="46"/>
      <c r="H35" s="49">
        <f t="shared" ca="1" si="3"/>
        <v>0</v>
      </c>
      <c r="I35" s="53">
        <f t="shared" ca="1" si="0"/>
        <v>0</v>
      </c>
    </row>
    <row r="36" spans="1:10" s="41" customFormat="1" ht="15">
      <c r="A36" s="50">
        <v>2</v>
      </c>
      <c r="B36" s="51" t="str">
        <f ca="1">IF($A36="","",NumList())</f>
        <v>2.1</v>
      </c>
      <c r="C36" s="61" t="s">
        <v>43</v>
      </c>
      <c r="D36" s="55">
        <f t="shared" ca="1" si="1"/>
        <v>1</v>
      </c>
      <c r="E36" s="55"/>
      <c r="F36" s="89">
        <f t="shared" ca="1" si="2"/>
        <v>81</v>
      </c>
      <c r="G36" s="51" t="s">
        <v>6</v>
      </c>
      <c r="H36" s="49">
        <f t="shared" ca="1" si="3"/>
        <v>14</v>
      </c>
      <c r="I36" s="53">
        <f ca="1">F36*H36</f>
        <v>1134</v>
      </c>
      <c r="J36" s="58"/>
    </row>
    <row r="37" spans="1:10" s="41" customFormat="1" ht="15">
      <c r="A37" s="50">
        <v>2</v>
      </c>
      <c r="B37" s="51" t="str">
        <f ca="1">IF($A37="","",NumList())</f>
        <v>2.2</v>
      </c>
      <c r="C37" s="61" t="s">
        <v>267</v>
      </c>
      <c r="D37" s="55">
        <f t="shared" ca="1" si="1"/>
        <v>1</v>
      </c>
      <c r="E37" s="55"/>
      <c r="F37" s="89">
        <f t="shared" ca="1" si="2"/>
        <v>67</v>
      </c>
      <c r="G37" s="51" t="s">
        <v>6</v>
      </c>
      <c r="H37" s="49">
        <f t="shared" ca="1" si="3"/>
        <v>93</v>
      </c>
      <c r="I37" s="53">
        <f t="shared" ca="1" si="0"/>
        <v>6231</v>
      </c>
      <c r="J37" s="58"/>
    </row>
    <row r="38" spans="1:10" s="41" customFormat="1" ht="15">
      <c r="A38" s="50">
        <v>2</v>
      </c>
      <c r="B38" s="51" t="str">
        <f ca="1">IF($A38="","",NumList())</f>
        <v>2.3</v>
      </c>
      <c r="C38" s="61" t="s">
        <v>268</v>
      </c>
      <c r="D38" s="55">
        <f t="shared" ca="1" si="1"/>
        <v>1</v>
      </c>
      <c r="E38" s="55"/>
      <c r="F38" s="89">
        <f t="shared" ca="1" si="2"/>
        <v>94</v>
      </c>
      <c r="G38" s="51" t="s">
        <v>6</v>
      </c>
      <c r="H38" s="49">
        <f t="shared" ca="1" si="3"/>
        <v>75</v>
      </c>
      <c r="I38" s="53">
        <f t="shared" ca="1" si="0"/>
        <v>7050</v>
      </c>
      <c r="J38" s="58"/>
    </row>
    <row r="39" spans="1:10" s="41" customFormat="1" ht="15">
      <c r="A39" s="50">
        <v>2</v>
      </c>
      <c r="B39" s="51" t="str">
        <f ca="1">IF($A39="","",NumList())</f>
        <v>2.4</v>
      </c>
      <c r="C39" s="61" t="s">
        <v>355</v>
      </c>
      <c r="D39" s="55">
        <f t="shared" ca="1" si="1"/>
        <v>1</v>
      </c>
      <c r="E39" s="55"/>
      <c r="F39" s="89">
        <f t="shared" ca="1" si="2"/>
        <v>52</v>
      </c>
      <c r="G39" s="51" t="s">
        <v>6</v>
      </c>
      <c r="H39" s="49">
        <f t="shared" ca="1" si="3"/>
        <v>63</v>
      </c>
      <c r="I39" s="53">
        <f t="shared" ca="1" si="0"/>
        <v>3276</v>
      </c>
      <c r="J39" s="58"/>
    </row>
    <row r="40" spans="1:10" s="41" customFormat="1" ht="15">
      <c r="A40" s="50">
        <v>2</v>
      </c>
      <c r="B40" s="51" t="str">
        <f ca="1">IF($A40="","",NumList())</f>
        <v>2.5</v>
      </c>
      <c r="C40" s="61" t="s">
        <v>502</v>
      </c>
      <c r="D40" s="55">
        <f t="shared" ca="1" si="1"/>
        <v>1</v>
      </c>
      <c r="E40" s="55"/>
      <c r="F40" s="89">
        <f t="shared" ca="1" si="2"/>
        <v>81</v>
      </c>
      <c r="G40" s="51" t="s">
        <v>6</v>
      </c>
      <c r="H40" s="49">
        <f t="shared" ca="1" si="3"/>
        <v>5</v>
      </c>
      <c r="I40" s="53">
        <f t="shared" ca="1" si="0"/>
        <v>405</v>
      </c>
      <c r="J40" s="58"/>
    </row>
    <row r="41" spans="1:10" s="41" customFormat="1" ht="15">
      <c r="A41" s="50">
        <v>2</v>
      </c>
      <c r="B41" s="51" t="str">
        <f ca="1">IF($A41="","",NumList())</f>
        <v>2.6</v>
      </c>
      <c r="C41" s="61" t="s">
        <v>356</v>
      </c>
      <c r="D41" s="55">
        <f t="shared" ca="1" si="1"/>
        <v>1</v>
      </c>
      <c r="E41" s="55"/>
      <c r="F41" s="89">
        <f t="shared" ca="1" si="2"/>
        <v>77</v>
      </c>
      <c r="G41" s="51" t="s">
        <v>6</v>
      </c>
      <c r="H41" s="49">
        <f t="shared" ca="1" si="3"/>
        <v>75</v>
      </c>
      <c r="I41" s="53">
        <f t="shared" ca="1" si="0"/>
        <v>5775</v>
      </c>
      <c r="J41" s="58"/>
    </row>
    <row r="42" spans="1:10" s="41" customFormat="1" ht="15">
      <c r="A42" s="50">
        <v>2</v>
      </c>
      <c r="B42" s="51" t="str">
        <f ca="1">IF($A42="","",NumList())</f>
        <v>2.7</v>
      </c>
      <c r="C42" s="61" t="s">
        <v>357</v>
      </c>
      <c r="D42" s="55">
        <f t="shared" ca="1" si="1"/>
        <v>1</v>
      </c>
      <c r="E42" s="55"/>
      <c r="F42" s="89">
        <f t="shared" ca="1" si="2"/>
        <v>98</v>
      </c>
      <c r="G42" s="51" t="s">
        <v>6</v>
      </c>
      <c r="H42" s="49">
        <f t="shared" ca="1" si="3"/>
        <v>20</v>
      </c>
      <c r="I42" s="53">
        <f t="shared" ca="1" si="0"/>
        <v>1960</v>
      </c>
      <c r="J42" s="58"/>
    </row>
    <row r="43" spans="1:10" s="41" customFormat="1" ht="15">
      <c r="A43" s="50">
        <v>2</v>
      </c>
      <c r="B43" s="51" t="str">
        <f ca="1">IF($A43="","",NumList())</f>
        <v>2.8</v>
      </c>
      <c r="C43" s="61" t="s">
        <v>358</v>
      </c>
      <c r="D43" s="55">
        <f t="shared" ca="1" si="1"/>
        <v>1</v>
      </c>
      <c r="E43" s="55"/>
      <c r="F43" s="89">
        <f t="shared" ca="1" si="2"/>
        <v>36</v>
      </c>
      <c r="G43" s="51" t="s">
        <v>6</v>
      </c>
      <c r="H43" s="49">
        <f t="shared" ca="1" si="3"/>
        <v>74</v>
      </c>
      <c r="I43" s="53">
        <f t="shared" ca="1" si="0"/>
        <v>2664</v>
      </c>
      <c r="J43" s="58"/>
    </row>
    <row r="44" spans="1:10" s="41" customFormat="1" ht="15">
      <c r="A44" s="50">
        <v>2</v>
      </c>
      <c r="B44" s="51" t="str">
        <f ca="1">IF($A44="","",NumList())</f>
        <v>2.9</v>
      </c>
      <c r="C44" s="61" t="s">
        <v>503</v>
      </c>
      <c r="D44" s="55">
        <f t="shared" ca="1" si="1"/>
        <v>1</v>
      </c>
      <c r="E44" s="55"/>
      <c r="F44" s="89">
        <f t="shared" ca="1" si="2"/>
        <v>15</v>
      </c>
      <c r="G44" s="51" t="s">
        <v>6</v>
      </c>
      <c r="H44" s="49">
        <f t="shared" ca="1" si="3"/>
        <v>41</v>
      </c>
      <c r="I44" s="53">
        <f t="shared" ca="1" si="0"/>
        <v>615</v>
      </c>
      <c r="J44" s="58"/>
    </row>
    <row r="45" spans="1:10" s="41" customFormat="1" ht="15">
      <c r="A45" s="50">
        <v>2</v>
      </c>
      <c r="B45" s="51" t="str">
        <f ca="1">IF($A45="","",NumList())</f>
        <v>2.10</v>
      </c>
      <c r="C45" s="61" t="s">
        <v>344</v>
      </c>
      <c r="D45" s="55">
        <f t="shared" ca="1" si="1"/>
        <v>1</v>
      </c>
      <c r="E45" s="55"/>
      <c r="F45" s="89">
        <f t="shared" ca="1" si="2"/>
        <v>38</v>
      </c>
      <c r="G45" s="51" t="s">
        <v>6</v>
      </c>
      <c r="H45" s="49">
        <f t="shared" ca="1" si="3"/>
        <v>13</v>
      </c>
      <c r="I45" s="53">
        <f t="shared" ca="1" si="0"/>
        <v>494</v>
      </c>
      <c r="J45" s="58"/>
    </row>
    <row r="46" spans="1:10" s="41" customFormat="1" ht="15">
      <c r="A46" s="50">
        <v>2</v>
      </c>
      <c r="B46" s="51" t="str">
        <f ca="1">IF($A46="","",NumList())</f>
        <v>2.11</v>
      </c>
      <c r="C46" s="61" t="s">
        <v>345</v>
      </c>
      <c r="D46" s="55">
        <f t="shared" ca="1" si="1"/>
        <v>1</v>
      </c>
      <c r="E46" s="55"/>
      <c r="F46" s="89">
        <f t="shared" ca="1" si="2"/>
        <v>73</v>
      </c>
      <c r="G46" s="51" t="s">
        <v>6</v>
      </c>
      <c r="H46" s="49">
        <f t="shared" ca="1" si="3"/>
        <v>97</v>
      </c>
      <c r="I46" s="53">
        <f t="shared" ca="1" si="0"/>
        <v>7081</v>
      </c>
      <c r="J46" s="58"/>
    </row>
    <row r="47" spans="1:10" s="41" customFormat="1" ht="15">
      <c r="A47" s="50">
        <v>2</v>
      </c>
      <c r="B47" s="51" t="str">
        <f ca="1">IF($A47="","",NumList())</f>
        <v>2.12</v>
      </c>
      <c r="C47" s="61" t="s">
        <v>363</v>
      </c>
      <c r="D47" s="55">
        <f t="shared" ca="1" si="1"/>
        <v>1</v>
      </c>
      <c r="E47" s="55"/>
      <c r="F47" s="89">
        <f t="shared" ca="1" si="2"/>
        <v>58</v>
      </c>
      <c r="G47" s="51" t="s">
        <v>6</v>
      </c>
      <c r="H47" s="49">
        <f t="shared" ca="1" si="3"/>
        <v>74</v>
      </c>
      <c r="I47" s="53">
        <f t="shared" ca="1" si="0"/>
        <v>4292</v>
      </c>
      <c r="J47" s="58"/>
    </row>
    <row r="48" spans="1:10" s="41" customFormat="1" ht="15">
      <c r="A48" s="50">
        <v>2</v>
      </c>
      <c r="B48" s="51" t="str">
        <f ca="1">IF($A48="","",NumList())</f>
        <v>2.13</v>
      </c>
      <c r="C48" s="61" t="s">
        <v>504</v>
      </c>
      <c r="D48" s="55">
        <f t="shared" ca="1" si="1"/>
        <v>1</v>
      </c>
      <c r="E48" s="55"/>
      <c r="F48" s="89">
        <f t="shared" ca="1" si="2"/>
        <v>16</v>
      </c>
      <c r="G48" s="51" t="s">
        <v>6</v>
      </c>
      <c r="H48" s="49">
        <f t="shared" ca="1" si="3"/>
        <v>97</v>
      </c>
      <c r="I48" s="53">
        <f ca="1">F48*H48</f>
        <v>1552</v>
      </c>
      <c r="J48" s="58"/>
    </row>
    <row r="49" spans="1:10" s="41" customFormat="1" ht="15">
      <c r="A49" s="50">
        <v>2</v>
      </c>
      <c r="B49" s="51" t="str">
        <f ca="1">IF($A49="","",NumList())</f>
        <v>2.14</v>
      </c>
      <c r="C49" s="61" t="s">
        <v>346</v>
      </c>
      <c r="D49" s="55">
        <f t="shared" ca="1" si="1"/>
        <v>1</v>
      </c>
      <c r="E49" s="55"/>
      <c r="F49" s="89">
        <f t="shared" ca="1" si="2"/>
        <v>11</v>
      </c>
      <c r="G49" s="51" t="s">
        <v>6</v>
      </c>
      <c r="H49" s="49">
        <f t="shared" ca="1" si="3"/>
        <v>70</v>
      </c>
      <c r="I49" s="53">
        <f t="shared" ca="1" si="0"/>
        <v>770</v>
      </c>
      <c r="J49" s="58"/>
    </row>
    <row r="50" spans="1:10" s="41" customFormat="1" ht="15">
      <c r="A50" s="50">
        <v>2</v>
      </c>
      <c r="B50" s="51" t="str">
        <f ca="1">IF($A50="","",NumList())</f>
        <v>2.15</v>
      </c>
      <c r="C50" s="61" t="s">
        <v>347</v>
      </c>
      <c r="D50" s="55">
        <f t="shared" ca="1" si="1"/>
        <v>1</v>
      </c>
      <c r="E50" s="55"/>
      <c r="F50" s="89">
        <f t="shared" ca="1" si="2"/>
        <v>56</v>
      </c>
      <c r="G50" s="51" t="s">
        <v>6</v>
      </c>
      <c r="H50" s="49">
        <f t="shared" ca="1" si="3"/>
        <v>96</v>
      </c>
      <c r="I50" s="53">
        <f t="shared" ca="1" si="0"/>
        <v>5376</v>
      </c>
      <c r="J50" s="58"/>
    </row>
    <row r="51" spans="1:10" s="41" customFormat="1" ht="15">
      <c r="A51" s="50">
        <v>2</v>
      </c>
      <c r="B51" s="51" t="str">
        <f ca="1">IF($A51="","",NumList())</f>
        <v>2.16</v>
      </c>
      <c r="C51" s="61" t="s">
        <v>359</v>
      </c>
      <c r="D51" s="55">
        <f t="shared" ca="1" si="1"/>
        <v>1</v>
      </c>
      <c r="E51" s="55"/>
      <c r="F51" s="89">
        <f t="shared" ca="1" si="2"/>
        <v>11</v>
      </c>
      <c r="G51" s="51" t="s">
        <v>6</v>
      </c>
      <c r="H51" s="49">
        <f t="shared" ca="1" si="3"/>
        <v>32</v>
      </c>
      <c r="I51" s="53">
        <f t="shared" ca="1" si="0"/>
        <v>352</v>
      </c>
      <c r="J51" s="58"/>
    </row>
    <row r="52" spans="1:10" s="41" customFormat="1" ht="15">
      <c r="A52" s="50">
        <v>2</v>
      </c>
      <c r="B52" s="51" t="str">
        <f ca="1">IF($A52="","",NumList())</f>
        <v>2.17</v>
      </c>
      <c r="C52" s="61" t="s">
        <v>295</v>
      </c>
      <c r="D52" s="55">
        <f t="shared" ca="1" si="1"/>
        <v>1</v>
      </c>
      <c r="E52" s="55"/>
      <c r="F52" s="89">
        <f t="shared" ca="1" si="2"/>
        <v>40</v>
      </c>
      <c r="G52" s="51" t="s">
        <v>6</v>
      </c>
      <c r="H52" s="49">
        <f t="shared" ca="1" si="3"/>
        <v>24</v>
      </c>
      <c r="I52" s="53">
        <f t="shared" ca="1" si="0"/>
        <v>960</v>
      </c>
      <c r="J52" s="58"/>
    </row>
    <row r="53" spans="1:10" s="41" customFormat="1" ht="15">
      <c r="A53" s="50">
        <v>2</v>
      </c>
      <c r="B53" s="51" t="str">
        <f ca="1">IF($A53="","",NumList())</f>
        <v>2.18</v>
      </c>
      <c r="C53" s="61" t="s">
        <v>360</v>
      </c>
      <c r="D53" s="55">
        <f t="shared" ca="1" si="1"/>
        <v>1</v>
      </c>
      <c r="E53" s="55"/>
      <c r="F53" s="89">
        <f t="shared" ca="1" si="2"/>
        <v>83</v>
      </c>
      <c r="G53" s="51" t="s">
        <v>6</v>
      </c>
      <c r="H53" s="49">
        <f t="shared" ca="1" si="3"/>
        <v>69</v>
      </c>
      <c r="I53" s="53">
        <f t="shared" ca="1" si="0"/>
        <v>5727</v>
      </c>
      <c r="J53" s="58"/>
    </row>
    <row r="54" spans="1:10" s="41" customFormat="1" ht="15">
      <c r="A54" s="50">
        <v>2</v>
      </c>
      <c r="B54" s="51" t="str">
        <f ca="1">IF($A54="","",NumList())</f>
        <v>2.19</v>
      </c>
      <c r="C54" s="61" t="s">
        <v>361</v>
      </c>
      <c r="D54" s="55">
        <f t="shared" ca="1" si="1"/>
        <v>1</v>
      </c>
      <c r="E54" s="55"/>
      <c r="F54" s="89">
        <f t="shared" ca="1" si="2"/>
        <v>67</v>
      </c>
      <c r="G54" s="51" t="s">
        <v>6</v>
      </c>
      <c r="H54" s="49">
        <f t="shared" ca="1" si="3"/>
        <v>12</v>
      </c>
      <c r="I54" s="53">
        <f t="shared" ca="1" si="0"/>
        <v>804</v>
      </c>
      <c r="J54" s="58"/>
    </row>
    <row r="55" spans="1:10" s="41" customFormat="1" ht="15">
      <c r="A55" s="50">
        <v>2</v>
      </c>
      <c r="B55" s="51" t="str">
        <f ca="1">IF($A55="","",NumList())</f>
        <v>2.20</v>
      </c>
      <c r="C55" s="61" t="s">
        <v>362</v>
      </c>
      <c r="D55" s="55">
        <f t="shared" ca="1" si="1"/>
        <v>0</v>
      </c>
      <c r="E55" s="55"/>
      <c r="F55" s="89">
        <f t="shared" ca="1" si="2"/>
        <v>0</v>
      </c>
      <c r="G55" s="51"/>
      <c r="H55" s="49">
        <f t="shared" ca="1" si="3"/>
        <v>0</v>
      </c>
      <c r="I55" s="53">
        <f t="shared" ca="1" si="0"/>
        <v>0</v>
      </c>
      <c r="J55" s="58"/>
    </row>
    <row r="56" spans="1:10" s="41" customFormat="1" ht="15">
      <c r="A56" s="50" t="s">
        <v>516</v>
      </c>
      <c r="B56" s="51" t="str">
        <f>IF($A56="","",NumList())</f>
        <v/>
      </c>
      <c r="C56" s="61"/>
      <c r="D56" s="55">
        <f t="shared" ca="1" si="1"/>
        <v>0</v>
      </c>
      <c r="E56" s="55"/>
      <c r="F56" s="89">
        <f t="shared" ca="1" si="2"/>
        <v>0</v>
      </c>
      <c r="G56" s="51"/>
      <c r="H56" s="49">
        <f t="shared" ca="1" si="3"/>
        <v>0</v>
      </c>
      <c r="I56" s="53">
        <f t="shared" ca="1" si="0"/>
        <v>0</v>
      </c>
      <c r="J56" s="58"/>
    </row>
    <row r="57" spans="1:10" s="41" customFormat="1" ht="29.25" customHeight="1">
      <c r="A57" s="50">
        <v>1</v>
      </c>
      <c r="B57" s="51">
        <f ca="1">IF($A57="","",NumList())</f>
        <v>3</v>
      </c>
      <c r="C57" s="52" t="s">
        <v>619</v>
      </c>
      <c r="D57" s="55">
        <f t="shared" ca="1" si="1"/>
        <v>0</v>
      </c>
      <c r="E57" s="48"/>
      <c r="F57" s="89">
        <f t="shared" ca="1" si="2"/>
        <v>0</v>
      </c>
      <c r="G57" s="46"/>
      <c r="H57" s="49">
        <f t="shared" ca="1" si="3"/>
        <v>0</v>
      </c>
      <c r="I57" s="53">
        <f t="shared" ca="1" si="0"/>
        <v>0</v>
      </c>
      <c r="J57" s="95" t="s">
        <v>495</v>
      </c>
    </row>
    <row r="58" spans="1:10" s="58" customFormat="1" ht="28.5">
      <c r="A58" s="50">
        <v>2</v>
      </c>
      <c r="B58" s="51" t="str">
        <f ca="1">IF($A58="","",NumList())</f>
        <v>3.1</v>
      </c>
      <c r="C58" s="61" t="s">
        <v>501</v>
      </c>
      <c r="D58" s="55">
        <f t="shared" ca="1" si="1"/>
        <v>0</v>
      </c>
      <c r="E58" s="55"/>
      <c r="F58" s="89">
        <f t="shared" ca="1" si="2"/>
        <v>0</v>
      </c>
      <c r="G58" s="51"/>
      <c r="H58" s="49">
        <f t="shared" ca="1" si="3"/>
        <v>0</v>
      </c>
      <c r="I58" s="53">
        <f t="shared" ca="1" si="0"/>
        <v>0</v>
      </c>
    </row>
    <row r="59" spans="1:10" s="58" customFormat="1" ht="15" customHeight="1">
      <c r="A59" s="50">
        <v>3</v>
      </c>
      <c r="B59" s="51" t="str">
        <f ca="1">IF($A59="","",NumList())</f>
        <v>3.1.1</v>
      </c>
      <c r="C59" s="61" t="s">
        <v>620</v>
      </c>
      <c r="D59" s="55">
        <f t="shared" ca="1" si="1"/>
        <v>1</v>
      </c>
      <c r="E59" s="55"/>
      <c r="F59" s="89">
        <f t="shared" ca="1" si="2"/>
        <v>86</v>
      </c>
      <c r="G59" s="51" t="s">
        <v>8</v>
      </c>
      <c r="H59" s="49">
        <f t="shared" ca="1" si="3"/>
        <v>31</v>
      </c>
      <c r="I59" s="53">
        <f ca="1">F59*H59</f>
        <v>2666</v>
      </c>
    </row>
    <row r="60" spans="1:10" s="58" customFormat="1" ht="15" customHeight="1">
      <c r="A60" s="50">
        <v>3</v>
      </c>
      <c r="B60" s="51" t="str">
        <f ca="1">IF($A60="","",NumList())</f>
        <v>3.1.2</v>
      </c>
      <c r="C60" s="61" t="s">
        <v>621</v>
      </c>
      <c r="D60" s="55">
        <f t="shared" ca="1" si="1"/>
        <v>1</v>
      </c>
      <c r="E60" s="55"/>
      <c r="F60" s="89">
        <f t="shared" ca="1" si="2"/>
        <v>1</v>
      </c>
      <c r="G60" s="51" t="s">
        <v>8</v>
      </c>
      <c r="H60" s="49">
        <f t="shared" ca="1" si="3"/>
        <v>36</v>
      </c>
      <c r="I60" s="53">
        <f t="shared" ca="1" si="0"/>
        <v>36</v>
      </c>
    </row>
    <row r="61" spans="1:10" s="58" customFormat="1" ht="15" customHeight="1">
      <c r="A61" s="50">
        <v>3</v>
      </c>
      <c r="B61" s="51" t="str">
        <f ca="1">IF($A61="","",NumList())</f>
        <v>3.1.3</v>
      </c>
      <c r="C61" s="61" t="s">
        <v>622</v>
      </c>
      <c r="D61" s="55">
        <f t="shared" ca="1" si="1"/>
        <v>1</v>
      </c>
      <c r="E61" s="55"/>
      <c r="F61" s="89">
        <f t="shared" ca="1" si="2"/>
        <v>84</v>
      </c>
      <c r="G61" s="51" t="s">
        <v>8</v>
      </c>
      <c r="H61" s="49">
        <f t="shared" ca="1" si="3"/>
        <v>1</v>
      </c>
      <c r="I61" s="53">
        <f ca="1">F61*H61</f>
        <v>84</v>
      </c>
    </row>
    <row r="62" spans="1:10" s="58" customFormat="1" ht="15" customHeight="1">
      <c r="A62" s="50">
        <v>3</v>
      </c>
      <c r="B62" s="51" t="str">
        <f ca="1">IF($A62="","",NumList())</f>
        <v>3.1.4</v>
      </c>
      <c r="C62" s="61" t="s">
        <v>623</v>
      </c>
      <c r="D62" s="55">
        <f t="shared" ca="1" si="1"/>
        <v>1</v>
      </c>
      <c r="E62" s="55"/>
      <c r="F62" s="89">
        <f t="shared" ca="1" si="2"/>
        <v>3</v>
      </c>
      <c r="G62" s="51" t="s">
        <v>8</v>
      </c>
      <c r="H62" s="49">
        <f t="shared" ca="1" si="3"/>
        <v>2</v>
      </c>
      <c r="I62" s="53">
        <f t="shared" ca="1" si="0"/>
        <v>6</v>
      </c>
    </row>
    <row r="63" spans="1:10" s="58" customFormat="1" ht="15" customHeight="1">
      <c r="A63" s="50">
        <v>3</v>
      </c>
      <c r="B63" s="51" t="str">
        <f ca="1">IF($A63="","",NumList())</f>
        <v>3.1.5</v>
      </c>
      <c r="C63" s="62" t="s">
        <v>500</v>
      </c>
      <c r="D63" s="55">
        <f t="shared" ca="1" si="1"/>
        <v>1</v>
      </c>
      <c r="E63" s="55"/>
      <c r="F63" s="89">
        <f t="shared" ca="1" si="2"/>
        <v>53</v>
      </c>
      <c r="G63" s="51" t="s">
        <v>8</v>
      </c>
      <c r="H63" s="49">
        <f t="shared" ca="1" si="3"/>
        <v>91</v>
      </c>
      <c r="I63" s="53">
        <f t="shared" ca="1" si="0"/>
        <v>4823</v>
      </c>
    </row>
    <row r="64" spans="1:10" s="58" customFormat="1" ht="42.75">
      <c r="A64" s="50">
        <v>2</v>
      </c>
      <c r="B64" s="51" t="str">
        <f ca="1">IF($A64="","",NumList())</f>
        <v>3.2</v>
      </c>
      <c r="C64" s="62" t="s">
        <v>509</v>
      </c>
      <c r="D64" s="55">
        <f t="shared" ca="1" si="1"/>
        <v>0</v>
      </c>
      <c r="E64" s="55"/>
      <c r="F64" s="89">
        <f t="shared" ca="1" si="2"/>
        <v>0</v>
      </c>
      <c r="G64" s="51"/>
      <c r="H64" s="49">
        <f t="shared" ca="1" si="3"/>
        <v>0</v>
      </c>
      <c r="I64" s="53">
        <f t="shared" ca="1" si="0"/>
        <v>0</v>
      </c>
    </row>
    <row r="65" spans="1:10" s="58" customFormat="1" ht="15" customHeight="1">
      <c r="A65" s="50">
        <v>3</v>
      </c>
      <c r="B65" s="51" t="str">
        <f ca="1">IF($A65="","",NumList())</f>
        <v>3.2.1</v>
      </c>
      <c r="C65" s="62" t="s">
        <v>505</v>
      </c>
      <c r="D65" s="55">
        <f t="shared" ca="1" si="1"/>
        <v>1</v>
      </c>
      <c r="E65" s="55"/>
      <c r="F65" s="89">
        <f t="shared" ca="1" si="2"/>
        <v>22</v>
      </c>
      <c r="G65" s="51" t="s">
        <v>8</v>
      </c>
      <c r="H65" s="49">
        <f t="shared" ca="1" si="3"/>
        <v>13</v>
      </c>
      <c r="I65" s="53">
        <f ca="1">F65*H65</f>
        <v>286</v>
      </c>
      <c r="J65" s="97"/>
    </row>
    <row r="66" spans="1:10" s="58" customFormat="1" ht="15" customHeight="1">
      <c r="A66" s="50">
        <v>3</v>
      </c>
      <c r="B66" s="51" t="str">
        <f ca="1">IF($A66="","",NumList())</f>
        <v>3.2.2</v>
      </c>
      <c r="C66" s="62" t="s">
        <v>364</v>
      </c>
      <c r="D66" s="55">
        <f t="shared" ca="1" si="1"/>
        <v>1</v>
      </c>
      <c r="E66" s="55"/>
      <c r="F66" s="89">
        <f t="shared" ca="1" si="2"/>
        <v>39</v>
      </c>
      <c r="G66" s="51" t="s">
        <v>8</v>
      </c>
      <c r="H66" s="49">
        <f t="shared" ca="1" si="3"/>
        <v>30</v>
      </c>
      <c r="I66" s="53">
        <f t="shared" ca="1" si="0"/>
        <v>1170</v>
      </c>
      <c r="J66" s="97"/>
    </row>
    <row r="67" spans="1:10" s="58" customFormat="1" ht="15" customHeight="1">
      <c r="A67" s="50">
        <v>3</v>
      </c>
      <c r="B67" s="51" t="str">
        <f ca="1">IF($A67="","",NumList())</f>
        <v>3.2.3</v>
      </c>
      <c r="C67" s="62" t="s">
        <v>365</v>
      </c>
      <c r="D67" s="55">
        <f t="shared" ca="1" si="1"/>
        <v>1</v>
      </c>
      <c r="E67" s="55"/>
      <c r="F67" s="89">
        <f t="shared" ca="1" si="2"/>
        <v>35</v>
      </c>
      <c r="G67" s="51" t="s">
        <v>8</v>
      </c>
      <c r="H67" s="49">
        <f t="shared" ca="1" si="3"/>
        <v>77</v>
      </c>
      <c r="I67" s="53">
        <f t="shared" ca="1" si="0"/>
        <v>2695</v>
      </c>
    </row>
    <row r="68" spans="1:10" s="58" customFormat="1" ht="15" customHeight="1">
      <c r="A68" s="50">
        <v>3</v>
      </c>
      <c r="B68" s="51" t="str">
        <f ca="1">IF($A68="","",NumList())</f>
        <v>3.2.4</v>
      </c>
      <c r="C68" s="62" t="s">
        <v>366</v>
      </c>
      <c r="D68" s="55">
        <f t="shared" ca="1" si="1"/>
        <v>1</v>
      </c>
      <c r="E68" s="55"/>
      <c r="F68" s="89">
        <f t="shared" ca="1" si="2"/>
        <v>37</v>
      </c>
      <c r="G68" s="51" t="s">
        <v>8</v>
      </c>
      <c r="H68" s="49">
        <f t="shared" ca="1" si="3"/>
        <v>69</v>
      </c>
      <c r="I68" s="53">
        <f t="shared" ca="1" si="0"/>
        <v>2553</v>
      </c>
    </row>
    <row r="69" spans="1:10" s="58" customFormat="1" ht="15" customHeight="1">
      <c r="A69" s="50">
        <v>2</v>
      </c>
      <c r="B69" s="51" t="str">
        <f ca="1">IF($A69="","",NumList())</f>
        <v>3.3</v>
      </c>
      <c r="C69" s="62" t="s">
        <v>508</v>
      </c>
      <c r="D69" s="55">
        <f t="shared" ca="1" si="1"/>
        <v>0</v>
      </c>
      <c r="E69" s="55"/>
      <c r="F69" s="89">
        <f t="shared" ca="1" si="2"/>
        <v>0</v>
      </c>
      <c r="G69" s="51"/>
      <c r="H69" s="49">
        <f t="shared" ca="1" si="3"/>
        <v>0</v>
      </c>
      <c r="I69" s="53">
        <f t="shared" ca="1" si="0"/>
        <v>0</v>
      </c>
    </row>
    <row r="70" spans="1:10" s="58" customFormat="1" ht="15" customHeight="1">
      <c r="A70" s="50">
        <v>3</v>
      </c>
      <c r="B70" s="51" t="str">
        <f ca="1">IF($A70="","",NumList())</f>
        <v>3.3.1</v>
      </c>
      <c r="C70" s="62" t="s">
        <v>505</v>
      </c>
      <c r="D70" s="55">
        <f t="shared" ca="1" si="1"/>
        <v>1</v>
      </c>
      <c r="E70" s="55"/>
      <c r="F70" s="89">
        <f t="shared" ca="1" si="2"/>
        <v>92</v>
      </c>
      <c r="G70" s="51" t="s">
        <v>8</v>
      </c>
      <c r="H70" s="49">
        <f t="shared" ca="1" si="3"/>
        <v>16</v>
      </c>
      <c r="I70" s="53">
        <f ca="1">F70*H70</f>
        <v>1472</v>
      </c>
    </row>
    <row r="71" spans="1:10" s="58" customFormat="1" ht="15" customHeight="1">
      <c r="A71" s="50">
        <v>3</v>
      </c>
      <c r="B71" s="51" t="str">
        <f ca="1">IF($A71="","",NumList())</f>
        <v>3.3.2</v>
      </c>
      <c r="C71" s="62" t="s">
        <v>364</v>
      </c>
      <c r="D71" s="55">
        <f t="shared" ca="1" si="1"/>
        <v>1</v>
      </c>
      <c r="E71" s="55"/>
      <c r="F71" s="89">
        <f t="shared" ca="1" si="2"/>
        <v>78</v>
      </c>
      <c r="G71" s="51" t="s">
        <v>8</v>
      </c>
      <c r="H71" s="49">
        <f t="shared" ca="1" si="3"/>
        <v>47</v>
      </c>
      <c r="I71" s="53">
        <f t="shared" ca="1" si="0"/>
        <v>3666</v>
      </c>
    </row>
    <row r="72" spans="1:10" s="58" customFormat="1" ht="15" customHeight="1">
      <c r="A72" s="50">
        <v>3</v>
      </c>
      <c r="B72" s="51" t="str">
        <f ca="1">IF($A72="","",NumList())</f>
        <v>3.3.3</v>
      </c>
      <c r="C72" s="62" t="s">
        <v>365</v>
      </c>
      <c r="D72" s="55">
        <f t="shared" ca="1" si="1"/>
        <v>1</v>
      </c>
      <c r="E72" s="55"/>
      <c r="F72" s="89">
        <f t="shared" ca="1" si="2"/>
        <v>86</v>
      </c>
      <c r="G72" s="51" t="s">
        <v>8</v>
      </c>
      <c r="H72" s="49">
        <f t="shared" ca="1" si="3"/>
        <v>2</v>
      </c>
      <c r="I72" s="53">
        <f t="shared" ca="1" si="0"/>
        <v>172</v>
      </c>
    </row>
    <row r="73" spans="1:10" s="58" customFormat="1" ht="15" customHeight="1">
      <c r="A73" s="50">
        <v>3</v>
      </c>
      <c r="B73" s="51" t="str">
        <f ca="1">IF($A73="","",NumList())</f>
        <v>3.3.4</v>
      </c>
      <c r="C73" s="62" t="s">
        <v>366</v>
      </c>
      <c r="D73" s="55">
        <f t="shared" ca="1" si="1"/>
        <v>1</v>
      </c>
      <c r="E73" s="55"/>
      <c r="F73" s="89">
        <f t="shared" ca="1" si="2"/>
        <v>48</v>
      </c>
      <c r="G73" s="51" t="s">
        <v>8</v>
      </c>
      <c r="H73" s="49">
        <f t="shared" ca="1" si="3"/>
        <v>99</v>
      </c>
      <c r="I73" s="53">
        <f t="shared" ca="1" si="0"/>
        <v>4752</v>
      </c>
    </row>
    <row r="74" spans="1:10" s="58" customFormat="1" ht="15" customHeight="1">
      <c r="A74" s="50">
        <v>2</v>
      </c>
      <c r="B74" s="51" t="str">
        <f ca="1">IF($A74="","",NumList())</f>
        <v>3.4</v>
      </c>
      <c r="C74" s="62" t="s">
        <v>507</v>
      </c>
      <c r="D74" s="55">
        <f t="shared" ca="1" si="1"/>
        <v>0</v>
      </c>
      <c r="E74" s="55"/>
      <c r="F74" s="89">
        <f t="shared" ca="1" si="2"/>
        <v>0</v>
      </c>
      <c r="G74" s="51"/>
      <c r="H74" s="49">
        <f t="shared" ca="1" si="3"/>
        <v>0</v>
      </c>
      <c r="I74" s="53">
        <f t="shared" ca="1" si="0"/>
        <v>0</v>
      </c>
    </row>
    <row r="75" spans="1:10" s="58" customFormat="1" ht="15" customHeight="1">
      <c r="A75" s="50">
        <v>3</v>
      </c>
      <c r="B75" s="51" t="str">
        <f ca="1">IF($A75="","",NumList())</f>
        <v>3.4.1</v>
      </c>
      <c r="C75" s="62" t="s">
        <v>505</v>
      </c>
      <c r="D75" s="55">
        <f t="shared" ca="1" si="1"/>
        <v>1</v>
      </c>
      <c r="E75" s="55"/>
      <c r="F75" s="89">
        <f t="shared" ca="1" si="2"/>
        <v>28</v>
      </c>
      <c r="G75" s="51" t="s">
        <v>8</v>
      </c>
      <c r="H75" s="49">
        <f t="shared" ca="1" si="3"/>
        <v>30</v>
      </c>
      <c r="I75" s="53">
        <f t="shared" ca="1" si="0"/>
        <v>840</v>
      </c>
    </row>
    <row r="76" spans="1:10" s="58" customFormat="1" ht="15" customHeight="1">
      <c r="A76" s="50">
        <v>3</v>
      </c>
      <c r="B76" s="51" t="str">
        <f ca="1">IF($A76="","",NumList())</f>
        <v>3.4.2</v>
      </c>
      <c r="C76" s="62" t="s">
        <v>364</v>
      </c>
      <c r="D76" s="55">
        <f t="shared" ca="1" si="1"/>
        <v>1</v>
      </c>
      <c r="E76" s="55"/>
      <c r="F76" s="89">
        <f t="shared" ca="1" si="2"/>
        <v>41</v>
      </c>
      <c r="G76" s="51" t="s">
        <v>8</v>
      </c>
      <c r="H76" s="49">
        <f t="shared" ca="1" si="3"/>
        <v>52</v>
      </c>
      <c r="I76" s="53">
        <f ca="1">F76*H76</f>
        <v>2132</v>
      </c>
    </row>
    <row r="77" spans="1:10" s="58" customFormat="1" ht="15" customHeight="1">
      <c r="A77" s="50">
        <v>3</v>
      </c>
      <c r="B77" s="51" t="str">
        <f ca="1">IF($A77="","",NumList())</f>
        <v>3.4.3</v>
      </c>
      <c r="C77" s="62" t="s">
        <v>365</v>
      </c>
      <c r="D77" s="55">
        <f t="shared" ca="1" si="1"/>
        <v>1</v>
      </c>
      <c r="E77" s="55"/>
      <c r="F77" s="89">
        <f t="shared" ca="1" si="2"/>
        <v>99</v>
      </c>
      <c r="G77" s="51" t="s">
        <v>8</v>
      </c>
      <c r="H77" s="49">
        <f t="shared" ca="1" si="3"/>
        <v>64</v>
      </c>
      <c r="I77" s="53">
        <f t="shared" ca="1" si="0"/>
        <v>6336</v>
      </c>
    </row>
    <row r="78" spans="1:10" s="58" customFormat="1" ht="15" customHeight="1">
      <c r="A78" s="50">
        <v>3</v>
      </c>
      <c r="B78" s="51" t="str">
        <f ca="1">IF($A78="","",NumList())</f>
        <v>3.4.4</v>
      </c>
      <c r="C78" s="62" t="s">
        <v>366</v>
      </c>
      <c r="D78" s="55">
        <f t="shared" ca="1" si="1"/>
        <v>1</v>
      </c>
      <c r="E78" s="55"/>
      <c r="F78" s="89">
        <f t="shared" ca="1" si="2"/>
        <v>94</v>
      </c>
      <c r="G78" s="51" t="s">
        <v>8</v>
      </c>
      <c r="H78" s="49">
        <f t="shared" ca="1" si="3"/>
        <v>100</v>
      </c>
      <c r="I78" s="53">
        <f t="shared" ca="1" si="0"/>
        <v>9400</v>
      </c>
    </row>
    <row r="79" spans="1:10" s="58" customFormat="1" ht="15" customHeight="1">
      <c r="A79" s="50">
        <v>2</v>
      </c>
      <c r="B79" s="51" t="str">
        <f ca="1">IF($A79="","",NumList())</f>
        <v>3.5</v>
      </c>
      <c r="C79" s="62" t="s">
        <v>506</v>
      </c>
      <c r="D79" s="55">
        <f t="shared" ca="1" si="1"/>
        <v>0</v>
      </c>
      <c r="E79" s="55"/>
      <c r="F79" s="89">
        <f t="shared" ca="1" si="2"/>
        <v>0</v>
      </c>
      <c r="G79" s="51"/>
      <c r="H79" s="49">
        <f t="shared" ca="1" si="3"/>
        <v>0</v>
      </c>
      <c r="I79" s="53">
        <f t="shared" ca="1" si="0"/>
        <v>0</v>
      </c>
    </row>
    <row r="80" spans="1:10" s="58" customFormat="1" ht="15" customHeight="1">
      <c r="A80" s="50">
        <v>3</v>
      </c>
      <c r="B80" s="51" t="str">
        <f ca="1">IF($A80="","",NumList())</f>
        <v>3.5.1</v>
      </c>
      <c r="C80" s="62" t="s">
        <v>505</v>
      </c>
      <c r="D80" s="55">
        <f t="shared" ca="1" si="1"/>
        <v>1</v>
      </c>
      <c r="E80" s="55"/>
      <c r="F80" s="89">
        <f t="shared" ca="1" si="2"/>
        <v>60</v>
      </c>
      <c r="G80" s="51" t="s">
        <v>8</v>
      </c>
      <c r="H80" s="49">
        <f t="shared" ca="1" si="3"/>
        <v>79</v>
      </c>
      <c r="I80" s="53">
        <f ca="1">F80*H80</f>
        <v>4740</v>
      </c>
    </row>
    <row r="81" spans="1:10" s="58" customFormat="1" ht="15" customHeight="1">
      <c r="A81" s="50">
        <v>3</v>
      </c>
      <c r="B81" s="51" t="str">
        <f ca="1">IF($A81="","",NumList())</f>
        <v>3.5.2</v>
      </c>
      <c r="C81" s="62" t="s">
        <v>364</v>
      </c>
      <c r="D81" s="55">
        <f t="shared" ca="1" si="1"/>
        <v>1</v>
      </c>
      <c r="E81" s="55"/>
      <c r="F81" s="89">
        <f t="shared" ca="1" si="2"/>
        <v>39</v>
      </c>
      <c r="G81" s="51" t="s">
        <v>8</v>
      </c>
      <c r="H81" s="49">
        <f t="shared" ca="1" si="3"/>
        <v>71</v>
      </c>
      <c r="I81" s="53">
        <f t="shared" ca="1" si="0"/>
        <v>2769</v>
      </c>
    </row>
    <row r="82" spans="1:10" s="58" customFormat="1" ht="15" customHeight="1">
      <c r="A82" s="50">
        <v>3</v>
      </c>
      <c r="B82" s="51" t="str">
        <f ca="1">IF($A82="","",NumList())</f>
        <v>3.5.3</v>
      </c>
      <c r="C82" s="62" t="s">
        <v>365</v>
      </c>
      <c r="D82" s="55">
        <f t="shared" ca="1" si="1"/>
        <v>1</v>
      </c>
      <c r="E82" s="55"/>
      <c r="F82" s="89">
        <f t="shared" ca="1" si="2"/>
        <v>90</v>
      </c>
      <c r="G82" s="51" t="s">
        <v>8</v>
      </c>
      <c r="H82" s="49">
        <f t="shared" ca="1" si="3"/>
        <v>50</v>
      </c>
      <c r="I82" s="53">
        <f t="shared" ca="1" si="0"/>
        <v>4500</v>
      </c>
    </row>
    <row r="83" spans="1:10" s="58" customFormat="1" ht="30.75" customHeight="1">
      <c r="A83" s="50">
        <v>2</v>
      </c>
      <c r="B83" s="51" t="str">
        <f ca="1">IF($A83="","",NumList())</f>
        <v>3.6</v>
      </c>
      <c r="C83" s="62" t="s">
        <v>367</v>
      </c>
      <c r="D83" s="55">
        <f t="shared" ca="1" si="1"/>
        <v>1</v>
      </c>
      <c r="E83" s="55"/>
      <c r="F83" s="89">
        <f t="shared" ca="1" si="2"/>
        <v>95</v>
      </c>
      <c r="G83" s="51" t="s">
        <v>8</v>
      </c>
      <c r="H83" s="49">
        <f t="shared" ca="1" si="3"/>
        <v>93</v>
      </c>
      <c r="I83" s="53">
        <f t="shared" ca="1" si="0"/>
        <v>8835</v>
      </c>
    </row>
    <row r="84" spans="1:10" s="58" customFormat="1" ht="15" customHeight="1">
      <c r="A84" s="50" t="s">
        <v>516</v>
      </c>
      <c r="B84" s="51" t="str">
        <f>IF($A84="","",NumList())</f>
        <v/>
      </c>
      <c r="C84" s="61"/>
      <c r="D84" s="55">
        <f t="shared" ca="1" si="1"/>
        <v>0</v>
      </c>
      <c r="E84" s="55"/>
      <c r="F84" s="89">
        <f t="shared" ca="1" si="2"/>
        <v>0</v>
      </c>
      <c r="G84" s="51"/>
      <c r="H84" s="49">
        <f t="shared" ca="1" si="3"/>
        <v>0</v>
      </c>
      <c r="I84" s="53">
        <f t="shared" ca="1" si="0"/>
        <v>0</v>
      </c>
    </row>
    <row r="85" spans="1:10" s="41" customFormat="1" ht="43.5">
      <c r="A85" s="50">
        <v>1</v>
      </c>
      <c r="B85" s="51">
        <f ca="1">IF($A85="","",NumList())</f>
        <v>4</v>
      </c>
      <c r="C85" s="63" t="s">
        <v>617</v>
      </c>
      <c r="D85" s="55">
        <f t="shared" ca="1" si="1"/>
        <v>0</v>
      </c>
      <c r="E85" s="48"/>
      <c r="F85" s="89">
        <f t="shared" ca="1" si="2"/>
        <v>0</v>
      </c>
      <c r="G85" s="46"/>
      <c r="H85" s="49">
        <f t="shared" ca="1" si="3"/>
        <v>0</v>
      </c>
      <c r="I85" s="53">
        <f t="shared" ca="1" si="0"/>
        <v>0</v>
      </c>
    </row>
    <row r="86" spans="1:10" s="58" customFormat="1" ht="28.5">
      <c r="A86" s="50">
        <v>2</v>
      </c>
      <c r="B86" s="51" t="str">
        <f ca="1">IF($A86="","",NumList())</f>
        <v>4.1</v>
      </c>
      <c r="C86" s="62" t="s">
        <v>499</v>
      </c>
      <c r="D86" s="55">
        <f t="shared" ca="1" si="1"/>
        <v>0</v>
      </c>
      <c r="E86" s="55"/>
      <c r="F86" s="89">
        <f t="shared" ca="1" si="2"/>
        <v>0</v>
      </c>
      <c r="G86" s="51"/>
      <c r="H86" s="49">
        <f t="shared" ca="1" si="3"/>
        <v>0</v>
      </c>
      <c r="I86" s="53">
        <f t="shared" ca="1" si="0"/>
        <v>0</v>
      </c>
      <c r="J86" s="95" t="s">
        <v>494</v>
      </c>
    </row>
    <row r="87" spans="1:10" s="58" customFormat="1" ht="15" customHeight="1">
      <c r="A87" s="50">
        <v>3</v>
      </c>
      <c r="B87" s="51" t="str">
        <f ca="1">IF($A87="","",NumList())</f>
        <v>4.1.1</v>
      </c>
      <c r="C87" s="62" t="s">
        <v>613</v>
      </c>
      <c r="D87" s="55">
        <f t="shared" ca="1" si="1"/>
        <v>1</v>
      </c>
      <c r="E87" s="55"/>
      <c r="F87" s="89">
        <f t="shared" ca="1" si="2"/>
        <v>25</v>
      </c>
      <c r="G87" s="51" t="s">
        <v>8</v>
      </c>
      <c r="H87" s="49">
        <f t="shared" ca="1" si="3"/>
        <v>30</v>
      </c>
      <c r="I87" s="53">
        <f t="shared" ca="1" si="0"/>
        <v>750</v>
      </c>
    </row>
    <row r="88" spans="1:10" s="58" customFormat="1" ht="15" customHeight="1">
      <c r="A88" s="50">
        <v>3</v>
      </c>
      <c r="B88" s="51" t="str">
        <f ca="1">IF($A88="","",NumList())</f>
        <v>4.1.2</v>
      </c>
      <c r="C88" s="62" t="s">
        <v>614</v>
      </c>
      <c r="D88" s="55">
        <f t="shared" ca="1" si="1"/>
        <v>1</v>
      </c>
      <c r="E88" s="55"/>
      <c r="F88" s="89">
        <f t="shared" ca="1" si="2"/>
        <v>15</v>
      </c>
      <c r="G88" s="51" t="s">
        <v>8</v>
      </c>
      <c r="H88" s="49">
        <f t="shared" ca="1" si="3"/>
        <v>77</v>
      </c>
      <c r="I88" s="53">
        <f t="shared" ca="1" si="0"/>
        <v>1155</v>
      </c>
    </row>
    <row r="89" spans="1:10" s="58" customFormat="1" ht="15" customHeight="1">
      <c r="A89" s="50">
        <v>3</v>
      </c>
      <c r="B89" s="51" t="str">
        <f ca="1">IF($A89="","",NumList())</f>
        <v>4.1.3</v>
      </c>
      <c r="C89" s="62" t="s">
        <v>615</v>
      </c>
      <c r="D89" s="55">
        <f t="shared" ca="1" si="1"/>
        <v>1</v>
      </c>
      <c r="E89" s="55"/>
      <c r="F89" s="89">
        <f t="shared" ca="1" si="2"/>
        <v>93</v>
      </c>
      <c r="G89" s="51" t="s">
        <v>8</v>
      </c>
      <c r="H89" s="49">
        <f t="shared" ca="1" si="3"/>
        <v>27</v>
      </c>
      <c r="I89" s="53">
        <f ca="1">F89*H89</f>
        <v>2511</v>
      </c>
    </row>
    <row r="90" spans="1:10" s="58" customFormat="1" ht="15" customHeight="1">
      <c r="A90" s="50" t="s">
        <v>516</v>
      </c>
      <c r="B90" s="51" t="str">
        <f>IF($A90="","",NumList())</f>
        <v/>
      </c>
      <c r="C90" s="62"/>
      <c r="D90" s="55">
        <f t="shared" ca="1" si="1"/>
        <v>0</v>
      </c>
      <c r="E90" s="55"/>
      <c r="F90" s="89">
        <f t="shared" ca="1" si="2"/>
        <v>0</v>
      </c>
      <c r="G90" s="51"/>
      <c r="H90" s="49">
        <f t="shared" ca="1" si="3"/>
        <v>0</v>
      </c>
      <c r="I90" s="53">
        <f t="shared" ca="1" si="0"/>
        <v>0</v>
      </c>
    </row>
    <row r="91" spans="1:10" s="58" customFormat="1" ht="31.5" customHeight="1">
      <c r="A91" s="50">
        <v>2</v>
      </c>
      <c r="B91" s="51" t="str">
        <f ca="1">IF($A91="","",NumList())</f>
        <v>4.2</v>
      </c>
      <c r="C91" s="62" t="s">
        <v>498</v>
      </c>
      <c r="D91" s="55">
        <f t="shared" ca="1" si="1"/>
        <v>1</v>
      </c>
      <c r="E91" s="55"/>
      <c r="F91" s="89">
        <f t="shared" ca="1" si="2"/>
        <v>83</v>
      </c>
      <c r="G91" s="51" t="s">
        <v>8</v>
      </c>
      <c r="H91" s="49">
        <f t="shared" ca="1" si="3"/>
        <v>84</v>
      </c>
      <c r="I91" s="53">
        <f t="shared" ca="1" si="0"/>
        <v>6972</v>
      </c>
      <c r="J91" s="95" t="s">
        <v>494</v>
      </c>
    </row>
    <row r="92" spans="1:10" s="58" customFormat="1" ht="15" customHeight="1">
      <c r="A92" s="50">
        <v>3</v>
      </c>
      <c r="B92" s="51" t="str">
        <f ca="1">IF($A92="","",NumList())</f>
        <v>4.2.1</v>
      </c>
      <c r="C92" s="62" t="s">
        <v>613</v>
      </c>
      <c r="D92" s="55">
        <f t="shared" ref="D92:D112" ca="1" si="4">IF(ISTEXT(G92),RANDBETWEEN(1,1),0)</f>
        <v>1</v>
      </c>
      <c r="E92" s="55"/>
      <c r="F92" s="89">
        <f t="shared" ref="F92:F109" ca="1" si="5">IF(ISTEXT(G92),RANDBETWEEN(1,100),0)</f>
        <v>1</v>
      </c>
      <c r="G92" s="51" t="s">
        <v>8</v>
      </c>
      <c r="H92" s="49">
        <f t="shared" ref="H92:H109" ca="1" si="6">IF(ISTEXT(G92),RANDBETWEEN(1,100),0)</f>
        <v>5</v>
      </c>
      <c r="I92" s="53">
        <f t="shared" ca="1" si="0"/>
        <v>5</v>
      </c>
    </row>
    <row r="93" spans="1:10" s="58" customFormat="1" ht="15" customHeight="1">
      <c r="A93" s="50">
        <v>3</v>
      </c>
      <c r="B93" s="51" t="str">
        <f ca="1">IF($A93="","",NumList())</f>
        <v>4.2.2</v>
      </c>
      <c r="C93" s="62" t="s">
        <v>614</v>
      </c>
      <c r="D93" s="55">
        <f t="shared" ca="1" si="4"/>
        <v>1</v>
      </c>
      <c r="E93" s="55"/>
      <c r="F93" s="89">
        <f t="shared" ca="1" si="5"/>
        <v>71</v>
      </c>
      <c r="G93" s="51" t="s">
        <v>8</v>
      </c>
      <c r="H93" s="49">
        <f t="shared" ca="1" si="6"/>
        <v>42</v>
      </c>
      <c r="I93" s="53">
        <f t="shared" ca="1" si="0"/>
        <v>2982</v>
      </c>
    </row>
    <row r="94" spans="1:10" s="58" customFormat="1" ht="15" customHeight="1">
      <c r="A94" s="50">
        <v>3</v>
      </c>
      <c r="B94" s="51" t="str">
        <f ca="1">IF($A94="","",NumList())</f>
        <v>4.2.3</v>
      </c>
      <c r="C94" s="62" t="s">
        <v>615</v>
      </c>
      <c r="D94" s="55">
        <f t="shared" ca="1" si="4"/>
        <v>1</v>
      </c>
      <c r="E94" s="55"/>
      <c r="F94" s="89">
        <f t="shared" ca="1" si="5"/>
        <v>48</v>
      </c>
      <c r="G94" s="51" t="s">
        <v>8</v>
      </c>
      <c r="H94" s="49">
        <f t="shared" ca="1" si="6"/>
        <v>82</v>
      </c>
      <c r="I94" s="53">
        <f t="shared" ref="I94:I111" ca="1" si="7">F94*H94</f>
        <v>3936</v>
      </c>
    </row>
    <row r="95" spans="1:10" s="58" customFormat="1" ht="15" customHeight="1">
      <c r="A95" s="50" t="s">
        <v>516</v>
      </c>
      <c r="B95" s="51" t="str">
        <f>IF($A95="","",NumList())</f>
        <v/>
      </c>
      <c r="C95" s="61"/>
      <c r="D95" s="55">
        <f t="shared" ca="1" si="4"/>
        <v>0</v>
      </c>
      <c r="E95" s="55"/>
      <c r="F95" s="89">
        <f t="shared" ca="1" si="5"/>
        <v>0</v>
      </c>
      <c r="G95" s="51"/>
      <c r="H95" s="49">
        <f t="shared" ca="1" si="6"/>
        <v>0</v>
      </c>
      <c r="I95" s="53">
        <f t="shared" ca="1" si="7"/>
        <v>0</v>
      </c>
    </row>
    <row r="96" spans="1:10" s="41" customFormat="1" ht="15">
      <c r="A96" s="50">
        <v>1</v>
      </c>
      <c r="B96" s="51">
        <f ca="1">IF($A96="","",NumList())</f>
        <v>5</v>
      </c>
      <c r="C96" s="63" t="s">
        <v>231</v>
      </c>
      <c r="D96" s="55">
        <f t="shared" ca="1" si="4"/>
        <v>0</v>
      </c>
      <c r="E96" s="48"/>
      <c r="F96" s="89">
        <f t="shared" ca="1" si="5"/>
        <v>0</v>
      </c>
      <c r="G96" s="46"/>
      <c r="H96" s="49">
        <f t="shared" ca="1" si="6"/>
        <v>0</v>
      </c>
      <c r="I96" s="53">
        <f t="shared" ca="1" si="7"/>
        <v>0</v>
      </c>
    </row>
    <row r="97" spans="1:11" s="58" customFormat="1" ht="30">
      <c r="A97" s="50">
        <v>2</v>
      </c>
      <c r="B97" s="51" t="str">
        <f ca="1">IF($A97="","",NumList())</f>
        <v>5.1</v>
      </c>
      <c r="C97" s="61" t="s">
        <v>624</v>
      </c>
      <c r="D97" s="55">
        <f t="shared" ca="1" si="4"/>
        <v>1</v>
      </c>
      <c r="E97" s="55"/>
      <c r="F97" s="89">
        <f t="shared" ca="1" si="5"/>
        <v>45</v>
      </c>
      <c r="G97" s="51" t="s">
        <v>8</v>
      </c>
      <c r="H97" s="49">
        <f t="shared" ca="1" si="6"/>
        <v>32</v>
      </c>
      <c r="I97" s="53">
        <f t="shared" ca="1" si="7"/>
        <v>1440</v>
      </c>
    </row>
    <row r="98" spans="1:11" s="41" customFormat="1" ht="15">
      <c r="A98" s="50">
        <v>2</v>
      </c>
      <c r="B98" s="51" t="str">
        <f ca="1">IF($A98="","",NumList())</f>
        <v>5.2</v>
      </c>
      <c r="C98" s="62" t="s">
        <v>47</v>
      </c>
      <c r="D98" s="55">
        <f t="shared" ca="1" si="4"/>
        <v>1</v>
      </c>
      <c r="E98" s="55"/>
      <c r="F98" s="89">
        <f t="shared" ca="1" si="5"/>
        <v>19</v>
      </c>
      <c r="G98" s="51" t="s">
        <v>0</v>
      </c>
      <c r="H98" s="49">
        <f t="shared" ca="1" si="6"/>
        <v>71</v>
      </c>
      <c r="I98" s="53">
        <f t="shared" ca="1" si="7"/>
        <v>1349</v>
      </c>
      <c r="K98" s="58"/>
    </row>
    <row r="99" spans="1:11" s="41" customFormat="1" ht="15">
      <c r="A99" s="50" t="s">
        <v>516</v>
      </c>
      <c r="B99" s="51" t="str">
        <f>IF($A99="","",NumList())</f>
        <v/>
      </c>
      <c r="C99" s="61"/>
      <c r="D99" s="55">
        <f t="shared" ca="1" si="4"/>
        <v>0</v>
      </c>
      <c r="E99" s="55"/>
      <c r="F99" s="89">
        <f t="shared" ca="1" si="5"/>
        <v>0</v>
      </c>
      <c r="G99" s="51"/>
      <c r="H99" s="49">
        <f t="shared" ca="1" si="6"/>
        <v>0</v>
      </c>
      <c r="I99" s="53">
        <f t="shared" ca="1" si="7"/>
        <v>0</v>
      </c>
      <c r="K99" s="58"/>
    </row>
    <row r="100" spans="1:11" s="41" customFormat="1" ht="15">
      <c r="A100" s="50">
        <v>1</v>
      </c>
      <c r="B100" s="51">
        <f ca="1">IF($A100="","",NumList())</f>
        <v>6</v>
      </c>
      <c r="C100" s="69" t="s">
        <v>7</v>
      </c>
      <c r="D100" s="55">
        <f t="shared" ca="1" si="4"/>
        <v>0</v>
      </c>
      <c r="E100" s="48"/>
      <c r="F100" s="89">
        <f t="shared" ca="1" si="5"/>
        <v>0</v>
      </c>
      <c r="G100" s="46"/>
      <c r="H100" s="49">
        <f t="shared" ca="1" si="6"/>
        <v>0</v>
      </c>
      <c r="I100" s="53">
        <f t="shared" ca="1" si="7"/>
        <v>0</v>
      </c>
    </row>
    <row r="101" spans="1:11" s="41" customFormat="1" ht="28.5">
      <c r="A101" s="50">
        <v>2</v>
      </c>
      <c r="B101" s="51" t="str">
        <f ca="1">IF($A101="","",NumList())</f>
        <v>6.1</v>
      </c>
      <c r="C101" s="62" t="s">
        <v>368</v>
      </c>
      <c r="D101" s="55">
        <f t="shared" ca="1" si="4"/>
        <v>1</v>
      </c>
      <c r="E101" s="55"/>
      <c r="F101" s="89">
        <f t="shared" ca="1" si="5"/>
        <v>61</v>
      </c>
      <c r="G101" s="51" t="s">
        <v>0</v>
      </c>
      <c r="H101" s="49">
        <f t="shared" ca="1" si="6"/>
        <v>31</v>
      </c>
      <c r="I101" s="53">
        <f ca="1">F101*H101</f>
        <v>1891</v>
      </c>
      <c r="K101" s="58"/>
    </row>
    <row r="102" spans="1:11" s="41" customFormat="1" ht="15">
      <c r="A102" s="50" t="s">
        <v>516</v>
      </c>
      <c r="B102" s="51" t="str">
        <f>IF($A102="","",NumList())</f>
        <v/>
      </c>
      <c r="C102" s="62"/>
      <c r="D102" s="55">
        <f t="shared" ca="1" si="4"/>
        <v>0</v>
      </c>
      <c r="E102" s="55"/>
      <c r="F102" s="89">
        <f t="shared" ca="1" si="5"/>
        <v>0</v>
      </c>
      <c r="G102" s="51"/>
      <c r="H102" s="49">
        <f t="shared" ca="1" si="6"/>
        <v>0</v>
      </c>
      <c r="I102" s="53">
        <f t="shared" ca="1" si="7"/>
        <v>0</v>
      </c>
      <c r="K102" s="58"/>
    </row>
    <row r="103" spans="1:11" s="41" customFormat="1" ht="30">
      <c r="A103" s="50">
        <v>1</v>
      </c>
      <c r="B103" s="51">
        <f ca="1">IF($A103="","",NumList())</f>
        <v>7</v>
      </c>
      <c r="C103" s="69" t="s">
        <v>339</v>
      </c>
      <c r="D103" s="55">
        <f t="shared" ca="1" si="4"/>
        <v>0</v>
      </c>
      <c r="E103" s="55"/>
      <c r="F103" s="89">
        <f t="shared" ca="1" si="5"/>
        <v>0</v>
      </c>
      <c r="G103" s="51"/>
      <c r="H103" s="49">
        <f t="shared" ca="1" si="6"/>
        <v>0</v>
      </c>
      <c r="I103" s="53">
        <f t="shared" ca="1" si="7"/>
        <v>0</v>
      </c>
      <c r="K103" s="58"/>
    </row>
    <row r="104" spans="1:11" s="41" customFormat="1" ht="15">
      <c r="A104" s="50">
        <v>2</v>
      </c>
      <c r="B104" s="51" t="str">
        <f ca="1">IF($A104="","",NumList())</f>
        <v>7.1</v>
      </c>
      <c r="C104" s="62" t="s">
        <v>369</v>
      </c>
      <c r="D104" s="55">
        <f t="shared" ca="1" si="4"/>
        <v>1</v>
      </c>
      <c r="E104" s="55"/>
      <c r="F104" s="89">
        <f t="shared" ca="1" si="5"/>
        <v>95</v>
      </c>
      <c r="G104" s="51" t="s">
        <v>0</v>
      </c>
      <c r="H104" s="49">
        <f t="shared" ca="1" si="6"/>
        <v>57</v>
      </c>
      <c r="I104" s="53">
        <f t="shared" ca="1" si="7"/>
        <v>5415</v>
      </c>
      <c r="K104" s="58"/>
    </row>
    <row r="105" spans="1:11" s="41" customFormat="1" ht="15">
      <c r="A105" s="50">
        <v>2</v>
      </c>
      <c r="B105" s="51" t="str">
        <f ca="1">IF($A105="","",NumList())</f>
        <v>7.2</v>
      </c>
      <c r="C105" s="62" t="s">
        <v>370</v>
      </c>
      <c r="D105" s="55">
        <f t="shared" ca="1" si="4"/>
        <v>1</v>
      </c>
      <c r="E105" s="55"/>
      <c r="F105" s="89">
        <f t="shared" ca="1" si="5"/>
        <v>76</v>
      </c>
      <c r="G105" s="51" t="s">
        <v>0</v>
      </c>
      <c r="H105" s="49">
        <f t="shared" ca="1" si="6"/>
        <v>57</v>
      </c>
      <c r="I105" s="53">
        <f t="shared" ca="1" si="7"/>
        <v>4332</v>
      </c>
      <c r="K105" s="58"/>
    </row>
    <row r="106" spans="1:11" s="41" customFormat="1" ht="15">
      <c r="A106" s="50" t="s">
        <v>516</v>
      </c>
      <c r="B106" s="51" t="str">
        <f>IF($A106="","",NumList())</f>
        <v/>
      </c>
      <c r="C106" s="54"/>
      <c r="D106" s="55">
        <f t="shared" ca="1" si="4"/>
        <v>0</v>
      </c>
      <c r="E106" s="55"/>
      <c r="F106" s="89">
        <f t="shared" ca="1" si="5"/>
        <v>0</v>
      </c>
      <c r="G106" s="51"/>
      <c r="H106" s="49">
        <f t="shared" ca="1" si="6"/>
        <v>0</v>
      </c>
      <c r="I106" s="53">
        <f t="shared" ca="1" si="7"/>
        <v>0</v>
      </c>
      <c r="K106" s="58"/>
    </row>
    <row r="107" spans="1:11" s="41" customFormat="1" ht="15">
      <c r="A107" s="50">
        <v>1</v>
      </c>
      <c r="B107" s="51">
        <f ca="1">IF($A107="","",NumList())</f>
        <v>8</v>
      </c>
      <c r="C107" s="52" t="s">
        <v>11</v>
      </c>
      <c r="D107" s="55">
        <f t="shared" ca="1" si="4"/>
        <v>0</v>
      </c>
      <c r="E107" s="48"/>
      <c r="F107" s="89">
        <f t="shared" ca="1" si="5"/>
        <v>0</v>
      </c>
      <c r="G107" s="46"/>
      <c r="H107" s="49">
        <f t="shared" ca="1" si="6"/>
        <v>0</v>
      </c>
      <c r="I107" s="53">
        <f t="shared" ca="1" si="7"/>
        <v>0</v>
      </c>
      <c r="K107" s="58"/>
    </row>
    <row r="108" spans="1:11" s="41" customFormat="1" ht="57">
      <c r="A108" s="50">
        <v>2</v>
      </c>
      <c r="B108" s="51" t="str">
        <f ca="1">IF($A108="","",NumList())</f>
        <v>8.1</v>
      </c>
      <c r="C108" s="62" t="s">
        <v>276</v>
      </c>
      <c r="D108" s="55">
        <f t="shared" ca="1" si="4"/>
        <v>1</v>
      </c>
      <c r="E108" s="55"/>
      <c r="F108" s="89">
        <f t="shared" ca="1" si="5"/>
        <v>5</v>
      </c>
      <c r="G108" s="51" t="s">
        <v>0</v>
      </c>
      <c r="H108" s="49">
        <f t="shared" ca="1" si="6"/>
        <v>27</v>
      </c>
      <c r="I108" s="53">
        <f t="shared" ca="1" si="7"/>
        <v>135</v>
      </c>
      <c r="K108" s="58"/>
    </row>
    <row r="109" spans="1:11" s="41" customFormat="1" ht="28.5">
      <c r="A109" s="50">
        <v>2</v>
      </c>
      <c r="B109" s="51" t="str">
        <f ca="1">IF($A109="","",NumList())</f>
        <v>8.2</v>
      </c>
      <c r="C109" s="62" t="s">
        <v>48</v>
      </c>
      <c r="D109" s="55">
        <f t="shared" ca="1" si="4"/>
        <v>1</v>
      </c>
      <c r="E109" s="55"/>
      <c r="F109" s="89">
        <f t="shared" ca="1" si="5"/>
        <v>88</v>
      </c>
      <c r="G109" s="51" t="s">
        <v>0</v>
      </c>
      <c r="H109" s="49">
        <f t="shared" ca="1" si="6"/>
        <v>57</v>
      </c>
      <c r="I109" s="53">
        <f t="shared" ca="1" si="7"/>
        <v>5016</v>
      </c>
      <c r="K109" s="58"/>
    </row>
    <row r="110" spans="1:11" s="41" customFormat="1" ht="15">
      <c r="A110" s="50" t="s">
        <v>516</v>
      </c>
      <c r="B110" s="51" t="str">
        <f>IF($A110="","",NumList())</f>
        <v/>
      </c>
      <c r="C110" s="62"/>
      <c r="D110" s="55">
        <f t="shared" ca="1" si="4"/>
        <v>0</v>
      </c>
      <c r="E110" s="55"/>
      <c r="F110" s="55"/>
      <c r="G110" s="51"/>
      <c r="H110" s="78"/>
      <c r="I110" s="53">
        <f t="shared" si="7"/>
        <v>0</v>
      </c>
      <c r="K110" s="58"/>
    </row>
    <row r="111" spans="1:11" s="41" customFormat="1" ht="15">
      <c r="A111" s="50">
        <v>1</v>
      </c>
      <c r="B111" s="51">
        <f ca="1">IF($A111="","",NumList())</f>
        <v>9</v>
      </c>
      <c r="C111" s="52" t="s">
        <v>65</v>
      </c>
      <c r="D111" s="55">
        <f t="shared" ca="1" si="4"/>
        <v>0</v>
      </c>
      <c r="E111" s="55"/>
      <c r="F111" s="55"/>
      <c r="G111" s="51"/>
      <c r="H111" s="78"/>
      <c r="I111" s="53">
        <f t="shared" si="7"/>
        <v>0</v>
      </c>
      <c r="K111" s="58"/>
    </row>
    <row r="112" spans="1:11" s="41" customFormat="1" ht="28.5">
      <c r="A112" s="50" t="s">
        <v>516</v>
      </c>
      <c r="B112" s="51" t="str">
        <f>IF($A112="","",NumList())</f>
        <v/>
      </c>
      <c r="C112" s="62" t="s">
        <v>283</v>
      </c>
      <c r="D112" s="55">
        <f t="shared" ca="1" si="4"/>
        <v>1</v>
      </c>
      <c r="E112" s="55"/>
      <c r="F112" s="55">
        <v>1</v>
      </c>
      <c r="G112" s="51" t="s">
        <v>0</v>
      </c>
      <c r="H112" s="62" t="s">
        <v>73</v>
      </c>
      <c r="I112" s="53"/>
      <c r="K112" s="58"/>
    </row>
    <row r="113" spans="1:12" s="58" customFormat="1" ht="15" customHeight="1">
      <c r="A113" s="50"/>
      <c r="B113" s="32"/>
      <c r="C113" s="70"/>
      <c r="D113" s="71"/>
      <c r="E113" s="71"/>
      <c r="F113" s="71"/>
      <c r="G113" s="30"/>
      <c r="H113" s="82" t="s">
        <v>275</v>
      </c>
      <c r="I113" s="78">
        <f ca="1">SUM(I25:I112)</f>
        <v>174014</v>
      </c>
    </row>
    <row r="114" spans="1:12" s="58" customFormat="1" ht="14.25" customHeight="1">
      <c r="A114" s="50"/>
      <c r="B114" s="32"/>
      <c r="C114" s="70"/>
      <c r="D114" s="71"/>
      <c r="E114" s="71"/>
      <c r="F114" s="71"/>
      <c r="G114" s="30"/>
      <c r="H114" s="83"/>
      <c r="I114" s="77"/>
    </row>
    <row r="115" spans="1:12" s="58" customFormat="1" ht="14.25" customHeight="1">
      <c r="A115" s="50"/>
      <c r="B115" s="30"/>
      <c r="C115" s="70"/>
      <c r="D115" s="71"/>
      <c r="E115" s="71"/>
      <c r="F115" s="71"/>
      <c r="G115" s="30"/>
      <c r="H115" s="77"/>
      <c r="I115" s="77"/>
    </row>
    <row r="116" spans="1:12" s="58" customFormat="1" ht="14.25" customHeight="1">
      <c r="A116" s="50"/>
      <c r="B116" s="30"/>
      <c r="C116" s="30" t="s">
        <v>18</v>
      </c>
      <c r="D116" s="31"/>
      <c r="E116" s="31"/>
      <c r="F116" s="31"/>
      <c r="G116" s="31"/>
      <c r="H116" s="31"/>
      <c r="I116" s="31"/>
      <c r="J116" s="30"/>
    </row>
    <row r="117" spans="1:12" s="58" customFormat="1" ht="14.25" customHeight="1">
      <c r="A117" s="50"/>
      <c r="B117" s="30"/>
      <c r="C117" s="30"/>
      <c r="D117" s="34"/>
      <c r="E117" s="34"/>
      <c r="F117" s="34"/>
      <c r="G117" s="32"/>
      <c r="H117" s="33"/>
      <c r="I117" s="30"/>
      <c r="J117" s="30"/>
    </row>
    <row r="118" spans="1:12" s="58" customFormat="1" ht="14.25" customHeight="1">
      <c r="A118" s="50"/>
      <c r="B118" s="30"/>
      <c r="C118" s="30" t="s">
        <v>19</v>
      </c>
      <c r="D118" s="31"/>
      <c r="E118" s="31"/>
      <c r="F118" s="31"/>
      <c r="G118" s="31"/>
      <c r="H118" s="31"/>
      <c r="I118" s="31"/>
      <c r="J118" s="30"/>
    </row>
    <row r="119" spans="1:12" s="58" customFormat="1" ht="14.25" customHeight="1">
      <c r="A119" s="50"/>
      <c r="B119" s="30"/>
      <c r="C119" s="30"/>
      <c r="D119" s="34"/>
      <c r="E119" s="34"/>
      <c r="F119" s="34"/>
      <c r="G119" s="32"/>
      <c r="H119" s="33"/>
      <c r="I119" s="30"/>
      <c r="J119" s="30"/>
    </row>
    <row r="120" spans="1:12" ht="67.5">
      <c r="A120" s="50"/>
      <c r="C120" s="74" t="s">
        <v>188</v>
      </c>
    </row>
    <row r="121" spans="1:12">
      <c r="A121" s="50"/>
      <c r="C121" s="70"/>
    </row>
    <row r="122" spans="1:12">
      <c r="A122" s="50"/>
      <c r="C122" s="70"/>
    </row>
    <row r="123" spans="1:12" s="58" customFormat="1">
      <c r="A123" s="50"/>
      <c r="B123" s="30"/>
      <c r="C123" s="70"/>
      <c r="D123" s="71"/>
      <c r="E123" s="71"/>
      <c r="F123" s="71"/>
      <c r="G123" s="30"/>
      <c r="H123" s="77"/>
      <c r="I123" s="77"/>
      <c r="L123" s="3"/>
    </row>
    <row r="124" spans="1:12" s="58" customFormat="1">
      <c r="A124" s="50"/>
      <c r="B124" s="30"/>
      <c r="C124" s="70"/>
      <c r="D124" s="71"/>
      <c r="E124" s="71"/>
      <c r="F124" s="71"/>
      <c r="G124" s="30"/>
      <c r="H124" s="77"/>
      <c r="I124" s="77"/>
      <c r="L124" s="3"/>
    </row>
    <row r="125" spans="1:12" s="58" customFormat="1">
      <c r="A125" s="50"/>
      <c r="B125" s="30"/>
      <c r="C125" s="70"/>
      <c r="D125" s="71"/>
      <c r="E125" s="71"/>
      <c r="F125" s="71"/>
      <c r="G125" s="30"/>
      <c r="H125" s="77"/>
      <c r="I125" s="77"/>
      <c r="L125" s="3"/>
    </row>
    <row r="126" spans="1:12" s="58" customFormat="1">
      <c r="A126" s="50"/>
      <c r="B126" s="30"/>
      <c r="C126" s="70"/>
      <c r="D126" s="71"/>
      <c r="E126" s="71"/>
      <c r="F126" s="71"/>
      <c r="G126" s="30"/>
      <c r="H126" s="77"/>
      <c r="I126" s="77"/>
      <c r="L126" s="3"/>
    </row>
    <row r="127" spans="1:12" s="58" customFormat="1">
      <c r="A127" s="50"/>
      <c r="B127" s="30"/>
      <c r="C127" s="70"/>
      <c r="D127" s="71"/>
      <c r="E127" s="71"/>
      <c r="F127" s="71"/>
      <c r="G127" s="30"/>
      <c r="H127" s="77"/>
      <c r="I127" s="77"/>
      <c r="L127" s="3"/>
    </row>
    <row r="128" spans="1:12" s="58" customFormat="1">
      <c r="A128" s="50"/>
      <c r="B128" s="30"/>
      <c r="C128" s="70"/>
      <c r="D128" s="71"/>
      <c r="E128" s="71"/>
      <c r="F128" s="71"/>
      <c r="G128" s="30"/>
      <c r="H128" s="77"/>
      <c r="I128" s="77"/>
      <c r="L128" s="3"/>
    </row>
    <row r="129" spans="1:12" s="58" customFormat="1">
      <c r="A129" s="50"/>
      <c r="B129" s="30"/>
      <c r="C129" s="70"/>
      <c r="D129" s="71"/>
      <c r="E129" s="71"/>
      <c r="F129" s="71"/>
      <c r="G129" s="30"/>
      <c r="H129" s="77"/>
      <c r="I129" s="77"/>
      <c r="L129" s="3"/>
    </row>
    <row r="130" spans="1:12" s="58" customFormat="1">
      <c r="A130" s="50"/>
      <c r="B130" s="30"/>
      <c r="C130" s="70"/>
      <c r="D130" s="71"/>
      <c r="E130" s="71"/>
      <c r="F130" s="71"/>
      <c r="G130" s="30"/>
      <c r="H130" s="77"/>
      <c r="I130" s="77"/>
      <c r="L130" s="3"/>
    </row>
    <row r="131" spans="1:12" s="58" customFormat="1">
      <c r="A131" s="50"/>
      <c r="B131" s="30"/>
      <c r="C131" s="70"/>
      <c r="D131" s="71"/>
      <c r="E131" s="71"/>
      <c r="F131" s="71"/>
      <c r="G131" s="30"/>
      <c r="H131" s="77"/>
      <c r="I131" s="77"/>
      <c r="L131" s="3"/>
    </row>
    <row r="132" spans="1:12" s="58" customFormat="1">
      <c r="A132" s="50"/>
      <c r="B132" s="30"/>
      <c r="C132" s="70"/>
      <c r="D132" s="71"/>
      <c r="E132" s="71"/>
      <c r="F132" s="71"/>
      <c r="G132" s="30"/>
      <c r="H132" s="77"/>
      <c r="I132" s="77"/>
      <c r="L132" s="3"/>
    </row>
    <row r="133" spans="1:12" s="58" customFormat="1">
      <c r="A133" s="50"/>
      <c r="B133" s="30"/>
      <c r="C133" s="70"/>
      <c r="D133" s="71"/>
      <c r="E133" s="71"/>
      <c r="F133" s="71"/>
      <c r="G133" s="30"/>
      <c r="H133" s="77"/>
      <c r="I133" s="77"/>
      <c r="L133" s="3"/>
    </row>
    <row r="134" spans="1:12" s="58" customFormat="1">
      <c r="A134" s="50"/>
      <c r="B134" s="30"/>
      <c r="C134" s="70"/>
      <c r="D134" s="71"/>
      <c r="E134" s="71"/>
      <c r="F134" s="71"/>
      <c r="G134" s="30"/>
      <c r="H134" s="77"/>
      <c r="I134" s="77"/>
      <c r="L134" s="3"/>
    </row>
    <row r="135" spans="1:12" s="58" customFormat="1">
      <c r="A135" s="50"/>
      <c r="B135" s="30"/>
      <c r="C135" s="70"/>
      <c r="D135" s="71"/>
      <c r="E135" s="71"/>
      <c r="F135" s="71"/>
      <c r="G135" s="30"/>
      <c r="H135" s="77"/>
      <c r="I135" s="77"/>
      <c r="L135" s="3"/>
    </row>
    <row r="136" spans="1:12" s="58" customFormat="1">
      <c r="A136" s="50"/>
      <c r="B136" s="30"/>
      <c r="C136" s="70"/>
      <c r="D136" s="71"/>
      <c r="E136" s="71"/>
      <c r="F136" s="71"/>
      <c r="G136" s="30"/>
      <c r="H136" s="77"/>
      <c r="I136" s="77"/>
      <c r="L136" s="3"/>
    </row>
    <row r="137" spans="1:12" s="58" customFormat="1">
      <c r="A137" s="50"/>
      <c r="B137" s="30"/>
      <c r="C137" s="70"/>
      <c r="D137" s="71"/>
      <c r="E137" s="71"/>
      <c r="F137" s="71"/>
      <c r="G137" s="30"/>
      <c r="H137" s="77"/>
      <c r="I137" s="77"/>
      <c r="L137" s="3"/>
    </row>
    <row r="138" spans="1:12" s="58" customFormat="1">
      <c r="A138" s="50"/>
      <c r="B138" s="30"/>
      <c r="C138" s="70"/>
      <c r="D138" s="71"/>
      <c r="E138" s="71"/>
      <c r="F138" s="71"/>
      <c r="G138" s="30"/>
      <c r="H138" s="77"/>
      <c r="I138" s="77"/>
      <c r="L138" s="3"/>
    </row>
    <row r="139" spans="1:12" s="58" customFormat="1">
      <c r="A139" s="50"/>
      <c r="B139" s="30"/>
      <c r="C139" s="70"/>
      <c r="D139" s="71"/>
      <c r="E139" s="71"/>
      <c r="F139" s="71"/>
      <c r="G139" s="30"/>
      <c r="H139" s="77"/>
      <c r="I139" s="77"/>
      <c r="L139" s="3"/>
    </row>
    <row r="140" spans="1:12" s="58" customFormat="1">
      <c r="A140" s="50"/>
      <c r="B140" s="30"/>
      <c r="C140" s="70"/>
      <c r="D140" s="71"/>
      <c r="E140" s="71"/>
      <c r="F140" s="71"/>
      <c r="G140" s="30"/>
      <c r="H140" s="77"/>
      <c r="I140" s="77"/>
      <c r="L140" s="3"/>
    </row>
    <row r="141" spans="1:12" s="58" customFormat="1">
      <c r="A141" s="50"/>
      <c r="B141" s="30"/>
      <c r="C141" s="70"/>
      <c r="D141" s="71"/>
      <c r="E141" s="71"/>
      <c r="F141" s="71"/>
      <c r="G141" s="30"/>
      <c r="H141" s="77"/>
      <c r="I141" s="77"/>
      <c r="L141" s="3"/>
    </row>
    <row r="142" spans="1:12" s="58" customFormat="1">
      <c r="A142" s="50"/>
      <c r="B142" s="30"/>
      <c r="C142" s="70"/>
      <c r="D142" s="71"/>
      <c r="E142" s="71"/>
      <c r="F142" s="71"/>
      <c r="G142" s="30"/>
      <c r="H142" s="77"/>
      <c r="I142" s="77"/>
      <c r="L142" s="3"/>
    </row>
    <row r="143" spans="1:12" s="58" customFormat="1">
      <c r="A143" s="50"/>
      <c r="B143" s="30"/>
      <c r="C143" s="70"/>
      <c r="D143" s="71"/>
      <c r="E143" s="71"/>
      <c r="F143" s="71"/>
      <c r="G143" s="30"/>
      <c r="H143" s="77"/>
      <c r="I143" s="77"/>
      <c r="L143" s="3"/>
    </row>
    <row r="144" spans="1:12" s="58" customFormat="1">
      <c r="A144" s="50"/>
      <c r="B144" s="30"/>
      <c r="C144" s="70"/>
      <c r="D144" s="71"/>
      <c r="E144" s="71"/>
      <c r="F144" s="71"/>
      <c r="G144" s="30"/>
      <c r="H144" s="77"/>
      <c r="I144" s="77"/>
      <c r="L144" s="3"/>
    </row>
    <row r="145" spans="1:12" s="58" customFormat="1">
      <c r="A145" s="50"/>
      <c r="B145" s="30"/>
      <c r="C145" s="70"/>
      <c r="D145" s="71"/>
      <c r="E145" s="71"/>
      <c r="F145" s="71"/>
      <c r="G145" s="30"/>
      <c r="H145" s="77"/>
      <c r="I145" s="77"/>
      <c r="L145" s="3"/>
    </row>
    <row r="146" spans="1:12" s="58" customFormat="1">
      <c r="A146" s="50"/>
      <c r="B146" s="30"/>
      <c r="C146" s="70"/>
      <c r="D146" s="71"/>
      <c r="E146" s="71"/>
      <c r="F146" s="71"/>
      <c r="G146" s="30"/>
      <c r="H146" s="77"/>
      <c r="I146" s="77"/>
      <c r="L146" s="3"/>
    </row>
    <row r="147" spans="1:12" s="58" customFormat="1">
      <c r="A147" s="50"/>
      <c r="B147" s="30"/>
      <c r="C147" s="70"/>
      <c r="D147" s="71"/>
      <c r="E147" s="71"/>
      <c r="F147" s="71"/>
      <c r="G147" s="30"/>
      <c r="H147" s="77"/>
      <c r="I147" s="77"/>
      <c r="L147" s="3"/>
    </row>
    <row r="148" spans="1:12" s="58" customFormat="1">
      <c r="A148" s="50"/>
      <c r="B148" s="30"/>
      <c r="C148" s="70"/>
      <c r="D148" s="71"/>
      <c r="E148" s="71"/>
      <c r="F148" s="71"/>
      <c r="G148" s="30"/>
      <c r="H148" s="77"/>
      <c r="I148" s="77"/>
      <c r="L148" s="3"/>
    </row>
    <row r="149" spans="1:12" s="58" customFormat="1">
      <c r="A149" s="50"/>
      <c r="B149" s="30"/>
      <c r="C149" s="70"/>
      <c r="D149" s="71"/>
      <c r="E149" s="71"/>
      <c r="F149" s="71"/>
      <c r="G149" s="30"/>
      <c r="H149" s="77"/>
      <c r="I149" s="77"/>
      <c r="L149" s="3"/>
    </row>
    <row r="150" spans="1:12" s="58" customFormat="1">
      <c r="A150" s="50"/>
      <c r="B150" s="30"/>
      <c r="C150" s="70"/>
      <c r="D150" s="71"/>
      <c r="E150" s="71"/>
      <c r="F150" s="71"/>
      <c r="G150" s="30"/>
      <c r="H150" s="77"/>
      <c r="I150" s="77"/>
      <c r="L150" s="3"/>
    </row>
    <row r="151" spans="1:12" s="58" customFormat="1">
      <c r="A151" s="50"/>
      <c r="B151" s="30"/>
      <c r="C151" s="70"/>
      <c r="D151" s="71"/>
      <c r="E151" s="71"/>
      <c r="F151" s="71"/>
      <c r="G151" s="30"/>
      <c r="H151" s="77"/>
      <c r="I151" s="77"/>
      <c r="L151" s="3"/>
    </row>
    <row r="152" spans="1:12" s="58" customFormat="1">
      <c r="A152" s="50"/>
      <c r="B152" s="30"/>
      <c r="C152" s="70"/>
      <c r="D152" s="71"/>
      <c r="E152" s="71"/>
      <c r="F152" s="71"/>
      <c r="G152" s="30"/>
      <c r="H152" s="77"/>
      <c r="I152" s="77"/>
      <c r="L152" s="3"/>
    </row>
    <row r="153" spans="1:12" s="58" customFormat="1">
      <c r="A153" s="50"/>
      <c r="B153" s="30"/>
      <c r="C153" s="70"/>
      <c r="D153" s="71"/>
      <c r="E153" s="71"/>
      <c r="F153" s="71"/>
      <c r="G153" s="30"/>
      <c r="H153" s="77"/>
      <c r="I153" s="77"/>
      <c r="L153" s="3"/>
    </row>
    <row r="154" spans="1:12" s="58" customFormat="1">
      <c r="A154" s="50"/>
      <c r="B154" s="30"/>
      <c r="C154" s="70"/>
      <c r="D154" s="71"/>
      <c r="E154" s="71"/>
      <c r="F154" s="71"/>
      <c r="G154" s="30"/>
      <c r="H154" s="77"/>
      <c r="I154" s="77"/>
      <c r="L154" s="3"/>
    </row>
    <row r="155" spans="1:12" s="58" customFormat="1">
      <c r="A155" s="50"/>
      <c r="B155" s="30"/>
      <c r="C155" s="70"/>
      <c r="D155" s="71"/>
      <c r="E155" s="71"/>
      <c r="F155" s="71"/>
      <c r="G155" s="30"/>
      <c r="H155" s="77"/>
      <c r="I155" s="77"/>
      <c r="L155" s="3"/>
    </row>
    <row r="156" spans="1:12" s="58" customFormat="1">
      <c r="A156" s="50"/>
      <c r="B156" s="30"/>
      <c r="C156" s="70"/>
      <c r="D156" s="71"/>
      <c r="E156" s="71"/>
      <c r="F156" s="71"/>
      <c r="G156" s="30"/>
      <c r="H156" s="77"/>
      <c r="I156" s="77"/>
      <c r="L156" s="3"/>
    </row>
    <row r="157" spans="1:12" s="58" customFormat="1">
      <c r="A157" s="50"/>
      <c r="B157" s="30"/>
      <c r="C157" s="70"/>
      <c r="D157" s="71"/>
      <c r="E157" s="71"/>
      <c r="F157" s="71"/>
      <c r="G157" s="30"/>
      <c r="H157" s="77"/>
      <c r="I157" s="77"/>
      <c r="L157" s="3"/>
    </row>
    <row r="158" spans="1:12" s="58" customFormat="1">
      <c r="A158" s="50"/>
      <c r="B158" s="30"/>
      <c r="C158" s="70"/>
      <c r="D158" s="71"/>
      <c r="E158" s="71"/>
      <c r="F158" s="71"/>
      <c r="G158" s="30"/>
      <c r="H158" s="77"/>
      <c r="I158" s="77"/>
      <c r="L158" s="3"/>
    </row>
    <row r="159" spans="1:12" s="58" customFormat="1">
      <c r="A159" s="50"/>
      <c r="B159" s="30"/>
      <c r="C159" s="70"/>
      <c r="D159" s="71"/>
      <c r="E159" s="71"/>
      <c r="F159" s="71"/>
      <c r="G159" s="30"/>
      <c r="H159" s="77"/>
      <c r="I159" s="77"/>
      <c r="L159" s="3"/>
    </row>
    <row r="160" spans="1:12" s="58" customFormat="1">
      <c r="A160" s="50"/>
      <c r="B160" s="30"/>
      <c r="C160" s="70"/>
      <c r="D160" s="71"/>
      <c r="E160" s="71"/>
      <c r="F160" s="71"/>
      <c r="G160" s="30"/>
      <c r="H160" s="77"/>
      <c r="I160" s="77"/>
      <c r="L160" s="3"/>
    </row>
    <row r="161" spans="1:12" s="58" customFormat="1">
      <c r="A161" s="50"/>
      <c r="B161" s="30"/>
      <c r="C161" s="70"/>
      <c r="D161" s="71"/>
      <c r="E161" s="71"/>
      <c r="F161" s="71"/>
      <c r="G161" s="30"/>
      <c r="H161" s="77"/>
      <c r="I161" s="77"/>
      <c r="L161" s="3"/>
    </row>
    <row r="162" spans="1:12" s="58" customFormat="1">
      <c r="A162" s="50"/>
      <c r="B162" s="30"/>
      <c r="C162" s="70"/>
      <c r="D162" s="71"/>
      <c r="E162" s="71"/>
      <c r="F162" s="71"/>
      <c r="G162" s="30"/>
      <c r="H162" s="77"/>
      <c r="I162" s="77"/>
      <c r="L162" s="3"/>
    </row>
    <row r="163" spans="1:12" s="58" customFormat="1">
      <c r="A163" s="50"/>
      <c r="B163" s="30"/>
      <c r="C163" s="70"/>
      <c r="D163" s="71"/>
      <c r="E163" s="71"/>
      <c r="F163" s="71"/>
      <c r="G163" s="30"/>
      <c r="H163" s="77"/>
      <c r="I163" s="77"/>
      <c r="L163" s="3"/>
    </row>
    <row r="164" spans="1:12" s="58" customFormat="1">
      <c r="A164" s="50"/>
      <c r="B164" s="30"/>
      <c r="C164" s="70"/>
      <c r="D164" s="71"/>
      <c r="E164" s="71"/>
      <c r="F164" s="71"/>
      <c r="G164" s="30"/>
      <c r="H164" s="77"/>
      <c r="I164" s="77"/>
      <c r="L164" s="3"/>
    </row>
    <row r="165" spans="1:12" s="58" customFormat="1">
      <c r="A165" s="50"/>
      <c r="B165" s="30"/>
      <c r="C165" s="70"/>
      <c r="D165" s="71"/>
      <c r="E165" s="71"/>
      <c r="F165" s="71"/>
      <c r="G165" s="30"/>
      <c r="H165" s="77"/>
      <c r="I165" s="77"/>
      <c r="L165" s="3"/>
    </row>
    <row r="166" spans="1:12" s="58" customFormat="1">
      <c r="A166" s="50"/>
      <c r="B166" s="30"/>
      <c r="C166" s="70"/>
      <c r="D166" s="71"/>
      <c r="E166" s="71"/>
      <c r="F166" s="71"/>
      <c r="G166" s="30"/>
      <c r="H166" s="77"/>
      <c r="I166" s="77"/>
      <c r="L166" s="3"/>
    </row>
    <row r="167" spans="1:12" s="58" customFormat="1">
      <c r="A167" s="50"/>
      <c r="B167" s="30"/>
      <c r="C167" s="70"/>
      <c r="D167" s="71"/>
      <c r="E167" s="71"/>
      <c r="F167" s="71"/>
      <c r="G167" s="30"/>
      <c r="H167" s="77"/>
      <c r="I167" s="77"/>
      <c r="L167" s="3"/>
    </row>
    <row r="168" spans="1:12" s="58" customFormat="1">
      <c r="A168" s="50"/>
      <c r="B168" s="30"/>
      <c r="C168" s="70"/>
      <c r="D168" s="71"/>
      <c r="E168" s="71"/>
      <c r="F168" s="71"/>
      <c r="G168" s="30"/>
      <c r="H168" s="77"/>
      <c r="I168" s="77"/>
      <c r="L168" s="3"/>
    </row>
    <row r="169" spans="1:12" s="58" customFormat="1">
      <c r="A169" s="50"/>
      <c r="B169" s="30"/>
      <c r="C169" s="70"/>
      <c r="D169" s="71"/>
      <c r="E169" s="71"/>
      <c r="F169" s="71"/>
      <c r="G169" s="30"/>
      <c r="H169" s="77"/>
      <c r="I169" s="77"/>
      <c r="L169" s="3"/>
    </row>
    <row r="170" spans="1:12" s="58" customFormat="1">
      <c r="A170" s="50"/>
      <c r="B170" s="30"/>
      <c r="C170" s="70"/>
      <c r="D170" s="71"/>
      <c r="E170" s="71"/>
      <c r="F170" s="71"/>
      <c r="G170" s="30"/>
      <c r="H170" s="77"/>
      <c r="I170" s="77"/>
      <c r="L170" s="3"/>
    </row>
    <row r="171" spans="1:12" s="58" customFormat="1">
      <c r="A171" s="50"/>
      <c r="B171" s="30"/>
      <c r="C171" s="70"/>
      <c r="D171" s="71"/>
      <c r="E171" s="71"/>
      <c r="F171" s="71"/>
      <c r="G171" s="30"/>
      <c r="H171" s="77"/>
      <c r="I171" s="77"/>
      <c r="L171" s="3"/>
    </row>
    <row r="172" spans="1:12" s="58" customFormat="1">
      <c r="A172" s="50"/>
      <c r="B172" s="30"/>
      <c r="C172" s="70"/>
      <c r="D172" s="71"/>
      <c r="E172" s="71"/>
      <c r="F172" s="71"/>
      <c r="G172" s="30"/>
      <c r="H172" s="77"/>
      <c r="I172" s="77"/>
      <c r="L172" s="3"/>
    </row>
    <row r="173" spans="1:12" s="58" customFormat="1">
      <c r="A173" s="50"/>
      <c r="B173" s="30"/>
      <c r="C173" s="70"/>
      <c r="D173" s="71"/>
      <c r="E173" s="71"/>
      <c r="F173" s="71"/>
      <c r="G173" s="30"/>
      <c r="H173" s="77"/>
      <c r="I173" s="77"/>
      <c r="L173" s="3"/>
    </row>
    <row r="174" spans="1:12" s="58" customFormat="1">
      <c r="A174" s="50"/>
      <c r="B174" s="30"/>
      <c r="C174" s="70"/>
      <c r="D174" s="71"/>
      <c r="E174" s="71"/>
      <c r="F174" s="71"/>
      <c r="G174" s="30"/>
      <c r="H174" s="77"/>
      <c r="I174" s="77"/>
      <c r="L174" s="3"/>
    </row>
    <row r="175" spans="1:12" s="58" customFormat="1">
      <c r="A175" s="50"/>
      <c r="B175" s="30"/>
      <c r="C175" s="70"/>
      <c r="D175" s="71"/>
      <c r="E175" s="71"/>
      <c r="F175" s="71"/>
      <c r="G175" s="30"/>
      <c r="H175" s="77"/>
      <c r="I175" s="77"/>
      <c r="L175" s="3"/>
    </row>
    <row r="176" spans="1:12" s="58" customFormat="1">
      <c r="A176" s="50"/>
      <c r="B176" s="30"/>
      <c r="C176" s="70"/>
      <c r="D176" s="71"/>
      <c r="E176" s="71"/>
      <c r="F176" s="71"/>
      <c r="G176" s="30"/>
      <c r="H176" s="77"/>
      <c r="I176" s="77"/>
      <c r="L176" s="3"/>
    </row>
    <row r="177" spans="1:12" s="58" customFormat="1">
      <c r="A177" s="50"/>
      <c r="B177" s="30"/>
      <c r="C177" s="70"/>
      <c r="D177" s="71"/>
      <c r="E177" s="71"/>
      <c r="F177" s="71"/>
      <c r="G177" s="30"/>
      <c r="H177" s="77"/>
      <c r="I177" s="77"/>
      <c r="L177" s="3"/>
    </row>
    <row r="178" spans="1:12" s="58" customFormat="1">
      <c r="A178" s="50"/>
      <c r="B178" s="30"/>
      <c r="C178" s="70"/>
      <c r="D178" s="71"/>
      <c r="E178" s="71"/>
      <c r="F178" s="71"/>
      <c r="G178" s="30"/>
      <c r="H178" s="77"/>
      <c r="I178" s="77"/>
      <c r="L178" s="3"/>
    </row>
    <row r="179" spans="1:12" s="58" customFormat="1">
      <c r="A179" s="50"/>
      <c r="B179" s="30"/>
      <c r="C179" s="70"/>
      <c r="D179" s="71"/>
      <c r="E179" s="71"/>
      <c r="F179" s="71"/>
      <c r="G179" s="30"/>
      <c r="H179" s="77"/>
      <c r="I179" s="77"/>
      <c r="L179" s="3"/>
    </row>
    <row r="180" spans="1:12" s="58" customFormat="1">
      <c r="A180" s="50"/>
      <c r="B180" s="30"/>
      <c r="C180" s="70"/>
      <c r="D180" s="71"/>
      <c r="E180" s="71"/>
      <c r="F180" s="71"/>
      <c r="G180" s="30"/>
      <c r="H180" s="77"/>
      <c r="I180" s="77"/>
      <c r="L180" s="3"/>
    </row>
    <row r="181" spans="1:12" s="58" customFormat="1">
      <c r="A181" s="50"/>
      <c r="B181" s="30"/>
      <c r="C181" s="70"/>
      <c r="D181" s="71"/>
      <c r="E181" s="71"/>
      <c r="F181" s="71"/>
      <c r="G181" s="30"/>
      <c r="H181" s="77"/>
      <c r="I181" s="77"/>
      <c r="L181" s="3"/>
    </row>
    <row r="182" spans="1:12" s="58" customFormat="1">
      <c r="A182" s="50"/>
      <c r="B182" s="30"/>
      <c r="C182" s="70"/>
      <c r="D182" s="71"/>
      <c r="E182" s="71"/>
      <c r="F182" s="71"/>
      <c r="G182" s="30"/>
      <c r="H182" s="77"/>
      <c r="I182" s="77"/>
      <c r="L182" s="3"/>
    </row>
    <row r="183" spans="1:12" s="58" customFormat="1">
      <c r="A183" s="50"/>
      <c r="B183" s="30"/>
      <c r="C183" s="70"/>
      <c r="D183" s="71"/>
      <c r="E183" s="71"/>
      <c r="F183" s="71"/>
      <c r="G183" s="30"/>
      <c r="H183" s="77"/>
      <c r="I183" s="77"/>
      <c r="L183" s="3"/>
    </row>
    <row r="184" spans="1:12" s="58" customFormat="1">
      <c r="A184" s="50"/>
      <c r="B184" s="30"/>
      <c r="C184" s="70"/>
      <c r="D184" s="71"/>
      <c r="E184" s="71"/>
      <c r="F184" s="71"/>
      <c r="G184" s="30"/>
      <c r="H184" s="77"/>
      <c r="I184" s="77"/>
      <c r="L184" s="3"/>
    </row>
    <row r="185" spans="1:12" s="58" customFormat="1">
      <c r="A185" s="50"/>
      <c r="B185" s="30"/>
      <c r="C185" s="70"/>
      <c r="D185" s="71"/>
      <c r="E185" s="71"/>
      <c r="F185" s="71"/>
      <c r="G185" s="30"/>
      <c r="H185" s="77"/>
      <c r="I185" s="77"/>
      <c r="L185" s="3"/>
    </row>
    <row r="186" spans="1:12" s="58" customFormat="1">
      <c r="A186" s="50"/>
      <c r="B186" s="30"/>
      <c r="C186" s="70"/>
      <c r="D186" s="71"/>
      <c r="E186" s="71"/>
      <c r="F186" s="71"/>
      <c r="G186" s="30"/>
      <c r="H186" s="77"/>
      <c r="I186" s="77"/>
      <c r="L186" s="3"/>
    </row>
    <row r="187" spans="1:12" s="58" customFormat="1">
      <c r="A187" s="50"/>
      <c r="B187" s="30"/>
      <c r="C187" s="70"/>
      <c r="D187" s="71"/>
      <c r="E187" s="71"/>
      <c r="F187" s="71"/>
      <c r="G187" s="30"/>
      <c r="H187" s="77"/>
      <c r="I187" s="77"/>
      <c r="L187" s="3"/>
    </row>
    <row r="188" spans="1:12" s="58" customFormat="1">
      <c r="A188" s="50"/>
      <c r="B188" s="30"/>
      <c r="C188" s="70"/>
      <c r="D188" s="71"/>
      <c r="E188" s="71"/>
      <c r="F188" s="71"/>
      <c r="G188" s="30"/>
      <c r="H188" s="77"/>
      <c r="I188" s="77"/>
      <c r="L188" s="3"/>
    </row>
    <row r="189" spans="1:12" s="58" customFormat="1">
      <c r="A189" s="50"/>
      <c r="B189" s="30"/>
      <c r="C189" s="70"/>
      <c r="D189" s="71"/>
      <c r="E189" s="71"/>
      <c r="F189" s="71"/>
      <c r="G189" s="30"/>
      <c r="H189" s="77"/>
      <c r="I189" s="77"/>
      <c r="L189" s="3"/>
    </row>
    <row r="190" spans="1:12" s="58" customFormat="1">
      <c r="A190" s="50"/>
      <c r="B190" s="30"/>
      <c r="C190" s="70"/>
      <c r="D190" s="71"/>
      <c r="E190" s="71"/>
      <c r="F190" s="71"/>
      <c r="G190" s="30"/>
      <c r="H190" s="77"/>
      <c r="I190" s="77"/>
      <c r="L190" s="3"/>
    </row>
    <row r="191" spans="1:12" s="58" customFormat="1">
      <c r="A191" s="50"/>
      <c r="B191" s="30"/>
      <c r="C191" s="70"/>
      <c r="D191" s="71"/>
      <c r="E191" s="71"/>
      <c r="F191" s="71"/>
      <c r="G191" s="30"/>
      <c r="H191" s="77"/>
      <c r="I191" s="77"/>
      <c r="L191" s="3"/>
    </row>
    <row r="192" spans="1:12" s="58" customFormat="1">
      <c r="A192" s="50"/>
      <c r="B192" s="30"/>
      <c r="C192" s="70"/>
      <c r="D192" s="71"/>
      <c r="E192" s="71"/>
      <c r="F192" s="71"/>
      <c r="G192" s="30"/>
      <c r="H192" s="77"/>
      <c r="I192" s="77"/>
      <c r="L192" s="3"/>
    </row>
    <row r="193" spans="1:12" s="58" customFormat="1">
      <c r="A193" s="50"/>
      <c r="B193" s="30"/>
      <c r="C193" s="70"/>
      <c r="D193" s="71"/>
      <c r="E193" s="71"/>
      <c r="F193" s="71"/>
      <c r="G193" s="30"/>
      <c r="H193" s="77"/>
      <c r="I193" s="77"/>
      <c r="L193" s="3"/>
    </row>
    <row r="194" spans="1:12" s="58" customFormat="1">
      <c r="A194" s="50"/>
      <c r="B194" s="30"/>
      <c r="C194" s="70"/>
      <c r="D194" s="71"/>
      <c r="E194" s="71"/>
      <c r="F194" s="71"/>
      <c r="G194" s="30"/>
      <c r="H194" s="77"/>
      <c r="I194" s="77"/>
      <c r="L194" s="3"/>
    </row>
    <row r="195" spans="1:12" s="58" customFormat="1">
      <c r="A195" s="50"/>
      <c r="B195" s="30"/>
      <c r="C195" s="70"/>
      <c r="D195" s="71"/>
      <c r="E195" s="71"/>
      <c r="F195" s="71"/>
      <c r="G195" s="30"/>
      <c r="H195" s="77"/>
      <c r="I195" s="77"/>
      <c r="L195" s="3"/>
    </row>
    <row r="196" spans="1:12" s="58" customFormat="1">
      <c r="A196" s="50"/>
      <c r="B196" s="30"/>
      <c r="C196" s="70"/>
      <c r="D196" s="71"/>
      <c r="E196" s="71"/>
      <c r="F196" s="71"/>
      <c r="G196" s="30"/>
      <c r="H196" s="77"/>
      <c r="I196" s="77"/>
      <c r="L196" s="3"/>
    </row>
    <row r="197" spans="1:12" s="58" customFormat="1">
      <c r="A197" s="50"/>
      <c r="B197" s="30"/>
      <c r="C197" s="70"/>
      <c r="D197" s="71"/>
      <c r="E197" s="71"/>
      <c r="F197" s="71"/>
      <c r="G197" s="30"/>
      <c r="H197" s="77"/>
      <c r="I197" s="77"/>
      <c r="L197" s="3"/>
    </row>
    <row r="198" spans="1:12" s="58" customFormat="1">
      <c r="A198" s="50"/>
      <c r="B198" s="30"/>
      <c r="C198" s="70"/>
      <c r="D198" s="71"/>
      <c r="E198" s="71"/>
      <c r="F198" s="71"/>
      <c r="G198" s="30"/>
      <c r="H198" s="77"/>
      <c r="I198" s="77"/>
      <c r="L198" s="3"/>
    </row>
    <row r="199" spans="1:12" s="58" customFormat="1">
      <c r="A199" s="50"/>
      <c r="B199" s="30"/>
      <c r="C199" s="70"/>
      <c r="D199" s="71"/>
      <c r="E199" s="71"/>
      <c r="F199" s="71"/>
      <c r="G199" s="30"/>
      <c r="H199" s="77"/>
      <c r="I199" s="77"/>
      <c r="L199" s="3"/>
    </row>
    <row r="200" spans="1:12" s="58" customFormat="1">
      <c r="A200" s="50"/>
      <c r="B200" s="30"/>
      <c r="C200" s="70"/>
      <c r="D200" s="71"/>
      <c r="E200" s="71"/>
      <c r="F200" s="71"/>
      <c r="G200" s="30"/>
      <c r="H200" s="77"/>
      <c r="I200" s="77"/>
      <c r="L200" s="3"/>
    </row>
    <row r="201" spans="1:12" s="58" customFormat="1">
      <c r="A201" s="50"/>
      <c r="B201" s="30"/>
      <c r="C201" s="70"/>
      <c r="D201" s="71"/>
      <c r="E201" s="71"/>
      <c r="F201" s="71"/>
      <c r="G201" s="30"/>
      <c r="H201" s="77"/>
      <c r="I201" s="77"/>
      <c r="L201" s="3"/>
    </row>
    <row r="202" spans="1:12" s="58" customFormat="1">
      <c r="A202" s="50"/>
      <c r="B202" s="30"/>
      <c r="C202" s="70"/>
      <c r="D202" s="71"/>
      <c r="E202" s="71"/>
      <c r="F202" s="71"/>
      <c r="G202" s="30"/>
      <c r="H202" s="77"/>
      <c r="I202" s="77"/>
      <c r="L202" s="3"/>
    </row>
    <row r="203" spans="1:12" s="58" customFormat="1">
      <c r="A203" s="50"/>
      <c r="B203" s="30"/>
      <c r="C203" s="70"/>
      <c r="D203" s="71"/>
      <c r="E203" s="71"/>
      <c r="F203" s="71"/>
      <c r="G203" s="30"/>
      <c r="H203" s="77"/>
      <c r="I203" s="77"/>
      <c r="L203" s="3"/>
    </row>
    <row r="204" spans="1:12" s="58" customFormat="1">
      <c r="A204" s="50"/>
      <c r="B204" s="30"/>
      <c r="C204" s="70"/>
      <c r="D204" s="71"/>
      <c r="E204" s="71"/>
      <c r="F204" s="71"/>
      <c r="G204" s="30"/>
      <c r="H204" s="77"/>
      <c r="I204" s="77"/>
      <c r="L204" s="3"/>
    </row>
    <row r="205" spans="1:12" s="58" customFormat="1">
      <c r="A205" s="50"/>
      <c r="B205" s="30"/>
      <c r="C205" s="70"/>
      <c r="D205" s="71"/>
      <c r="E205" s="71"/>
      <c r="F205" s="71"/>
      <c r="G205" s="30"/>
      <c r="H205" s="77"/>
      <c r="I205" s="77"/>
      <c r="L205" s="3"/>
    </row>
    <row r="206" spans="1:12" s="58" customFormat="1">
      <c r="A206" s="50"/>
      <c r="B206" s="30"/>
      <c r="C206" s="70"/>
      <c r="D206" s="71"/>
      <c r="E206" s="71"/>
      <c r="F206" s="71"/>
      <c r="G206" s="30"/>
      <c r="H206" s="77"/>
      <c r="I206" s="77"/>
      <c r="L206" s="3"/>
    </row>
    <row r="207" spans="1:12" s="58" customFormat="1">
      <c r="A207" s="50"/>
      <c r="B207" s="30"/>
      <c r="C207" s="70"/>
      <c r="D207" s="71"/>
      <c r="E207" s="71"/>
      <c r="F207" s="71"/>
      <c r="G207" s="30"/>
      <c r="H207" s="77"/>
      <c r="I207" s="77"/>
      <c r="L207" s="3"/>
    </row>
    <row r="208" spans="1:12" s="58" customFormat="1">
      <c r="A208" s="50"/>
      <c r="B208" s="30"/>
      <c r="C208" s="70"/>
      <c r="D208" s="71"/>
      <c r="E208" s="71"/>
      <c r="F208" s="71"/>
      <c r="G208" s="30"/>
      <c r="H208" s="77"/>
      <c r="I208" s="77"/>
      <c r="L208" s="3"/>
    </row>
    <row r="209" spans="1:12" s="58" customFormat="1">
      <c r="A209" s="50"/>
      <c r="B209" s="30"/>
      <c r="C209" s="70"/>
      <c r="D209" s="71"/>
      <c r="E209" s="71"/>
      <c r="F209" s="71"/>
      <c r="G209" s="30"/>
      <c r="H209" s="77"/>
      <c r="I209" s="77"/>
      <c r="L209" s="3"/>
    </row>
    <row r="210" spans="1:12" s="58" customFormat="1">
      <c r="A210" s="50"/>
      <c r="B210" s="30"/>
      <c r="C210" s="70"/>
      <c r="D210" s="71"/>
      <c r="E210" s="71"/>
      <c r="F210" s="71"/>
      <c r="G210" s="30"/>
      <c r="H210" s="77"/>
      <c r="I210" s="77"/>
      <c r="L210" s="3"/>
    </row>
    <row r="211" spans="1:12" s="58" customFormat="1">
      <c r="A211" s="50"/>
      <c r="B211" s="30"/>
      <c r="C211" s="70"/>
      <c r="D211" s="71"/>
      <c r="E211" s="71"/>
      <c r="F211" s="71"/>
      <c r="G211" s="30"/>
      <c r="H211" s="77"/>
      <c r="I211" s="77"/>
      <c r="L211" s="3"/>
    </row>
    <row r="212" spans="1:12" s="58" customFormat="1">
      <c r="A212" s="50"/>
      <c r="B212" s="30"/>
      <c r="C212" s="70"/>
      <c r="D212" s="71"/>
      <c r="E212" s="71"/>
      <c r="F212" s="71"/>
      <c r="G212" s="30"/>
      <c r="H212" s="77"/>
      <c r="I212" s="77"/>
      <c r="L212" s="3"/>
    </row>
    <row r="213" spans="1:12" s="58" customFormat="1">
      <c r="A213" s="50"/>
      <c r="B213" s="30"/>
      <c r="C213" s="70"/>
      <c r="D213" s="71"/>
      <c r="E213" s="71"/>
      <c r="F213" s="71"/>
      <c r="G213" s="30"/>
      <c r="H213" s="77"/>
      <c r="I213" s="77"/>
      <c r="L213" s="3"/>
    </row>
    <row r="214" spans="1:12" s="58" customFormat="1">
      <c r="A214" s="50"/>
      <c r="B214" s="30"/>
      <c r="C214" s="70"/>
      <c r="D214" s="71"/>
      <c r="E214" s="71"/>
      <c r="F214" s="71"/>
      <c r="G214" s="30"/>
      <c r="H214" s="77"/>
      <c r="I214" s="77"/>
      <c r="L214" s="3"/>
    </row>
    <row r="215" spans="1:12" s="58" customFormat="1">
      <c r="A215" s="50"/>
      <c r="B215" s="30"/>
      <c r="C215" s="70"/>
      <c r="D215" s="71"/>
      <c r="E215" s="71"/>
      <c r="F215" s="71"/>
      <c r="G215" s="30"/>
      <c r="H215" s="77"/>
      <c r="I215" s="77"/>
      <c r="L215" s="3"/>
    </row>
    <row r="216" spans="1:12" s="58" customFormat="1">
      <c r="A216" s="50"/>
      <c r="B216" s="30"/>
      <c r="C216" s="70"/>
      <c r="D216" s="71"/>
      <c r="E216" s="71"/>
      <c r="F216" s="71"/>
      <c r="G216" s="30"/>
      <c r="H216" s="77"/>
      <c r="I216" s="77"/>
      <c r="L216" s="3"/>
    </row>
    <row r="217" spans="1:12" s="58" customFormat="1">
      <c r="A217" s="50"/>
      <c r="B217" s="30"/>
      <c r="C217" s="70"/>
      <c r="D217" s="71"/>
      <c r="E217" s="71"/>
      <c r="F217" s="71"/>
      <c r="G217" s="30"/>
      <c r="H217" s="77"/>
      <c r="I217" s="77"/>
      <c r="L217" s="3"/>
    </row>
    <row r="218" spans="1:12" s="58" customFormat="1">
      <c r="A218" s="50"/>
      <c r="B218" s="30"/>
      <c r="C218" s="70"/>
      <c r="D218" s="71"/>
      <c r="E218" s="71"/>
      <c r="F218" s="71"/>
      <c r="G218" s="30"/>
      <c r="H218" s="77"/>
      <c r="I218" s="77"/>
      <c r="L218" s="3"/>
    </row>
    <row r="219" spans="1:12" s="71" customFormat="1">
      <c r="A219" s="50"/>
      <c r="B219" s="30"/>
      <c r="C219" s="70"/>
      <c r="G219" s="30"/>
      <c r="H219" s="77"/>
      <c r="I219" s="77"/>
      <c r="J219" s="58"/>
      <c r="K219" s="58"/>
      <c r="L219" s="3"/>
    </row>
    <row r="220" spans="1:12" s="71" customFormat="1">
      <c r="A220" s="50"/>
      <c r="B220" s="30"/>
      <c r="C220" s="70"/>
      <c r="G220" s="30"/>
      <c r="H220" s="77"/>
      <c r="I220" s="77"/>
      <c r="J220" s="58"/>
      <c r="K220" s="58"/>
      <c r="L220" s="3"/>
    </row>
    <row r="221" spans="1:12" s="71" customFormat="1">
      <c r="A221" s="50"/>
      <c r="B221" s="30"/>
      <c r="C221" s="70"/>
      <c r="G221" s="30"/>
      <c r="H221" s="77"/>
      <c r="I221" s="77"/>
      <c r="J221" s="58"/>
      <c r="K221" s="58"/>
      <c r="L221" s="3"/>
    </row>
    <row r="222" spans="1:12" s="71" customFormat="1">
      <c r="A222" s="50"/>
      <c r="B222" s="30"/>
      <c r="C222" s="70"/>
      <c r="G222" s="30"/>
      <c r="H222" s="77"/>
      <c r="I222" s="77"/>
      <c r="J222" s="58"/>
      <c r="K222" s="58"/>
      <c r="L222" s="3"/>
    </row>
    <row r="223" spans="1:12" s="71" customFormat="1">
      <c r="A223" s="50"/>
      <c r="B223" s="30"/>
      <c r="C223" s="70"/>
      <c r="G223" s="30"/>
      <c r="H223" s="77"/>
      <c r="I223" s="77"/>
      <c r="J223" s="58"/>
      <c r="K223" s="58"/>
      <c r="L223" s="3"/>
    </row>
    <row r="224" spans="1:12" s="71" customFormat="1">
      <c r="A224" s="50"/>
      <c r="B224" s="30"/>
      <c r="C224" s="70"/>
      <c r="G224" s="30"/>
      <c r="H224" s="77"/>
      <c r="I224" s="77"/>
      <c r="J224" s="58"/>
      <c r="K224" s="58"/>
      <c r="L224" s="3"/>
    </row>
    <row r="225" spans="1:12" s="71" customFormat="1">
      <c r="A225" s="50"/>
      <c r="B225" s="30"/>
      <c r="C225" s="70"/>
      <c r="G225" s="30"/>
      <c r="H225" s="77"/>
      <c r="I225" s="77"/>
      <c r="J225" s="58"/>
      <c r="K225" s="58"/>
      <c r="L225" s="3"/>
    </row>
    <row r="226" spans="1:12" s="71" customFormat="1">
      <c r="A226" s="50"/>
      <c r="B226" s="30"/>
      <c r="C226" s="70"/>
      <c r="G226" s="30"/>
      <c r="H226" s="77"/>
      <c r="I226" s="77"/>
      <c r="J226" s="58"/>
      <c r="K226" s="58"/>
      <c r="L226" s="3"/>
    </row>
    <row r="227" spans="1:12" s="71" customFormat="1">
      <c r="A227" s="50"/>
      <c r="B227" s="30"/>
      <c r="C227" s="70"/>
      <c r="G227" s="30"/>
      <c r="H227" s="77"/>
      <c r="I227" s="77"/>
      <c r="J227" s="58"/>
      <c r="K227" s="58"/>
      <c r="L227" s="3"/>
    </row>
    <row r="228" spans="1:12" s="71" customFormat="1">
      <c r="A228" s="50"/>
      <c r="B228" s="30"/>
      <c r="C228" s="70"/>
      <c r="G228" s="30"/>
      <c r="H228" s="77"/>
      <c r="I228" s="77"/>
      <c r="J228" s="58"/>
      <c r="K228" s="58"/>
      <c r="L228" s="3"/>
    </row>
    <row r="229" spans="1:12" s="71" customFormat="1">
      <c r="A229" s="50"/>
      <c r="B229" s="30"/>
      <c r="C229" s="70"/>
      <c r="G229" s="30"/>
      <c r="H229" s="77"/>
      <c r="I229" s="77"/>
      <c r="J229" s="58"/>
      <c r="K229" s="58"/>
      <c r="L229" s="3"/>
    </row>
    <row r="230" spans="1:12" s="71" customFormat="1">
      <c r="A230" s="50"/>
      <c r="B230" s="30"/>
      <c r="C230" s="70"/>
      <c r="G230" s="30"/>
      <c r="H230" s="77"/>
      <c r="I230" s="77"/>
      <c r="J230" s="58"/>
      <c r="K230" s="58"/>
      <c r="L230" s="3"/>
    </row>
    <row r="231" spans="1:12" s="71" customFormat="1">
      <c r="A231" s="50"/>
      <c r="B231" s="30"/>
      <c r="C231" s="70"/>
      <c r="G231" s="30"/>
      <c r="H231" s="77"/>
      <c r="I231" s="77"/>
      <c r="J231" s="58"/>
      <c r="K231" s="58"/>
      <c r="L231" s="3"/>
    </row>
    <row r="232" spans="1:12" s="71" customFormat="1">
      <c r="A232" s="50"/>
      <c r="B232" s="30"/>
      <c r="C232" s="70"/>
      <c r="G232" s="30"/>
      <c r="H232" s="77"/>
      <c r="I232" s="77"/>
      <c r="J232" s="58"/>
      <c r="K232" s="58"/>
      <c r="L232" s="3"/>
    </row>
    <row r="233" spans="1:12" s="71" customFormat="1">
      <c r="A233" s="50"/>
      <c r="B233" s="30"/>
      <c r="C233" s="70"/>
      <c r="G233" s="30"/>
      <c r="H233" s="77"/>
      <c r="I233" s="77"/>
      <c r="J233" s="58"/>
      <c r="K233" s="58"/>
      <c r="L233" s="3"/>
    </row>
    <row r="234" spans="1:12" s="71" customFormat="1">
      <c r="A234" s="50"/>
      <c r="B234" s="30"/>
      <c r="C234" s="70"/>
      <c r="G234" s="30"/>
      <c r="H234" s="77"/>
      <c r="I234" s="77"/>
      <c r="J234" s="58"/>
      <c r="K234" s="58"/>
      <c r="L234" s="3"/>
    </row>
    <row r="235" spans="1:12" s="71" customFormat="1">
      <c r="A235" s="50"/>
      <c r="B235" s="30"/>
      <c r="C235" s="70"/>
      <c r="G235" s="30"/>
      <c r="H235" s="77"/>
      <c r="I235" s="77"/>
      <c r="J235" s="58"/>
      <c r="K235" s="58"/>
      <c r="L235" s="3"/>
    </row>
    <row r="236" spans="1:12" s="71" customFormat="1">
      <c r="A236" s="50"/>
      <c r="B236" s="30"/>
      <c r="C236" s="70"/>
      <c r="G236" s="30"/>
      <c r="H236" s="77"/>
      <c r="I236" s="77"/>
      <c r="J236" s="58"/>
      <c r="K236" s="58"/>
      <c r="L236" s="3"/>
    </row>
    <row r="237" spans="1:12" s="71" customFormat="1">
      <c r="A237" s="50"/>
      <c r="B237" s="30"/>
      <c r="C237" s="70"/>
      <c r="G237" s="30"/>
      <c r="H237" s="77"/>
      <c r="I237" s="77"/>
      <c r="J237" s="58"/>
      <c r="K237" s="58"/>
      <c r="L237" s="3"/>
    </row>
    <row r="238" spans="1:12" s="71" customFormat="1">
      <c r="A238" s="50"/>
      <c r="B238" s="30"/>
      <c r="C238" s="70"/>
      <c r="G238" s="30"/>
      <c r="H238" s="77"/>
      <c r="I238" s="77"/>
      <c r="J238" s="58"/>
      <c r="K238" s="58"/>
      <c r="L238" s="3"/>
    </row>
    <row r="239" spans="1:12" s="71" customFormat="1">
      <c r="A239" s="50"/>
      <c r="B239" s="30"/>
      <c r="C239" s="70"/>
      <c r="G239" s="30"/>
      <c r="H239" s="77"/>
      <c r="I239" s="77"/>
      <c r="J239" s="58"/>
      <c r="K239" s="58"/>
      <c r="L239" s="3"/>
    </row>
    <row r="240" spans="1:12" s="71" customFormat="1">
      <c r="A240" s="50"/>
      <c r="B240" s="30"/>
      <c r="C240" s="70"/>
      <c r="G240" s="30"/>
      <c r="H240" s="77"/>
      <c r="I240" s="77"/>
      <c r="J240" s="58"/>
      <c r="K240" s="58"/>
      <c r="L240" s="3"/>
    </row>
    <row r="241" spans="1:12" s="71" customFormat="1">
      <c r="A241" s="50"/>
      <c r="B241" s="30"/>
      <c r="C241" s="70"/>
      <c r="G241" s="30"/>
      <c r="H241" s="77"/>
      <c r="I241" s="77"/>
      <c r="J241" s="58"/>
      <c r="K241" s="58"/>
      <c r="L241" s="3"/>
    </row>
    <row r="242" spans="1:12" s="71" customFormat="1">
      <c r="A242" s="50"/>
      <c r="B242" s="30"/>
      <c r="C242" s="70"/>
      <c r="G242" s="30"/>
      <c r="H242" s="77"/>
      <c r="I242" s="77"/>
      <c r="J242" s="58"/>
      <c r="K242" s="58"/>
      <c r="L242" s="3"/>
    </row>
    <row r="243" spans="1:12" s="71" customFormat="1">
      <c r="A243" s="50"/>
      <c r="B243" s="30"/>
      <c r="C243" s="70"/>
      <c r="G243" s="30"/>
      <c r="H243" s="77"/>
      <c r="I243" s="77"/>
      <c r="J243" s="58"/>
      <c r="K243" s="58"/>
      <c r="L243" s="3"/>
    </row>
    <row r="244" spans="1:12" s="71" customFormat="1">
      <c r="A244" s="50"/>
      <c r="B244" s="30"/>
      <c r="C244" s="70"/>
      <c r="G244" s="30"/>
      <c r="H244" s="77"/>
      <c r="I244" s="77"/>
      <c r="J244" s="58"/>
      <c r="K244" s="58"/>
      <c r="L244" s="3"/>
    </row>
    <row r="245" spans="1:12" s="71" customFormat="1">
      <c r="A245" s="50"/>
      <c r="B245" s="30"/>
      <c r="C245" s="70"/>
      <c r="G245" s="30"/>
      <c r="H245" s="77"/>
      <c r="I245" s="77"/>
      <c r="J245" s="58"/>
      <c r="K245" s="58"/>
      <c r="L245" s="3"/>
    </row>
    <row r="246" spans="1:12" s="71" customFormat="1">
      <c r="A246" s="50"/>
      <c r="B246" s="30"/>
      <c r="C246" s="70"/>
      <c r="G246" s="30"/>
      <c r="H246" s="77"/>
      <c r="I246" s="77"/>
      <c r="J246" s="58"/>
      <c r="K246" s="58"/>
      <c r="L246" s="3"/>
    </row>
    <row r="247" spans="1:12" s="71" customFormat="1">
      <c r="A247" s="50"/>
      <c r="B247" s="30"/>
      <c r="C247" s="70"/>
      <c r="G247" s="30"/>
      <c r="H247" s="77"/>
      <c r="I247" s="77"/>
      <c r="J247" s="58"/>
      <c r="K247" s="58"/>
      <c r="L247" s="3"/>
    </row>
    <row r="248" spans="1:12" s="71" customFormat="1">
      <c r="A248" s="50"/>
      <c r="B248" s="30"/>
      <c r="C248" s="70"/>
      <c r="G248" s="30"/>
      <c r="H248" s="77"/>
      <c r="I248" s="77"/>
      <c r="J248" s="58"/>
      <c r="K248" s="58"/>
      <c r="L248" s="3"/>
    </row>
    <row r="249" spans="1:12" s="71" customFormat="1">
      <c r="A249" s="50"/>
      <c r="B249" s="30"/>
      <c r="C249" s="70"/>
      <c r="G249" s="30"/>
      <c r="H249" s="77"/>
      <c r="I249" s="77"/>
      <c r="J249" s="58"/>
      <c r="K249" s="58"/>
      <c r="L249" s="3"/>
    </row>
    <row r="250" spans="1:12" s="71" customFormat="1">
      <c r="A250" s="50"/>
      <c r="B250" s="30"/>
      <c r="C250" s="70"/>
      <c r="G250" s="30"/>
      <c r="H250" s="77"/>
      <c r="I250" s="77"/>
      <c r="J250" s="58"/>
      <c r="K250" s="58"/>
      <c r="L250" s="3"/>
    </row>
    <row r="251" spans="1:12" s="71" customFormat="1">
      <c r="A251" s="50"/>
      <c r="B251" s="30"/>
      <c r="C251" s="70"/>
      <c r="G251" s="30"/>
      <c r="H251" s="77"/>
      <c r="I251" s="77"/>
      <c r="J251" s="58"/>
      <c r="K251" s="58"/>
      <c r="L251" s="3"/>
    </row>
    <row r="252" spans="1:12" s="71" customFormat="1">
      <c r="A252" s="50"/>
      <c r="B252" s="30"/>
      <c r="C252" s="70"/>
      <c r="G252" s="30"/>
      <c r="H252" s="77"/>
      <c r="I252" s="77"/>
      <c r="J252" s="58"/>
      <c r="K252" s="58"/>
      <c r="L252" s="3"/>
    </row>
    <row r="253" spans="1:12" s="71" customFormat="1">
      <c r="A253" s="50"/>
      <c r="B253" s="30"/>
      <c r="C253" s="70"/>
      <c r="G253" s="30"/>
      <c r="H253" s="77"/>
      <c r="I253" s="77"/>
      <c r="J253" s="58"/>
      <c r="K253" s="58"/>
      <c r="L253" s="3"/>
    </row>
    <row r="254" spans="1:12" s="71" customFormat="1">
      <c r="A254" s="50"/>
      <c r="B254" s="30"/>
      <c r="C254" s="70"/>
      <c r="G254" s="30"/>
      <c r="H254" s="77"/>
      <c r="I254" s="77"/>
      <c r="J254" s="58"/>
      <c r="K254" s="58"/>
      <c r="L254" s="3"/>
    </row>
    <row r="255" spans="1:12" s="71" customFormat="1">
      <c r="A255" s="50"/>
      <c r="B255" s="30"/>
      <c r="C255" s="70"/>
      <c r="G255" s="30"/>
      <c r="H255" s="77"/>
      <c r="I255" s="77"/>
      <c r="J255" s="58"/>
      <c r="K255" s="58"/>
      <c r="L255" s="3"/>
    </row>
    <row r="256" spans="1:12" s="71" customFormat="1">
      <c r="A256" s="50"/>
      <c r="B256" s="30"/>
      <c r="C256" s="70"/>
      <c r="G256" s="30"/>
      <c r="H256" s="77"/>
      <c r="I256" s="77"/>
      <c r="J256" s="58"/>
      <c r="K256" s="58"/>
      <c r="L256" s="3"/>
    </row>
    <row r="257" spans="1:12" s="71" customFormat="1">
      <c r="A257" s="50"/>
      <c r="B257" s="30"/>
      <c r="C257" s="70"/>
      <c r="G257" s="30"/>
      <c r="H257" s="77"/>
      <c r="I257" s="77"/>
      <c r="J257" s="58"/>
      <c r="K257" s="58"/>
      <c r="L257" s="3"/>
    </row>
    <row r="258" spans="1:12" s="71" customFormat="1">
      <c r="A258" s="50"/>
      <c r="B258" s="30"/>
      <c r="C258" s="70"/>
      <c r="G258" s="30"/>
      <c r="H258" s="77"/>
      <c r="I258" s="77"/>
      <c r="J258" s="58"/>
      <c r="K258" s="58"/>
      <c r="L258" s="3"/>
    </row>
    <row r="259" spans="1:12" s="71" customFormat="1">
      <c r="A259" s="50"/>
      <c r="B259" s="30"/>
      <c r="C259" s="70"/>
      <c r="G259" s="30"/>
      <c r="H259" s="77"/>
      <c r="I259" s="77"/>
      <c r="J259" s="58"/>
      <c r="K259" s="58"/>
      <c r="L259" s="3"/>
    </row>
    <row r="260" spans="1:12" s="71" customFormat="1">
      <c r="A260" s="50"/>
      <c r="B260" s="30"/>
      <c r="C260" s="70"/>
      <c r="G260" s="30"/>
      <c r="H260" s="77"/>
      <c r="I260" s="77"/>
      <c r="J260" s="58"/>
      <c r="K260" s="58"/>
      <c r="L260" s="3"/>
    </row>
    <row r="261" spans="1:12" s="71" customFormat="1">
      <c r="A261" s="50"/>
      <c r="B261" s="30"/>
      <c r="C261" s="70"/>
      <c r="G261" s="30"/>
      <c r="H261" s="77"/>
      <c r="I261" s="77"/>
      <c r="J261" s="58"/>
      <c r="K261" s="58"/>
      <c r="L261" s="3"/>
    </row>
    <row r="262" spans="1:12" s="71" customFormat="1">
      <c r="A262" s="50"/>
      <c r="B262" s="30"/>
      <c r="C262" s="70"/>
      <c r="G262" s="30"/>
      <c r="H262" s="77"/>
      <c r="I262" s="77"/>
      <c r="J262" s="58"/>
      <c r="K262" s="58"/>
      <c r="L262" s="3"/>
    </row>
    <row r="263" spans="1:12" s="71" customFormat="1">
      <c r="A263" s="50"/>
      <c r="B263" s="30"/>
      <c r="C263" s="70"/>
      <c r="G263" s="30"/>
      <c r="H263" s="77"/>
      <c r="I263" s="77"/>
      <c r="J263" s="58"/>
      <c r="K263" s="58"/>
      <c r="L263" s="3"/>
    </row>
    <row r="264" spans="1:12" s="71" customFormat="1">
      <c r="A264" s="50"/>
      <c r="B264" s="30"/>
      <c r="C264" s="70"/>
      <c r="G264" s="30"/>
      <c r="H264" s="77"/>
      <c r="I264" s="77"/>
      <c r="J264" s="58"/>
      <c r="K264" s="58"/>
      <c r="L264" s="3"/>
    </row>
    <row r="265" spans="1:12" s="71" customFormat="1">
      <c r="A265" s="50"/>
      <c r="B265" s="30"/>
      <c r="C265" s="70"/>
      <c r="G265" s="30"/>
      <c r="H265" s="77"/>
      <c r="I265" s="77"/>
      <c r="J265" s="58"/>
      <c r="K265" s="58"/>
      <c r="L265" s="3"/>
    </row>
    <row r="266" spans="1:12" s="71" customFormat="1">
      <c r="A266" s="50"/>
      <c r="B266" s="30"/>
      <c r="C266" s="70"/>
      <c r="G266" s="30"/>
      <c r="H266" s="77"/>
      <c r="I266" s="77"/>
      <c r="J266" s="58"/>
      <c r="K266" s="58"/>
      <c r="L266" s="3"/>
    </row>
    <row r="267" spans="1:12" s="71" customFormat="1">
      <c r="A267" s="50"/>
      <c r="B267" s="30"/>
      <c r="C267" s="70"/>
      <c r="G267" s="30"/>
      <c r="H267" s="77"/>
      <c r="I267" s="77"/>
      <c r="J267" s="58"/>
      <c r="K267" s="58"/>
      <c r="L267" s="3"/>
    </row>
    <row r="268" spans="1:12" s="71" customFormat="1">
      <c r="A268" s="50"/>
      <c r="B268" s="30"/>
      <c r="C268" s="70"/>
      <c r="G268" s="30"/>
      <c r="H268" s="77"/>
      <c r="I268" s="77"/>
      <c r="J268" s="58"/>
      <c r="K268" s="58"/>
      <c r="L268" s="3"/>
    </row>
    <row r="269" spans="1:12" s="71" customFormat="1">
      <c r="A269" s="50"/>
      <c r="B269" s="30"/>
      <c r="C269" s="70"/>
      <c r="G269" s="30"/>
      <c r="H269" s="77"/>
      <c r="I269" s="77"/>
      <c r="J269" s="58"/>
      <c r="K269" s="58"/>
      <c r="L269" s="3"/>
    </row>
    <row r="270" spans="1:12" s="71" customFormat="1">
      <c r="A270" s="50"/>
      <c r="B270" s="30"/>
      <c r="C270" s="70"/>
      <c r="G270" s="30"/>
      <c r="H270" s="77"/>
      <c r="I270" s="77"/>
      <c r="J270" s="58"/>
      <c r="K270" s="58"/>
      <c r="L270" s="3"/>
    </row>
    <row r="271" spans="1:12" s="71" customFormat="1">
      <c r="A271" s="50"/>
      <c r="B271" s="30"/>
      <c r="C271" s="70"/>
      <c r="G271" s="30"/>
      <c r="H271" s="77"/>
      <c r="I271" s="77"/>
      <c r="J271" s="58"/>
      <c r="K271" s="58"/>
      <c r="L271" s="3"/>
    </row>
    <row r="272" spans="1:12" s="71" customFormat="1">
      <c r="A272" s="50"/>
      <c r="B272" s="30"/>
      <c r="C272" s="70"/>
      <c r="G272" s="30"/>
      <c r="H272" s="77"/>
      <c r="I272" s="77"/>
      <c r="J272" s="58"/>
      <c r="K272" s="58"/>
      <c r="L272" s="3"/>
    </row>
    <row r="273" spans="1:12" s="71" customFormat="1">
      <c r="A273" s="50"/>
      <c r="B273" s="30"/>
      <c r="C273" s="70"/>
      <c r="G273" s="30"/>
      <c r="H273" s="77"/>
      <c r="I273" s="77"/>
      <c r="J273" s="58"/>
      <c r="K273" s="58"/>
      <c r="L273" s="3"/>
    </row>
    <row r="274" spans="1:12" s="71" customFormat="1">
      <c r="A274" s="50"/>
      <c r="B274" s="30"/>
      <c r="C274" s="70"/>
      <c r="G274" s="30"/>
      <c r="H274" s="77"/>
      <c r="I274" s="77"/>
      <c r="J274" s="58"/>
      <c r="K274" s="58"/>
      <c r="L274" s="3"/>
    </row>
    <row r="275" spans="1:12" s="71" customFormat="1">
      <c r="A275" s="50"/>
      <c r="B275" s="30"/>
      <c r="C275" s="70"/>
      <c r="G275" s="30"/>
      <c r="H275" s="77"/>
      <c r="I275" s="77"/>
      <c r="J275" s="58"/>
      <c r="K275" s="58"/>
      <c r="L275" s="3"/>
    </row>
    <row r="276" spans="1:12" s="71" customFormat="1">
      <c r="A276" s="50"/>
      <c r="B276" s="30"/>
      <c r="C276" s="70"/>
      <c r="G276" s="30"/>
      <c r="H276" s="77"/>
      <c r="I276" s="77"/>
      <c r="J276" s="58"/>
      <c r="K276" s="58"/>
      <c r="L276" s="3"/>
    </row>
    <row r="277" spans="1:12" s="71" customFormat="1">
      <c r="A277" s="50"/>
      <c r="B277" s="30"/>
      <c r="C277" s="70"/>
      <c r="G277" s="30"/>
      <c r="H277" s="77"/>
      <c r="I277" s="77"/>
      <c r="J277" s="58"/>
      <c r="K277" s="58"/>
      <c r="L277" s="3"/>
    </row>
    <row r="278" spans="1:12" s="71" customFormat="1">
      <c r="A278" s="50"/>
      <c r="B278" s="30"/>
      <c r="C278" s="70"/>
      <c r="G278" s="30"/>
      <c r="H278" s="77"/>
      <c r="I278" s="77"/>
      <c r="J278" s="58"/>
      <c r="K278" s="58"/>
      <c r="L278" s="3"/>
    </row>
    <row r="279" spans="1:12" s="71" customFormat="1">
      <c r="A279" s="50"/>
      <c r="B279" s="30"/>
      <c r="C279" s="70"/>
      <c r="G279" s="30"/>
      <c r="H279" s="77"/>
      <c r="I279" s="77"/>
      <c r="J279" s="58"/>
      <c r="K279" s="58"/>
      <c r="L279" s="3"/>
    </row>
    <row r="280" spans="1:12" s="71" customFormat="1">
      <c r="A280" s="50"/>
      <c r="B280" s="30"/>
      <c r="C280" s="70"/>
      <c r="G280" s="30"/>
      <c r="H280" s="77"/>
      <c r="I280" s="77"/>
      <c r="J280" s="58"/>
      <c r="K280" s="58"/>
      <c r="L280" s="3"/>
    </row>
    <row r="281" spans="1:12" s="71" customFormat="1">
      <c r="A281" s="50"/>
      <c r="B281" s="30"/>
      <c r="C281" s="70"/>
      <c r="G281" s="30"/>
      <c r="H281" s="77"/>
      <c r="I281" s="77"/>
      <c r="J281" s="58"/>
      <c r="K281" s="58"/>
      <c r="L281" s="3"/>
    </row>
    <row r="282" spans="1:12" s="71" customFormat="1">
      <c r="A282" s="50"/>
      <c r="B282" s="30"/>
      <c r="C282" s="70"/>
      <c r="G282" s="30"/>
      <c r="H282" s="77"/>
      <c r="I282" s="77"/>
      <c r="J282" s="58"/>
      <c r="K282" s="58"/>
      <c r="L282" s="3"/>
    </row>
    <row r="283" spans="1:12" s="71" customFormat="1">
      <c r="A283" s="50"/>
      <c r="B283" s="30"/>
      <c r="C283" s="70"/>
      <c r="G283" s="30"/>
      <c r="H283" s="77"/>
      <c r="I283" s="77"/>
      <c r="J283" s="58"/>
      <c r="K283" s="58"/>
      <c r="L283" s="3"/>
    </row>
    <row r="284" spans="1:12" s="71" customFormat="1">
      <c r="A284" s="50"/>
      <c r="B284" s="30"/>
      <c r="C284" s="70"/>
      <c r="G284" s="30"/>
      <c r="H284" s="77"/>
      <c r="I284" s="77"/>
      <c r="J284" s="58"/>
      <c r="K284" s="58"/>
      <c r="L284" s="3"/>
    </row>
    <row r="285" spans="1:12" s="71" customFormat="1">
      <c r="A285" s="50"/>
      <c r="B285" s="30"/>
      <c r="C285" s="70"/>
      <c r="G285" s="30"/>
      <c r="H285" s="77"/>
      <c r="I285" s="77"/>
      <c r="J285" s="58"/>
      <c r="K285" s="58"/>
      <c r="L285" s="3"/>
    </row>
    <row r="286" spans="1:12" s="71" customFormat="1">
      <c r="A286" s="50"/>
      <c r="B286" s="30"/>
      <c r="C286" s="70"/>
      <c r="G286" s="30"/>
      <c r="H286" s="77"/>
      <c r="I286" s="77"/>
      <c r="J286" s="58"/>
      <c r="K286" s="58"/>
      <c r="L286" s="3"/>
    </row>
    <row r="287" spans="1:12" s="71" customFormat="1">
      <c r="A287" s="50"/>
      <c r="B287" s="30"/>
      <c r="C287" s="70"/>
      <c r="G287" s="30"/>
      <c r="H287" s="77"/>
      <c r="I287" s="77"/>
      <c r="J287" s="58"/>
      <c r="K287" s="58"/>
      <c r="L287" s="3"/>
    </row>
    <row r="288" spans="1:12" s="71" customFormat="1">
      <c r="A288" s="50"/>
      <c r="B288" s="30"/>
      <c r="C288" s="70"/>
      <c r="G288" s="30"/>
      <c r="H288" s="77"/>
      <c r="I288" s="77"/>
      <c r="J288" s="58"/>
      <c r="K288" s="58"/>
      <c r="L288" s="3"/>
    </row>
    <row r="289" spans="1:12" s="71" customFormat="1">
      <c r="A289" s="50"/>
      <c r="B289" s="30"/>
      <c r="C289" s="70"/>
      <c r="G289" s="30"/>
      <c r="H289" s="77"/>
      <c r="I289" s="77"/>
      <c r="J289" s="58"/>
      <c r="K289" s="58"/>
      <c r="L289" s="3"/>
    </row>
    <row r="290" spans="1:12" s="71" customFormat="1">
      <c r="A290" s="50"/>
      <c r="B290" s="30"/>
      <c r="C290" s="70"/>
      <c r="G290" s="30"/>
      <c r="H290" s="77"/>
      <c r="I290" s="77"/>
      <c r="J290" s="58"/>
      <c r="K290" s="58"/>
      <c r="L290" s="3"/>
    </row>
    <row r="291" spans="1:12" s="71" customFormat="1">
      <c r="A291" s="50"/>
      <c r="B291" s="30"/>
      <c r="C291" s="70"/>
      <c r="G291" s="30"/>
      <c r="H291" s="77"/>
      <c r="I291" s="77"/>
      <c r="J291" s="58"/>
      <c r="K291" s="58"/>
      <c r="L291" s="3"/>
    </row>
    <row r="292" spans="1:12" s="71" customFormat="1">
      <c r="A292" s="50"/>
      <c r="B292" s="30"/>
      <c r="C292" s="70"/>
      <c r="G292" s="30"/>
      <c r="H292" s="77"/>
      <c r="I292" s="77"/>
      <c r="J292" s="58"/>
      <c r="K292" s="58"/>
      <c r="L292" s="3"/>
    </row>
    <row r="293" spans="1:12" s="71" customFormat="1">
      <c r="A293" s="50"/>
      <c r="B293" s="30"/>
      <c r="C293" s="70"/>
      <c r="G293" s="30"/>
      <c r="H293" s="77"/>
      <c r="I293" s="77"/>
      <c r="J293" s="58"/>
      <c r="K293" s="58"/>
      <c r="L293" s="3"/>
    </row>
    <row r="294" spans="1:12" s="71" customFormat="1">
      <c r="A294" s="50"/>
      <c r="B294" s="30"/>
      <c r="C294" s="70"/>
      <c r="G294" s="30"/>
      <c r="H294" s="77"/>
      <c r="I294" s="77"/>
      <c r="J294" s="58"/>
      <c r="K294" s="58"/>
      <c r="L294" s="3"/>
    </row>
    <row r="295" spans="1:12" s="71" customFormat="1">
      <c r="A295" s="50"/>
      <c r="B295" s="30"/>
      <c r="C295" s="70"/>
      <c r="G295" s="30"/>
      <c r="H295" s="77"/>
      <c r="I295" s="77"/>
      <c r="J295" s="58"/>
      <c r="K295" s="58"/>
      <c r="L295" s="3"/>
    </row>
    <row r="296" spans="1:12" s="71" customFormat="1">
      <c r="A296" s="50"/>
      <c r="B296" s="30"/>
      <c r="C296" s="70"/>
      <c r="G296" s="30"/>
      <c r="H296" s="77"/>
      <c r="I296" s="77"/>
      <c r="J296" s="58"/>
      <c r="K296" s="58"/>
      <c r="L296" s="3"/>
    </row>
    <row r="297" spans="1:12" s="71" customFormat="1">
      <c r="A297" s="50"/>
      <c r="B297" s="30"/>
      <c r="C297" s="70"/>
      <c r="G297" s="30"/>
      <c r="H297" s="77"/>
      <c r="I297" s="77"/>
      <c r="J297" s="58"/>
      <c r="K297" s="58"/>
      <c r="L297" s="3"/>
    </row>
    <row r="298" spans="1:12" s="71" customFormat="1">
      <c r="A298" s="50"/>
      <c r="B298" s="30"/>
      <c r="C298" s="70"/>
      <c r="G298" s="30"/>
      <c r="H298" s="77"/>
      <c r="I298" s="77"/>
      <c r="J298" s="58"/>
      <c r="K298" s="58"/>
      <c r="L298" s="3"/>
    </row>
    <row r="299" spans="1:12" s="71" customFormat="1">
      <c r="A299" s="50"/>
      <c r="B299" s="30"/>
      <c r="C299" s="70"/>
      <c r="G299" s="30"/>
      <c r="H299" s="77"/>
      <c r="I299" s="77"/>
      <c r="J299" s="58"/>
      <c r="K299" s="58"/>
      <c r="L299" s="3"/>
    </row>
    <row r="300" spans="1:12" s="71" customFormat="1">
      <c r="A300" s="50"/>
      <c r="B300" s="30"/>
      <c r="C300" s="70"/>
      <c r="G300" s="30"/>
      <c r="H300" s="77"/>
      <c r="I300" s="77"/>
      <c r="J300" s="58"/>
      <c r="K300" s="58"/>
      <c r="L300" s="3"/>
    </row>
    <row r="301" spans="1:12" s="71" customFormat="1">
      <c r="A301" s="50"/>
      <c r="B301" s="30"/>
      <c r="C301" s="70"/>
      <c r="G301" s="30"/>
      <c r="H301" s="77"/>
      <c r="I301" s="77"/>
      <c r="J301" s="58"/>
      <c r="K301" s="58"/>
      <c r="L301" s="3"/>
    </row>
    <row r="302" spans="1:12" s="71" customFormat="1">
      <c r="A302" s="50"/>
      <c r="B302" s="30"/>
      <c r="C302" s="70"/>
      <c r="G302" s="30"/>
      <c r="H302" s="77"/>
      <c r="I302" s="77"/>
      <c r="J302" s="58"/>
      <c r="K302" s="58"/>
      <c r="L302" s="3"/>
    </row>
    <row r="303" spans="1:12" s="71" customFormat="1">
      <c r="A303" s="50"/>
      <c r="B303" s="30"/>
      <c r="C303" s="70"/>
      <c r="G303" s="30"/>
      <c r="H303" s="77"/>
      <c r="I303" s="77"/>
      <c r="J303" s="58"/>
      <c r="K303" s="58"/>
      <c r="L303" s="3"/>
    </row>
    <row r="304" spans="1:12" s="71" customFormat="1">
      <c r="A304" s="50"/>
      <c r="B304" s="30"/>
      <c r="C304" s="70"/>
      <c r="G304" s="30"/>
      <c r="H304" s="77"/>
      <c r="I304" s="77"/>
      <c r="J304" s="58"/>
      <c r="K304" s="58"/>
      <c r="L304" s="3"/>
    </row>
    <row r="305" spans="1:12" s="71" customFormat="1">
      <c r="A305" s="50"/>
      <c r="B305" s="30"/>
      <c r="C305" s="70"/>
      <c r="G305" s="30"/>
      <c r="H305" s="77"/>
      <c r="I305" s="77"/>
      <c r="J305" s="58"/>
      <c r="K305" s="58"/>
      <c r="L305" s="3"/>
    </row>
    <row r="306" spans="1:12" s="71" customFormat="1">
      <c r="A306" s="50"/>
      <c r="B306" s="30"/>
      <c r="C306" s="70"/>
      <c r="G306" s="30"/>
      <c r="H306" s="77"/>
      <c r="I306" s="77"/>
      <c r="J306" s="58"/>
      <c r="K306" s="58"/>
      <c r="L306" s="3"/>
    </row>
    <row r="307" spans="1:12" s="71" customFormat="1">
      <c r="A307" s="50"/>
      <c r="B307" s="30"/>
      <c r="C307" s="70"/>
      <c r="G307" s="30"/>
      <c r="H307" s="77"/>
      <c r="I307" s="77"/>
      <c r="J307" s="58"/>
      <c r="K307" s="58"/>
      <c r="L307" s="3"/>
    </row>
    <row r="308" spans="1:12" s="71" customFormat="1">
      <c r="A308" s="50"/>
      <c r="B308" s="30"/>
      <c r="C308" s="70"/>
      <c r="G308" s="30"/>
      <c r="H308" s="77"/>
      <c r="I308" s="77"/>
      <c r="J308" s="58"/>
      <c r="K308" s="58"/>
      <c r="L308" s="3"/>
    </row>
    <row r="309" spans="1:12" s="71" customFormat="1">
      <c r="A309" s="50"/>
      <c r="B309" s="30"/>
      <c r="C309" s="70"/>
      <c r="G309" s="30"/>
      <c r="H309" s="77"/>
      <c r="I309" s="77"/>
      <c r="J309" s="58"/>
      <c r="K309" s="58"/>
      <c r="L309" s="3"/>
    </row>
    <row r="310" spans="1:12" s="71" customFormat="1">
      <c r="A310" s="50"/>
      <c r="B310" s="30"/>
      <c r="C310" s="70"/>
      <c r="G310" s="30"/>
      <c r="H310" s="77"/>
      <c r="I310" s="77"/>
      <c r="J310" s="58"/>
      <c r="K310" s="58"/>
      <c r="L310" s="3"/>
    </row>
    <row r="311" spans="1:12" s="71" customFormat="1">
      <c r="A311" s="50"/>
      <c r="B311" s="30"/>
      <c r="C311" s="70"/>
      <c r="G311" s="30"/>
      <c r="H311" s="77"/>
      <c r="I311" s="77"/>
      <c r="J311" s="58"/>
      <c r="K311" s="58"/>
      <c r="L311" s="3"/>
    </row>
    <row r="312" spans="1:12" s="71" customFormat="1">
      <c r="A312" s="50"/>
      <c r="B312" s="30"/>
      <c r="C312" s="70"/>
      <c r="G312" s="30"/>
      <c r="H312" s="77"/>
      <c r="I312" s="77"/>
      <c r="J312" s="58"/>
      <c r="K312" s="58"/>
      <c r="L312" s="3"/>
    </row>
    <row r="313" spans="1:12" s="71" customFormat="1">
      <c r="A313" s="50"/>
      <c r="B313" s="30"/>
      <c r="C313" s="70"/>
      <c r="G313" s="30"/>
      <c r="H313" s="77"/>
      <c r="I313" s="77"/>
      <c r="J313" s="58"/>
      <c r="K313" s="58"/>
      <c r="L313" s="3"/>
    </row>
    <row r="314" spans="1:12" s="71" customFormat="1">
      <c r="A314" s="50"/>
      <c r="B314" s="30"/>
      <c r="C314" s="70"/>
      <c r="G314" s="30"/>
      <c r="H314" s="77"/>
      <c r="I314" s="77"/>
      <c r="J314" s="58"/>
      <c r="K314" s="58"/>
      <c r="L314" s="3"/>
    </row>
    <row r="315" spans="1:12" s="71" customFormat="1">
      <c r="A315" s="50"/>
      <c r="B315" s="30"/>
      <c r="C315" s="70"/>
      <c r="G315" s="30"/>
      <c r="H315" s="77"/>
      <c r="I315" s="77"/>
      <c r="J315" s="58"/>
      <c r="K315" s="58"/>
      <c r="L315" s="3"/>
    </row>
    <row r="316" spans="1:12" s="71" customFormat="1">
      <c r="A316" s="50"/>
      <c r="B316" s="30"/>
      <c r="C316" s="70"/>
      <c r="G316" s="30"/>
      <c r="H316" s="77"/>
      <c r="I316" s="77"/>
      <c r="J316" s="58"/>
      <c r="K316" s="58"/>
      <c r="L316" s="3"/>
    </row>
    <row r="317" spans="1:12" s="71" customFormat="1">
      <c r="A317" s="50"/>
      <c r="B317" s="30"/>
      <c r="C317" s="70"/>
      <c r="G317" s="30"/>
      <c r="H317" s="77"/>
      <c r="I317" s="77"/>
      <c r="J317" s="58"/>
      <c r="K317" s="58"/>
      <c r="L317" s="3"/>
    </row>
    <row r="318" spans="1:12" s="71" customFormat="1">
      <c r="A318" s="50"/>
      <c r="B318" s="30"/>
      <c r="C318" s="70"/>
      <c r="G318" s="30"/>
      <c r="H318" s="77"/>
      <c r="I318" s="77"/>
      <c r="J318" s="58"/>
      <c r="K318" s="58"/>
      <c r="L318" s="3"/>
    </row>
    <row r="319" spans="1:12" s="71" customFormat="1">
      <c r="A319" s="50"/>
      <c r="B319" s="30"/>
      <c r="C319" s="70"/>
      <c r="G319" s="30"/>
      <c r="H319" s="77"/>
      <c r="I319" s="77"/>
      <c r="J319" s="58"/>
      <c r="K319" s="58"/>
      <c r="L319" s="3"/>
    </row>
    <row r="320" spans="1:12" s="71" customFormat="1">
      <c r="A320" s="50"/>
      <c r="B320" s="30"/>
      <c r="C320" s="70"/>
      <c r="G320" s="30"/>
      <c r="H320" s="77"/>
      <c r="I320" s="77"/>
      <c r="J320" s="58"/>
      <c r="K320" s="58"/>
      <c r="L320" s="3"/>
    </row>
    <row r="321" spans="1:12" s="71" customFormat="1">
      <c r="A321" s="50"/>
      <c r="B321" s="30"/>
      <c r="C321" s="70"/>
      <c r="G321" s="30"/>
      <c r="H321" s="77"/>
      <c r="I321" s="77"/>
      <c r="J321" s="58"/>
      <c r="K321" s="58"/>
      <c r="L321" s="3"/>
    </row>
    <row r="322" spans="1:12" s="71" customFormat="1">
      <c r="A322" s="50"/>
      <c r="B322" s="30"/>
      <c r="C322" s="70"/>
      <c r="G322" s="30"/>
      <c r="H322" s="77"/>
      <c r="I322" s="77"/>
      <c r="J322" s="58"/>
      <c r="K322" s="58"/>
      <c r="L322" s="3"/>
    </row>
    <row r="323" spans="1:12" s="71" customFormat="1">
      <c r="A323" s="50"/>
      <c r="B323" s="30"/>
      <c r="C323" s="70"/>
      <c r="G323" s="30"/>
      <c r="H323" s="77"/>
      <c r="I323" s="77"/>
      <c r="J323" s="58"/>
      <c r="K323" s="58"/>
      <c r="L323" s="3"/>
    </row>
    <row r="324" spans="1:12" s="71" customFormat="1">
      <c r="A324" s="50"/>
      <c r="B324" s="30"/>
      <c r="C324" s="70"/>
      <c r="G324" s="30"/>
      <c r="H324" s="77"/>
      <c r="I324" s="77"/>
      <c r="J324" s="58"/>
      <c r="K324" s="58"/>
      <c r="L324" s="3"/>
    </row>
    <row r="325" spans="1:12" s="71" customFormat="1">
      <c r="A325" s="50"/>
      <c r="B325" s="30"/>
      <c r="C325" s="70"/>
      <c r="G325" s="30"/>
      <c r="H325" s="77"/>
      <c r="I325" s="77"/>
      <c r="J325" s="58"/>
      <c r="K325" s="58"/>
      <c r="L325" s="3"/>
    </row>
    <row r="326" spans="1:12" s="71" customFormat="1">
      <c r="A326" s="50"/>
      <c r="B326" s="30"/>
      <c r="C326" s="70"/>
      <c r="G326" s="30"/>
      <c r="H326" s="77"/>
      <c r="I326" s="77"/>
      <c r="J326" s="58"/>
      <c r="K326" s="58"/>
      <c r="L326" s="3"/>
    </row>
    <row r="327" spans="1:12" s="71" customFormat="1">
      <c r="A327" s="50"/>
      <c r="B327" s="30"/>
      <c r="C327" s="70"/>
      <c r="G327" s="30"/>
      <c r="H327" s="77"/>
      <c r="I327" s="77"/>
      <c r="J327" s="58"/>
      <c r="K327" s="58"/>
      <c r="L327" s="3"/>
    </row>
    <row r="328" spans="1:12" s="71" customFormat="1">
      <c r="A328" s="50"/>
      <c r="B328" s="30"/>
      <c r="C328" s="70"/>
      <c r="G328" s="30"/>
      <c r="H328" s="77"/>
      <c r="I328" s="77"/>
      <c r="J328" s="58"/>
      <c r="K328" s="58"/>
      <c r="L328" s="3"/>
    </row>
    <row r="329" spans="1:12" s="71" customFormat="1">
      <c r="A329" s="50"/>
      <c r="B329" s="30"/>
      <c r="C329" s="70"/>
      <c r="G329" s="30"/>
      <c r="H329" s="77"/>
      <c r="I329" s="77"/>
      <c r="J329" s="58"/>
      <c r="K329" s="58"/>
      <c r="L329" s="3"/>
    </row>
    <row r="330" spans="1:12" s="71" customFormat="1">
      <c r="A330" s="50"/>
      <c r="B330" s="30"/>
      <c r="C330" s="70"/>
      <c r="G330" s="30"/>
      <c r="H330" s="77"/>
      <c r="I330" s="77"/>
      <c r="J330" s="58"/>
      <c r="K330" s="58"/>
      <c r="L330" s="3"/>
    </row>
    <row r="331" spans="1:12" s="71" customFormat="1">
      <c r="A331" s="50"/>
      <c r="B331" s="30"/>
      <c r="C331" s="70"/>
      <c r="G331" s="30"/>
      <c r="H331" s="77"/>
      <c r="I331" s="77"/>
      <c r="J331" s="58"/>
      <c r="K331" s="58"/>
      <c r="L331" s="3"/>
    </row>
    <row r="332" spans="1:12" s="71" customFormat="1">
      <c r="A332" s="50"/>
      <c r="B332" s="30"/>
      <c r="C332" s="70"/>
      <c r="G332" s="30"/>
      <c r="H332" s="77"/>
      <c r="I332" s="77"/>
      <c r="J332" s="58"/>
      <c r="K332" s="58"/>
      <c r="L332" s="3"/>
    </row>
    <row r="333" spans="1:12" s="71" customFormat="1">
      <c r="A333" s="50"/>
      <c r="B333" s="30"/>
      <c r="C333" s="70"/>
      <c r="G333" s="30"/>
      <c r="H333" s="77"/>
      <c r="I333" s="77"/>
      <c r="J333" s="58"/>
      <c r="K333" s="58"/>
      <c r="L333" s="3"/>
    </row>
    <row r="334" spans="1:12" s="71" customFormat="1">
      <c r="A334" s="50"/>
      <c r="B334" s="30"/>
      <c r="C334" s="70"/>
      <c r="G334" s="30"/>
      <c r="H334" s="77"/>
      <c r="I334" s="77"/>
      <c r="J334" s="58"/>
      <c r="K334" s="58"/>
      <c r="L334" s="3"/>
    </row>
    <row r="335" spans="1:12" s="71" customFormat="1">
      <c r="A335" s="50"/>
      <c r="B335" s="30"/>
      <c r="C335" s="70"/>
      <c r="G335" s="30"/>
      <c r="H335" s="77"/>
      <c r="I335" s="77"/>
      <c r="J335" s="58"/>
      <c r="K335" s="58"/>
      <c r="L335" s="3"/>
    </row>
    <row r="336" spans="1:12" s="71" customFormat="1">
      <c r="A336" s="50"/>
      <c r="B336" s="30"/>
      <c r="C336" s="70"/>
      <c r="G336" s="30"/>
      <c r="H336" s="77"/>
      <c r="I336" s="77"/>
      <c r="J336" s="58"/>
      <c r="K336" s="58"/>
      <c r="L336" s="3"/>
    </row>
    <row r="337" spans="1:12" s="71" customFormat="1">
      <c r="A337" s="50"/>
      <c r="B337" s="30"/>
      <c r="C337" s="70"/>
      <c r="G337" s="30"/>
      <c r="H337" s="77"/>
      <c r="I337" s="77"/>
      <c r="J337" s="58"/>
      <c r="K337" s="58"/>
      <c r="L337" s="3"/>
    </row>
    <row r="338" spans="1:12" s="71" customFormat="1">
      <c r="A338" s="50"/>
      <c r="B338" s="30"/>
      <c r="C338" s="70"/>
      <c r="G338" s="30"/>
      <c r="H338" s="77"/>
      <c r="I338" s="77"/>
      <c r="J338" s="58"/>
      <c r="K338" s="58"/>
      <c r="L338" s="3"/>
    </row>
    <row r="339" spans="1:12" s="71" customFormat="1">
      <c r="A339" s="50"/>
      <c r="B339" s="30"/>
      <c r="C339" s="70"/>
      <c r="G339" s="30"/>
      <c r="H339" s="77"/>
      <c r="I339" s="77"/>
      <c r="J339" s="58"/>
      <c r="K339" s="58"/>
      <c r="L339" s="3"/>
    </row>
    <row r="340" spans="1:12" s="71" customFormat="1">
      <c r="A340" s="50"/>
      <c r="B340" s="30"/>
      <c r="C340" s="70"/>
      <c r="G340" s="30"/>
      <c r="H340" s="77"/>
      <c r="I340" s="77"/>
      <c r="J340" s="58"/>
      <c r="K340" s="58"/>
      <c r="L340" s="3"/>
    </row>
    <row r="341" spans="1:12" s="71" customFormat="1">
      <c r="A341" s="50"/>
      <c r="B341" s="30"/>
      <c r="C341" s="70"/>
      <c r="G341" s="30"/>
      <c r="H341" s="77"/>
      <c r="I341" s="77"/>
      <c r="J341" s="58"/>
      <c r="K341" s="58"/>
      <c r="L341" s="3"/>
    </row>
    <row r="342" spans="1:12" s="71" customFormat="1">
      <c r="A342" s="50"/>
      <c r="B342" s="30"/>
      <c r="C342" s="70"/>
      <c r="G342" s="30"/>
      <c r="H342" s="77"/>
      <c r="I342" s="77"/>
      <c r="J342" s="58"/>
      <c r="K342" s="58"/>
      <c r="L342" s="3"/>
    </row>
    <row r="343" spans="1:12" s="71" customFormat="1">
      <c r="A343" s="50"/>
      <c r="B343" s="30"/>
      <c r="C343" s="70"/>
      <c r="G343" s="30"/>
      <c r="H343" s="77"/>
      <c r="I343" s="77"/>
      <c r="J343" s="58"/>
      <c r="K343" s="58"/>
      <c r="L343" s="3"/>
    </row>
    <row r="344" spans="1:12" s="71" customFormat="1">
      <c r="A344" s="50"/>
      <c r="B344" s="30"/>
      <c r="C344" s="70"/>
      <c r="G344" s="30"/>
      <c r="H344" s="77"/>
      <c r="I344" s="77"/>
      <c r="J344" s="58"/>
      <c r="K344" s="58"/>
      <c r="L344" s="3"/>
    </row>
    <row r="345" spans="1:12" s="71" customFormat="1">
      <c r="A345" s="50"/>
      <c r="B345" s="30"/>
      <c r="C345" s="70"/>
      <c r="G345" s="30"/>
      <c r="H345" s="77"/>
      <c r="I345" s="77"/>
      <c r="J345" s="58"/>
      <c r="K345" s="58"/>
      <c r="L345" s="3"/>
    </row>
    <row r="346" spans="1:12" s="71" customFormat="1">
      <c r="A346" s="50"/>
      <c r="B346" s="30"/>
      <c r="C346" s="70"/>
      <c r="G346" s="30"/>
      <c r="H346" s="77"/>
      <c r="I346" s="77"/>
      <c r="J346" s="58"/>
      <c r="K346" s="58"/>
      <c r="L346" s="3"/>
    </row>
    <row r="347" spans="1:12" s="71" customFormat="1">
      <c r="A347" s="50"/>
      <c r="B347" s="30"/>
      <c r="C347" s="70"/>
      <c r="G347" s="30"/>
      <c r="H347" s="77"/>
      <c r="I347" s="77"/>
      <c r="J347" s="58"/>
      <c r="K347" s="58"/>
      <c r="L347" s="3"/>
    </row>
    <row r="348" spans="1:12" s="71" customFormat="1">
      <c r="A348" s="50"/>
      <c r="B348" s="30"/>
      <c r="C348" s="70"/>
      <c r="G348" s="30"/>
      <c r="H348" s="77"/>
      <c r="I348" s="77"/>
      <c r="J348" s="58"/>
      <c r="K348" s="58"/>
      <c r="L348" s="3"/>
    </row>
    <row r="349" spans="1:12" s="71" customFormat="1">
      <c r="A349" s="50"/>
      <c r="B349" s="30"/>
      <c r="C349" s="70"/>
      <c r="G349" s="30"/>
      <c r="H349" s="77"/>
      <c r="I349" s="77"/>
      <c r="J349" s="58"/>
      <c r="K349" s="58"/>
      <c r="L349" s="3"/>
    </row>
    <row r="350" spans="1:12" s="71" customFormat="1">
      <c r="A350" s="50"/>
      <c r="B350" s="30"/>
      <c r="C350" s="70"/>
      <c r="G350" s="30"/>
      <c r="H350" s="77"/>
      <c r="I350" s="77"/>
      <c r="J350" s="58"/>
      <c r="K350" s="58"/>
      <c r="L350" s="3"/>
    </row>
    <row r="351" spans="1:12" s="71" customFormat="1">
      <c r="A351" s="50"/>
      <c r="B351" s="30"/>
      <c r="C351" s="70"/>
      <c r="G351" s="30"/>
      <c r="H351" s="77"/>
      <c r="I351" s="77"/>
      <c r="J351" s="58"/>
      <c r="K351" s="58"/>
      <c r="L351" s="3"/>
    </row>
    <row r="352" spans="1:12" s="71" customFormat="1">
      <c r="A352" s="50"/>
      <c r="B352" s="30"/>
      <c r="C352" s="70"/>
      <c r="G352" s="30"/>
      <c r="H352" s="77"/>
      <c r="I352" s="77"/>
      <c r="J352" s="58"/>
      <c r="K352" s="58"/>
      <c r="L352" s="3"/>
    </row>
    <row r="353" spans="1:12" s="71" customFormat="1">
      <c r="A353" s="50"/>
      <c r="B353" s="30"/>
      <c r="C353" s="70"/>
      <c r="G353" s="30"/>
      <c r="H353" s="77"/>
      <c r="I353" s="77"/>
      <c r="J353" s="58"/>
      <c r="K353" s="58"/>
      <c r="L353" s="3"/>
    </row>
    <row r="354" spans="1:12" s="71" customFormat="1">
      <c r="A354" s="50"/>
      <c r="B354" s="30"/>
      <c r="C354" s="70"/>
      <c r="G354" s="30"/>
      <c r="H354" s="77"/>
      <c r="I354" s="77"/>
      <c r="J354" s="58"/>
      <c r="K354" s="58"/>
      <c r="L354" s="3"/>
    </row>
    <row r="355" spans="1:12" s="71" customFormat="1">
      <c r="A355" s="50"/>
      <c r="B355" s="30"/>
      <c r="C355" s="70"/>
      <c r="G355" s="30"/>
      <c r="H355" s="77"/>
      <c r="I355" s="77"/>
      <c r="J355" s="58"/>
      <c r="K355" s="58"/>
      <c r="L355" s="3"/>
    </row>
    <row r="356" spans="1:12" s="71" customFormat="1">
      <c r="A356" s="50"/>
      <c r="B356" s="30"/>
      <c r="C356" s="70"/>
      <c r="G356" s="30"/>
      <c r="H356" s="77"/>
      <c r="I356" s="77"/>
      <c r="J356" s="58"/>
      <c r="K356" s="58"/>
      <c r="L356" s="3"/>
    </row>
    <row r="357" spans="1:12" s="71" customFormat="1">
      <c r="A357" s="50"/>
      <c r="B357" s="30"/>
      <c r="C357" s="70"/>
      <c r="G357" s="30"/>
      <c r="H357" s="77"/>
      <c r="I357" s="77"/>
      <c r="J357" s="58"/>
      <c r="K357" s="58"/>
      <c r="L357" s="3"/>
    </row>
    <row r="358" spans="1:12" s="71" customFormat="1">
      <c r="A358" s="50"/>
      <c r="B358" s="30"/>
      <c r="C358" s="70"/>
      <c r="G358" s="30"/>
      <c r="H358" s="77"/>
      <c r="I358" s="77"/>
      <c r="J358" s="58"/>
      <c r="K358" s="58"/>
      <c r="L358" s="3"/>
    </row>
    <row r="359" spans="1:12" s="71" customFormat="1">
      <c r="A359" s="50"/>
      <c r="B359" s="30"/>
      <c r="C359" s="70"/>
      <c r="G359" s="30"/>
      <c r="H359" s="77"/>
      <c r="I359" s="77"/>
      <c r="J359" s="58"/>
      <c r="K359" s="58"/>
      <c r="L359" s="3"/>
    </row>
    <row r="360" spans="1:12" s="71" customFormat="1">
      <c r="A360" s="50"/>
      <c r="B360" s="30"/>
      <c r="C360" s="70"/>
      <c r="G360" s="30"/>
      <c r="H360" s="77"/>
      <c r="I360" s="77"/>
      <c r="J360" s="58"/>
      <c r="K360" s="58"/>
      <c r="L360" s="3"/>
    </row>
    <row r="361" spans="1:12" s="71" customFormat="1">
      <c r="A361" s="50"/>
      <c r="B361" s="30"/>
      <c r="C361" s="70"/>
      <c r="G361" s="30"/>
      <c r="H361" s="77"/>
      <c r="I361" s="77"/>
      <c r="J361" s="58"/>
      <c r="K361" s="58"/>
      <c r="L361" s="3"/>
    </row>
    <row r="362" spans="1:12" s="71" customFormat="1">
      <c r="A362" s="50"/>
      <c r="B362" s="30"/>
      <c r="C362" s="70"/>
      <c r="G362" s="30"/>
      <c r="H362" s="77"/>
      <c r="I362" s="77"/>
      <c r="J362" s="58"/>
      <c r="K362" s="58"/>
      <c r="L362" s="3"/>
    </row>
    <row r="363" spans="1:12" s="71" customFormat="1">
      <c r="A363" s="50"/>
      <c r="B363" s="30"/>
      <c r="C363" s="70"/>
      <c r="G363" s="30"/>
      <c r="H363" s="77"/>
      <c r="I363" s="77"/>
      <c r="J363" s="58"/>
      <c r="K363" s="58"/>
      <c r="L363" s="3"/>
    </row>
    <row r="364" spans="1:12" s="71" customFormat="1">
      <c r="A364" s="50"/>
      <c r="B364" s="30"/>
      <c r="C364" s="70"/>
      <c r="G364" s="30"/>
      <c r="H364" s="77"/>
      <c r="I364" s="77"/>
      <c r="J364" s="58"/>
      <c r="K364" s="58"/>
      <c r="L364" s="3"/>
    </row>
    <row r="365" spans="1:12" s="71" customFormat="1">
      <c r="A365" s="50"/>
      <c r="B365" s="30"/>
      <c r="C365" s="70"/>
      <c r="G365" s="30"/>
      <c r="H365" s="77"/>
      <c r="I365" s="77"/>
      <c r="J365" s="58"/>
      <c r="K365" s="58"/>
      <c r="L365" s="3"/>
    </row>
    <row r="366" spans="1:12" s="71" customFormat="1">
      <c r="A366" s="50"/>
      <c r="B366" s="30"/>
      <c r="C366" s="70"/>
      <c r="G366" s="30"/>
      <c r="H366" s="77"/>
      <c r="I366" s="77"/>
      <c r="J366" s="58"/>
      <c r="K366" s="58"/>
      <c r="L366" s="3"/>
    </row>
    <row r="367" spans="1:12" s="71" customFormat="1">
      <c r="A367" s="50"/>
      <c r="B367" s="30"/>
      <c r="C367" s="70"/>
      <c r="G367" s="30"/>
      <c r="H367" s="77"/>
      <c r="I367" s="77"/>
      <c r="J367" s="58"/>
      <c r="K367" s="58"/>
      <c r="L367" s="3"/>
    </row>
    <row r="368" spans="1:12" s="71" customFormat="1">
      <c r="A368" s="50"/>
      <c r="B368" s="30"/>
      <c r="C368" s="70"/>
      <c r="G368" s="30"/>
      <c r="H368" s="77"/>
      <c r="I368" s="77"/>
      <c r="J368" s="58"/>
      <c r="K368" s="58"/>
      <c r="L368" s="3"/>
    </row>
    <row r="369" spans="1:12" s="71" customFormat="1">
      <c r="A369" s="50"/>
      <c r="B369" s="30"/>
      <c r="C369" s="70"/>
      <c r="G369" s="30"/>
      <c r="H369" s="77"/>
      <c r="I369" s="77"/>
      <c r="J369" s="58"/>
      <c r="K369" s="58"/>
      <c r="L369" s="3"/>
    </row>
    <row r="370" spans="1:12" s="71" customFormat="1">
      <c r="A370" s="50"/>
      <c r="B370" s="30"/>
      <c r="C370" s="70"/>
      <c r="G370" s="30"/>
      <c r="H370" s="77"/>
      <c r="I370" s="77"/>
      <c r="J370" s="58"/>
      <c r="K370" s="58"/>
      <c r="L370" s="3"/>
    </row>
    <row r="371" spans="1:12" s="71" customFormat="1">
      <c r="A371" s="50"/>
      <c r="B371" s="30"/>
      <c r="C371" s="70"/>
      <c r="G371" s="30"/>
      <c r="H371" s="77"/>
      <c r="I371" s="77"/>
      <c r="J371" s="58"/>
      <c r="K371" s="58"/>
      <c r="L371" s="3"/>
    </row>
    <row r="372" spans="1:12" s="71" customFormat="1">
      <c r="A372" s="50"/>
      <c r="B372" s="30"/>
      <c r="C372" s="70"/>
      <c r="G372" s="30"/>
      <c r="H372" s="77"/>
      <c r="I372" s="77"/>
      <c r="J372" s="58"/>
      <c r="K372" s="58"/>
      <c r="L372" s="3"/>
    </row>
    <row r="373" spans="1:12" s="71" customFormat="1">
      <c r="A373" s="50"/>
      <c r="B373" s="30"/>
      <c r="C373" s="70"/>
      <c r="G373" s="30"/>
      <c r="H373" s="77"/>
      <c r="I373" s="77"/>
      <c r="J373" s="58"/>
      <c r="K373" s="58"/>
      <c r="L373" s="3"/>
    </row>
    <row r="374" spans="1:12" s="71" customFormat="1">
      <c r="A374" s="50"/>
      <c r="B374" s="30"/>
      <c r="C374" s="70"/>
      <c r="G374" s="30"/>
      <c r="H374" s="77"/>
      <c r="I374" s="77"/>
      <c r="J374" s="58"/>
      <c r="K374" s="58"/>
      <c r="L374" s="3"/>
    </row>
    <row r="375" spans="1:12" s="71" customFormat="1">
      <c r="A375" s="50"/>
      <c r="B375" s="30"/>
      <c r="C375" s="70"/>
      <c r="G375" s="30"/>
      <c r="H375" s="77"/>
      <c r="I375" s="77"/>
      <c r="J375" s="58"/>
      <c r="K375" s="58"/>
      <c r="L375" s="3"/>
    </row>
    <row r="376" spans="1:12" s="71" customFormat="1">
      <c r="A376" s="50"/>
      <c r="B376" s="30"/>
      <c r="C376" s="70"/>
      <c r="G376" s="30"/>
      <c r="H376" s="77"/>
      <c r="I376" s="77"/>
      <c r="J376" s="58"/>
      <c r="K376" s="58"/>
      <c r="L376" s="3"/>
    </row>
    <row r="377" spans="1:12" s="71" customFormat="1">
      <c r="A377" s="50"/>
      <c r="B377" s="30"/>
      <c r="C377" s="70"/>
      <c r="G377" s="30"/>
      <c r="H377" s="77"/>
      <c r="I377" s="77"/>
      <c r="J377" s="58"/>
      <c r="K377" s="58"/>
      <c r="L377" s="3"/>
    </row>
    <row r="378" spans="1:12" s="71" customFormat="1">
      <c r="A378" s="50"/>
      <c r="B378" s="30"/>
      <c r="C378" s="70"/>
      <c r="G378" s="30"/>
      <c r="H378" s="77"/>
      <c r="I378" s="77"/>
      <c r="J378" s="58"/>
      <c r="K378" s="58"/>
      <c r="L378" s="3"/>
    </row>
    <row r="379" spans="1:12" s="71" customFormat="1">
      <c r="A379" s="50"/>
      <c r="B379" s="30"/>
      <c r="C379" s="70"/>
      <c r="G379" s="30"/>
      <c r="H379" s="77"/>
      <c r="I379" s="77"/>
      <c r="J379" s="58"/>
      <c r="K379" s="58"/>
      <c r="L379" s="3"/>
    </row>
    <row r="380" spans="1:12" s="71" customFormat="1">
      <c r="A380" s="50"/>
      <c r="B380" s="30"/>
      <c r="C380" s="70"/>
      <c r="G380" s="30"/>
      <c r="H380" s="77"/>
      <c r="I380" s="77"/>
      <c r="J380" s="58"/>
      <c r="K380" s="58"/>
      <c r="L380" s="3"/>
    </row>
    <row r="381" spans="1:12" s="71" customFormat="1">
      <c r="A381" s="50"/>
      <c r="B381" s="30"/>
      <c r="C381" s="70"/>
      <c r="G381" s="30"/>
      <c r="H381" s="77"/>
      <c r="I381" s="77"/>
      <c r="J381" s="58"/>
      <c r="K381" s="58"/>
      <c r="L381" s="3"/>
    </row>
    <row r="382" spans="1:12" s="71" customFormat="1">
      <c r="A382" s="50"/>
      <c r="B382" s="30"/>
      <c r="C382" s="70"/>
      <c r="G382" s="30"/>
      <c r="H382" s="77"/>
      <c r="I382" s="77"/>
      <c r="J382" s="58"/>
      <c r="K382" s="58"/>
      <c r="L382" s="3"/>
    </row>
    <row r="383" spans="1:12" s="71" customFormat="1">
      <c r="A383" s="50"/>
      <c r="B383" s="30"/>
      <c r="C383" s="70"/>
      <c r="G383" s="30"/>
      <c r="H383" s="77"/>
      <c r="I383" s="77"/>
      <c r="J383" s="58"/>
      <c r="K383" s="58"/>
      <c r="L383" s="3"/>
    </row>
    <row r="384" spans="1:12" s="71" customFormat="1">
      <c r="A384" s="50"/>
      <c r="B384" s="30"/>
      <c r="C384" s="70"/>
      <c r="G384" s="30"/>
      <c r="H384" s="77"/>
      <c r="I384" s="77"/>
      <c r="J384" s="58"/>
      <c r="K384" s="58"/>
      <c r="L384" s="3"/>
    </row>
    <row r="385" spans="1:12" s="71" customFormat="1">
      <c r="A385" s="50"/>
      <c r="B385" s="30"/>
      <c r="C385" s="70"/>
      <c r="G385" s="30"/>
      <c r="H385" s="77"/>
      <c r="I385" s="77"/>
      <c r="J385" s="58"/>
      <c r="K385" s="58"/>
      <c r="L385" s="3"/>
    </row>
    <row r="386" spans="1:12" s="71" customFormat="1">
      <c r="A386" s="50"/>
      <c r="B386" s="30"/>
      <c r="C386" s="70"/>
      <c r="G386" s="30"/>
      <c r="H386" s="77"/>
      <c r="I386" s="77"/>
      <c r="J386" s="58"/>
      <c r="K386" s="58"/>
      <c r="L386" s="3"/>
    </row>
    <row r="387" spans="1:12" s="71" customFormat="1">
      <c r="A387" s="50"/>
      <c r="B387" s="30"/>
      <c r="C387" s="70"/>
      <c r="G387" s="30"/>
      <c r="H387" s="77"/>
      <c r="I387" s="77"/>
      <c r="J387" s="58"/>
      <c r="K387" s="58"/>
      <c r="L387" s="3"/>
    </row>
    <row r="388" spans="1:12" s="71" customFormat="1">
      <c r="A388" s="50"/>
      <c r="B388" s="30"/>
      <c r="C388" s="70"/>
      <c r="G388" s="30"/>
      <c r="H388" s="77"/>
      <c r="I388" s="77"/>
      <c r="J388" s="58"/>
      <c r="K388" s="58"/>
      <c r="L388" s="3"/>
    </row>
    <row r="389" spans="1:12" s="71" customFormat="1">
      <c r="A389" s="50"/>
      <c r="B389" s="30"/>
      <c r="C389" s="70"/>
      <c r="G389" s="30"/>
      <c r="H389" s="77"/>
      <c r="I389" s="77"/>
      <c r="J389" s="58"/>
      <c r="K389" s="58"/>
      <c r="L389" s="3"/>
    </row>
    <row r="390" spans="1:12" s="71" customFormat="1">
      <c r="A390" s="50"/>
      <c r="B390" s="30"/>
      <c r="C390" s="70"/>
      <c r="G390" s="30"/>
      <c r="H390" s="77"/>
      <c r="I390" s="77"/>
      <c r="J390" s="58"/>
      <c r="K390" s="58"/>
      <c r="L390" s="3"/>
    </row>
    <row r="391" spans="1:12" s="71" customFormat="1">
      <c r="A391" s="50"/>
      <c r="B391" s="30"/>
      <c r="C391" s="70"/>
      <c r="G391" s="30"/>
      <c r="H391" s="77"/>
      <c r="I391" s="77"/>
      <c r="J391" s="58"/>
      <c r="K391" s="58"/>
      <c r="L391" s="3"/>
    </row>
    <row r="392" spans="1:12" s="71" customFormat="1">
      <c r="A392" s="50"/>
      <c r="B392" s="30"/>
      <c r="C392" s="70"/>
      <c r="G392" s="30"/>
      <c r="H392" s="77"/>
      <c r="I392" s="77"/>
      <c r="J392" s="58"/>
      <c r="K392" s="58"/>
      <c r="L392" s="3"/>
    </row>
    <row r="393" spans="1:12" s="71" customFormat="1">
      <c r="A393" s="50"/>
      <c r="B393" s="30"/>
      <c r="C393" s="70"/>
      <c r="G393" s="30"/>
      <c r="H393" s="77"/>
      <c r="I393" s="77"/>
      <c r="J393" s="58"/>
      <c r="K393" s="58"/>
      <c r="L393" s="3"/>
    </row>
    <row r="394" spans="1:12" s="71" customFormat="1">
      <c r="A394" s="50"/>
      <c r="B394" s="30"/>
      <c r="C394" s="70"/>
      <c r="G394" s="30"/>
      <c r="H394" s="77"/>
      <c r="I394" s="77"/>
      <c r="J394" s="58"/>
      <c r="K394" s="58"/>
      <c r="L394" s="3"/>
    </row>
    <row r="395" spans="1:12" s="71" customFormat="1">
      <c r="A395" s="50"/>
      <c r="B395" s="30"/>
      <c r="C395" s="70"/>
      <c r="G395" s="30"/>
      <c r="H395" s="77"/>
      <c r="I395" s="77"/>
      <c r="J395" s="58"/>
      <c r="K395" s="58"/>
      <c r="L395" s="3"/>
    </row>
    <row r="396" spans="1:12" s="71" customFormat="1">
      <c r="A396" s="50"/>
      <c r="B396" s="30"/>
      <c r="C396" s="70"/>
      <c r="G396" s="30"/>
      <c r="H396" s="77"/>
      <c r="I396" s="77"/>
      <c r="J396" s="58"/>
      <c r="K396" s="58"/>
      <c r="L396" s="3"/>
    </row>
    <row r="397" spans="1:12" s="71" customFormat="1">
      <c r="A397" s="50"/>
      <c r="B397" s="30"/>
      <c r="C397" s="70"/>
      <c r="G397" s="30"/>
      <c r="H397" s="77"/>
      <c r="I397" s="77"/>
      <c r="J397" s="58"/>
      <c r="K397" s="58"/>
      <c r="L397" s="3"/>
    </row>
    <row r="398" spans="1:12" s="71" customFormat="1">
      <c r="A398" s="50"/>
      <c r="B398" s="30"/>
      <c r="C398" s="70"/>
      <c r="G398" s="30"/>
      <c r="H398" s="77"/>
      <c r="I398" s="77"/>
      <c r="J398" s="58"/>
      <c r="K398" s="58"/>
      <c r="L398" s="3"/>
    </row>
    <row r="399" spans="1:12" s="71" customFormat="1">
      <c r="A399" s="50"/>
      <c r="B399" s="30"/>
      <c r="C399" s="70"/>
      <c r="G399" s="30"/>
      <c r="H399" s="77"/>
      <c r="I399" s="77"/>
      <c r="J399" s="58"/>
      <c r="K399" s="58"/>
      <c r="L399" s="3"/>
    </row>
    <row r="400" spans="1:12" s="71" customFormat="1">
      <c r="A400" s="50"/>
      <c r="B400" s="30"/>
      <c r="C400" s="70"/>
      <c r="G400" s="30"/>
      <c r="H400" s="77"/>
      <c r="I400" s="77"/>
      <c r="J400" s="58"/>
      <c r="K400" s="58"/>
      <c r="L400" s="3"/>
    </row>
    <row r="401" spans="1:12" s="71" customFormat="1">
      <c r="A401" s="50"/>
      <c r="B401" s="30"/>
      <c r="C401" s="70"/>
      <c r="G401" s="30"/>
      <c r="H401" s="77"/>
      <c r="I401" s="77"/>
      <c r="J401" s="58"/>
      <c r="K401" s="58"/>
      <c r="L401" s="3"/>
    </row>
    <row r="402" spans="1:12" s="71" customFormat="1">
      <c r="A402" s="50"/>
      <c r="B402" s="30"/>
      <c r="C402" s="70"/>
      <c r="G402" s="30"/>
      <c r="H402" s="77"/>
      <c r="I402" s="77"/>
      <c r="J402" s="58"/>
      <c r="K402" s="58"/>
      <c r="L402" s="3"/>
    </row>
    <row r="403" spans="1:12" s="71" customFormat="1">
      <c r="A403" s="50"/>
      <c r="B403" s="30"/>
      <c r="C403" s="70"/>
      <c r="G403" s="30"/>
      <c r="H403" s="77"/>
      <c r="I403" s="77"/>
      <c r="J403" s="58"/>
      <c r="K403" s="58"/>
      <c r="L403" s="3"/>
    </row>
    <row r="404" spans="1:12" s="71" customFormat="1">
      <c r="A404" s="50"/>
      <c r="B404" s="30"/>
      <c r="C404" s="70"/>
      <c r="G404" s="30"/>
      <c r="H404" s="77"/>
      <c r="I404" s="77"/>
      <c r="J404" s="58"/>
      <c r="K404" s="58"/>
      <c r="L404" s="3"/>
    </row>
    <row r="405" spans="1:12" s="71" customFormat="1">
      <c r="A405" s="50"/>
      <c r="B405" s="30"/>
      <c r="C405" s="70"/>
      <c r="G405" s="30"/>
      <c r="H405" s="77"/>
      <c r="I405" s="77"/>
      <c r="J405" s="58"/>
      <c r="K405" s="58"/>
      <c r="L405" s="3"/>
    </row>
    <row r="406" spans="1:12" s="71" customFormat="1">
      <c r="A406" s="50"/>
      <c r="B406" s="30"/>
      <c r="C406" s="70"/>
      <c r="G406" s="30"/>
      <c r="H406" s="77"/>
      <c r="I406" s="77"/>
      <c r="J406" s="58"/>
      <c r="K406" s="58"/>
      <c r="L406" s="3"/>
    </row>
    <row r="407" spans="1:12" s="71" customFormat="1">
      <c r="A407" s="50"/>
      <c r="B407" s="30"/>
      <c r="C407" s="70"/>
      <c r="G407" s="30"/>
      <c r="H407" s="77"/>
      <c r="I407" s="77"/>
      <c r="J407" s="58"/>
      <c r="K407" s="58"/>
      <c r="L407" s="3"/>
    </row>
    <row r="408" spans="1:12" s="71" customFormat="1">
      <c r="A408" s="50"/>
      <c r="B408" s="30"/>
      <c r="C408" s="70"/>
      <c r="G408" s="30"/>
      <c r="H408" s="77"/>
      <c r="I408" s="77"/>
      <c r="J408" s="58"/>
      <c r="K408" s="58"/>
      <c r="L408" s="3"/>
    </row>
    <row r="409" spans="1:12" s="71" customFormat="1">
      <c r="A409" s="50"/>
      <c r="B409" s="30"/>
      <c r="C409" s="70"/>
      <c r="G409" s="30"/>
      <c r="H409" s="77"/>
      <c r="I409" s="77"/>
      <c r="J409" s="58"/>
      <c r="K409" s="58"/>
      <c r="L409" s="3"/>
    </row>
    <row r="410" spans="1:12" s="71" customFormat="1">
      <c r="A410" s="50"/>
      <c r="B410" s="30"/>
      <c r="C410" s="70"/>
      <c r="G410" s="30"/>
      <c r="H410" s="77"/>
      <c r="I410" s="77"/>
      <c r="J410" s="58"/>
      <c r="K410" s="58"/>
      <c r="L410" s="3"/>
    </row>
    <row r="411" spans="1:12" s="71" customFormat="1">
      <c r="A411" s="50"/>
      <c r="B411" s="30"/>
      <c r="C411" s="70"/>
      <c r="G411" s="30"/>
      <c r="H411" s="77"/>
      <c r="I411" s="77"/>
      <c r="J411" s="58"/>
      <c r="K411" s="58"/>
      <c r="L411" s="3"/>
    </row>
    <row r="412" spans="1:12" s="71" customFormat="1">
      <c r="A412" s="50"/>
      <c r="B412" s="30"/>
      <c r="C412" s="70"/>
      <c r="G412" s="30"/>
      <c r="H412" s="77"/>
      <c r="I412" s="77"/>
      <c r="J412" s="58"/>
      <c r="K412" s="58"/>
      <c r="L412" s="3"/>
    </row>
    <row r="413" spans="1:12" s="71" customFormat="1">
      <c r="A413" s="50"/>
      <c r="B413" s="30"/>
      <c r="C413" s="70"/>
      <c r="G413" s="30"/>
      <c r="H413" s="77"/>
      <c r="I413" s="77"/>
      <c r="J413" s="58"/>
      <c r="K413" s="58"/>
      <c r="L413" s="3"/>
    </row>
    <row r="414" spans="1:12" s="71" customFormat="1">
      <c r="A414" s="50"/>
      <c r="B414" s="30"/>
      <c r="C414" s="70"/>
      <c r="G414" s="30"/>
      <c r="H414" s="77"/>
      <c r="I414" s="77"/>
      <c r="J414" s="58"/>
      <c r="K414" s="58"/>
      <c r="L414" s="3"/>
    </row>
    <row r="415" spans="1:12" s="71" customFormat="1">
      <c r="A415" s="50"/>
      <c r="B415" s="30"/>
      <c r="C415" s="70"/>
      <c r="G415" s="30"/>
      <c r="H415" s="77"/>
      <c r="I415" s="77"/>
      <c r="J415" s="58"/>
      <c r="K415" s="58"/>
      <c r="L415" s="3"/>
    </row>
    <row r="416" spans="1:12" s="71" customFormat="1">
      <c r="A416" s="50"/>
      <c r="B416" s="30"/>
      <c r="C416" s="70"/>
      <c r="G416" s="30"/>
      <c r="H416" s="77"/>
      <c r="I416" s="77"/>
      <c r="J416" s="58"/>
      <c r="K416" s="58"/>
      <c r="L416" s="3"/>
    </row>
    <row r="417" spans="1:12" s="71" customFormat="1">
      <c r="A417" s="50"/>
      <c r="B417" s="30"/>
      <c r="C417" s="70"/>
      <c r="G417" s="30"/>
      <c r="H417" s="77"/>
      <c r="I417" s="77"/>
      <c r="J417" s="58"/>
      <c r="K417" s="58"/>
      <c r="L417" s="3"/>
    </row>
    <row r="418" spans="1:12" s="71" customFormat="1">
      <c r="A418" s="50"/>
      <c r="B418" s="30"/>
      <c r="C418" s="70"/>
      <c r="G418" s="30"/>
      <c r="H418" s="77"/>
      <c r="I418" s="77"/>
      <c r="J418" s="58"/>
      <c r="K418" s="58"/>
      <c r="L418" s="3"/>
    </row>
    <row r="419" spans="1:12" s="71" customFormat="1">
      <c r="A419" s="50"/>
      <c r="B419" s="30"/>
      <c r="C419" s="70"/>
      <c r="G419" s="30"/>
      <c r="H419" s="77"/>
      <c r="I419" s="77"/>
      <c r="J419" s="58"/>
      <c r="K419" s="58"/>
      <c r="L419" s="3"/>
    </row>
    <row r="420" spans="1:12" s="71" customFormat="1">
      <c r="A420" s="50"/>
      <c r="B420" s="30"/>
      <c r="C420" s="70"/>
      <c r="G420" s="30"/>
      <c r="H420" s="77"/>
      <c r="I420" s="77"/>
      <c r="J420" s="58"/>
      <c r="K420" s="58"/>
      <c r="L420" s="3"/>
    </row>
    <row r="421" spans="1:12" s="71" customFormat="1">
      <c r="A421" s="50"/>
      <c r="B421" s="30"/>
      <c r="C421" s="70"/>
      <c r="G421" s="30"/>
      <c r="H421" s="77"/>
      <c r="I421" s="77"/>
      <c r="J421" s="58"/>
      <c r="K421" s="58"/>
      <c r="L421" s="3"/>
    </row>
    <row r="422" spans="1:12" s="71" customFormat="1">
      <c r="A422" s="50"/>
      <c r="B422" s="30"/>
      <c r="C422" s="70"/>
      <c r="G422" s="30"/>
      <c r="H422" s="77"/>
      <c r="I422" s="77"/>
      <c r="J422" s="58"/>
      <c r="K422" s="58"/>
      <c r="L422" s="3"/>
    </row>
    <row r="423" spans="1:12" s="71" customFormat="1">
      <c r="A423" s="50"/>
      <c r="B423" s="30"/>
      <c r="C423" s="70"/>
      <c r="G423" s="30"/>
      <c r="H423" s="77"/>
      <c r="I423" s="77"/>
      <c r="J423" s="58"/>
      <c r="K423" s="58"/>
      <c r="L423" s="3"/>
    </row>
    <row r="424" spans="1:12" s="71" customFormat="1">
      <c r="A424" s="50"/>
      <c r="B424" s="30"/>
      <c r="C424" s="70"/>
      <c r="G424" s="30"/>
      <c r="H424" s="77"/>
      <c r="I424" s="77"/>
      <c r="J424" s="58"/>
      <c r="K424" s="58"/>
      <c r="L424" s="3"/>
    </row>
    <row r="425" spans="1:12" s="71" customFormat="1">
      <c r="A425" s="50"/>
      <c r="B425" s="30"/>
      <c r="C425" s="70"/>
      <c r="G425" s="30"/>
      <c r="H425" s="77"/>
      <c r="I425" s="77"/>
      <c r="J425" s="58"/>
      <c r="K425" s="58"/>
      <c r="L425" s="3"/>
    </row>
    <row r="426" spans="1:12" s="71" customFormat="1">
      <c r="A426" s="50"/>
      <c r="B426" s="30"/>
      <c r="C426" s="70"/>
      <c r="G426" s="30"/>
      <c r="H426" s="77"/>
      <c r="I426" s="77"/>
      <c r="J426" s="58"/>
      <c r="K426" s="58"/>
      <c r="L426" s="3"/>
    </row>
    <row r="427" spans="1:12" s="71" customFormat="1">
      <c r="A427" s="50"/>
      <c r="B427" s="30"/>
      <c r="C427" s="70"/>
      <c r="G427" s="30"/>
      <c r="H427" s="77"/>
      <c r="I427" s="77"/>
      <c r="J427" s="58"/>
      <c r="K427" s="58"/>
      <c r="L427" s="3"/>
    </row>
    <row r="428" spans="1:12" s="71" customFormat="1">
      <c r="A428" s="50"/>
      <c r="B428" s="30"/>
      <c r="C428" s="70"/>
      <c r="G428" s="30"/>
      <c r="H428" s="77"/>
      <c r="I428" s="77"/>
      <c r="J428" s="58"/>
      <c r="K428" s="58"/>
      <c r="L428" s="3"/>
    </row>
    <row r="429" spans="1:12" s="71" customFormat="1">
      <c r="A429" s="50"/>
      <c r="B429" s="30"/>
      <c r="C429" s="70"/>
      <c r="G429" s="30"/>
      <c r="H429" s="77"/>
      <c r="I429" s="77"/>
      <c r="J429" s="58"/>
      <c r="K429" s="58"/>
      <c r="L429" s="3"/>
    </row>
    <row r="430" spans="1:12" s="71" customFormat="1">
      <c r="A430" s="50"/>
      <c r="B430" s="30"/>
      <c r="C430" s="70"/>
      <c r="G430" s="30"/>
      <c r="H430" s="77"/>
      <c r="I430" s="77"/>
      <c r="J430" s="58"/>
      <c r="K430" s="58"/>
      <c r="L430" s="3"/>
    </row>
    <row r="431" spans="1:12" s="71" customFormat="1">
      <c r="A431" s="50"/>
      <c r="B431" s="30"/>
      <c r="C431" s="70"/>
      <c r="G431" s="30"/>
      <c r="H431" s="77"/>
      <c r="I431" s="77"/>
      <c r="J431" s="58"/>
      <c r="K431" s="58"/>
      <c r="L431" s="3"/>
    </row>
    <row r="432" spans="1:12" s="71" customFormat="1">
      <c r="A432" s="50"/>
      <c r="B432" s="30"/>
      <c r="C432" s="70"/>
      <c r="G432" s="30"/>
      <c r="H432" s="77"/>
      <c r="I432" s="77"/>
      <c r="J432" s="58"/>
      <c r="K432" s="58"/>
      <c r="L432" s="3"/>
    </row>
    <row r="433" spans="1:12" s="71" customFormat="1">
      <c r="A433" s="50"/>
      <c r="B433" s="30"/>
      <c r="C433" s="70"/>
      <c r="G433" s="30"/>
      <c r="H433" s="77"/>
      <c r="I433" s="77"/>
      <c r="J433" s="58"/>
      <c r="K433" s="58"/>
      <c r="L433" s="3"/>
    </row>
    <row r="434" spans="1:12" s="71" customFormat="1">
      <c r="A434" s="50"/>
      <c r="B434" s="30"/>
      <c r="C434" s="70"/>
      <c r="G434" s="30"/>
      <c r="H434" s="77"/>
      <c r="I434" s="77"/>
      <c r="J434" s="58"/>
      <c r="K434" s="58"/>
      <c r="L434" s="3"/>
    </row>
    <row r="435" spans="1:12" s="71" customFormat="1">
      <c r="A435" s="50"/>
      <c r="B435" s="30"/>
      <c r="C435" s="70"/>
      <c r="G435" s="30"/>
      <c r="H435" s="77"/>
      <c r="I435" s="77"/>
      <c r="J435" s="58"/>
      <c r="K435" s="58"/>
      <c r="L435" s="3"/>
    </row>
    <row r="436" spans="1:12" s="71" customFormat="1">
      <c r="A436" s="50"/>
      <c r="B436" s="30"/>
      <c r="C436" s="70"/>
      <c r="G436" s="30"/>
      <c r="H436" s="77"/>
      <c r="I436" s="77"/>
      <c r="J436" s="58"/>
      <c r="K436" s="58"/>
      <c r="L436" s="3"/>
    </row>
    <row r="437" spans="1:12" s="71" customFormat="1">
      <c r="A437" s="50"/>
      <c r="B437" s="30"/>
      <c r="C437" s="70"/>
      <c r="G437" s="30"/>
      <c r="H437" s="77"/>
      <c r="I437" s="77"/>
      <c r="J437" s="58"/>
      <c r="K437" s="58"/>
      <c r="L437" s="3"/>
    </row>
    <row r="438" spans="1:12" s="71" customFormat="1">
      <c r="A438" s="50"/>
      <c r="B438" s="30"/>
      <c r="C438" s="70"/>
      <c r="G438" s="30"/>
      <c r="H438" s="77"/>
      <c r="I438" s="77"/>
      <c r="J438" s="58"/>
      <c r="K438" s="58"/>
      <c r="L438" s="3"/>
    </row>
    <row r="439" spans="1:12" s="71" customFormat="1">
      <c r="A439" s="50"/>
      <c r="B439" s="30"/>
      <c r="C439" s="70"/>
      <c r="G439" s="30"/>
      <c r="H439" s="77"/>
      <c r="I439" s="77"/>
      <c r="J439" s="58"/>
      <c r="K439" s="58"/>
      <c r="L439" s="3"/>
    </row>
    <row r="440" spans="1:12" s="71" customFormat="1">
      <c r="A440" s="50"/>
      <c r="B440" s="30"/>
      <c r="C440" s="70"/>
      <c r="G440" s="30"/>
      <c r="H440" s="77"/>
      <c r="I440" s="77"/>
      <c r="J440" s="58"/>
      <c r="K440" s="58"/>
      <c r="L440" s="3"/>
    </row>
    <row r="441" spans="1:12" s="71" customFormat="1">
      <c r="A441" s="50"/>
      <c r="B441" s="30"/>
      <c r="C441" s="70"/>
      <c r="G441" s="30"/>
      <c r="H441" s="77"/>
      <c r="I441" s="77"/>
      <c r="J441" s="58"/>
      <c r="K441" s="58"/>
      <c r="L441" s="3"/>
    </row>
    <row r="442" spans="1:12" s="71" customFormat="1">
      <c r="A442" s="50"/>
      <c r="B442" s="30"/>
      <c r="C442" s="70"/>
      <c r="G442" s="30"/>
      <c r="H442" s="77"/>
      <c r="I442" s="77"/>
      <c r="J442" s="58"/>
      <c r="K442" s="58"/>
      <c r="L442" s="3"/>
    </row>
    <row r="443" spans="1:12" s="71" customFormat="1">
      <c r="A443" s="50"/>
      <c r="B443" s="30"/>
      <c r="C443" s="70"/>
      <c r="G443" s="30"/>
      <c r="H443" s="77"/>
      <c r="I443" s="77"/>
      <c r="J443" s="58"/>
      <c r="K443" s="58"/>
      <c r="L443" s="3"/>
    </row>
    <row r="444" spans="1:12" s="71" customFormat="1">
      <c r="A444" s="50"/>
      <c r="B444" s="30"/>
      <c r="C444" s="70"/>
      <c r="G444" s="30"/>
      <c r="H444" s="77"/>
      <c r="I444" s="77"/>
      <c r="J444" s="58"/>
      <c r="K444" s="58"/>
      <c r="L444" s="3"/>
    </row>
    <row r="445" spans="1:12" s="71" customFormat="1">
      <c r="A445" s="50"/>
      <c r="B445" s="30"/>
      <c r="C445" s="70"/>
      <c r="G445" s="30"/>
      <c r="H445" s="77"/>
      <c r="I445" s="77"/>
      <c r="J445" s="58"/>
      <c r="K445" s="58"/>
      <c r="L445" s="3"/>
    </row>
    <row r="446" spans="1:12" s="71" customFormat="1">
      <c r="A446" s="50"/>
      <c r="B446" s="30"/>
      <c r="C446" s="70"/>
      <c r="G446" s="30"/>
      <c r="H446" s="77"/>
      <c r="I446" s="77"/>
      <c r="J446" s="58"/>
      <c r="K446" s="58"/>
      <c r="L446" s="3"/>
    </row>
    <row r="447" spans="1:12" s="71" customFormat="1">
      <c r="A447" s="50"/>
      <c r="B447" s="30"/>
      <c r="C447" s="70"/>
      <c r="G447" s="30"/>
      <c r="H447" s="77"/>
      <c r="I447" s="77"/>
      <c r="J447" s="58"/>
      <c r="K447" s="58"/>
      <c r="L447" s="3"/>
    </row>
    <row r="448" spans="1:12" s="71" customFormat="1">
      <c r="A448" s="50"/>
      <c r="B448" s="30"/>
      <c r="C448" s="70"/>
      <c r="G448" s="30"/>
      <c r="H448" s="77"/>
      <c r="I448" s="77"/>
      <c r="J448" s="58"/>
      <c r="K448" s="58"/>
      <c r="L448" s="3"/>
    </row>
    <row r="449" spans="1:12" s="71" customFormat="1">
      <c r="A449" s="50"/>
      <c r="B449" s="30"/>
      <c r="C449" s="70"/>
      <c r="G449" s="30"/>
      <c r="H449" s="77"/>
      <c r="I449" s="77"/>
      <c r="J449" s="58"/>
      <c r="K449" s="58"/>
      <c r="L449" s="3"/>
    </row>
    <row r="450" spans="1:12" s="71" customFormat="1">
      <c r="A450" s="50"/>
      <c r="B450" s="30"/>
      <c r="C450" s="70"/>
      <c r="G450" s="30"/>
      <c r="H450" s="77"/>
      <c r="I450" s="77"/>
      <c r="J450" s="58"/>
      <c r="K450" s="58"/>
      <c r="L450" s="3"/>
    </row>
    <row r="451" spans="1:12" s="71" customFormat="1">
      <c r="A451" s="50"/>
      <c r="B451" s="30"/>
      <c r="C451" s="70"/>
      <c r="G451" s="30"/>
      <c r="H451" s="77"/>
      <c r="I451" s="77"/>
      <c r="J451" s="58"/>
      <c r="K451" s="58"/>
      <c r="L451" s="3"/>
    </row>
    <row r="452" spans="1:12" s="71" customFormat="1">
      <c r="A452" s="50"/>
      <c r="B452" s="30"/>
      <c r="C452" s="70"/>
      <c r="G452" s="30"/>
      <c r="H452" s="77"/>
      <c r="I452" s="77"/>
      <c r="J452" s="58"/>
      <c r="K452" s="58"/>
      <c r="L452" s="3"/>
    </row>
    <row r="453" spans="1:12" s="71" customFormat="1">
      <c r="A453" s="50"/>
      <c r="B453" s="30"/>
      <c r="C453" s="70"/>
      <c r="G453" s="30"/>
      <c r="H453" s="77"/>
      <c r="I453" s="77"/>
      <c r="J453" s="58"/>
      <c r="K453" s="58"/>
      <c r="L453" s="3"/>
    </row>
    <row r="454" spans="1:12" s="71" customFormat="1">
      <c r="A454" s="50"/>
      <c r="B454" s="30"/>
      <c r="C454" s="70"/>
      <c r="G454" s="30"/>
      <c r="H454" s="77"/>
      <c r="I454" s="77"/>
      <c r="J454" s="58"/>
      <c r="K454" s="58"/>
      <c r="L454" s="3"/>
    </row>
    <row r="455" spans="1:12" s="71" customFormat="1">
      <c r="A455" s="50"/>
      <c r="B455" s="30"/>
      <c r="C455" s="70"/>
      <c r="G455" s="30"/>
      <c r="H455" s="77"/>
      <c r="I455" s="77"/>
      <c r="J455" s="58"/>
      <c r="K455" s="58"/>
      <c r="L455" s="3"/>
    </row>
    <row r="456" spans="1:12" s="71" customFormat="1">
      <c r="A456" s="50"/>
      <c r="B456" s="30"/>
      <c r="C456" s="70"/>
      <c r="G456" s="30"/>
      <c r="H456" s="77"/>
      <c r="I456" s="77"/>
      <c r="J456" s="58"/>
      <c r="K456" s="58"/>
      <c r="L456" s="3"/>
    </row>
    <row r="457" spans="1:12" s="71" customFormat="1">
      <c r="A457" s="50"/>
      <c r="B457" s="30"/>
      <c r="C457" s="70"/>
      <c r="G457" s="30"/>
      <c r="H457" s="77"/>
      <c r="I457" s="77"/>
      <c r="J457" s="58"/>
      <c r="K457" s="58"/>
      <c r="L457" s="3"/>
    </row>
    <row r="458" spans="1:12" s="71" customFormat="1">
      <c r="A458" s="50"/>
      <c r="B458" s="30"/>
      <c r="C458" s="70"/>
      <c r="G458" s="30"/>
      <c r="H458" s="77"/>
      <c r="I458" s="77"/>
      <c r="J458" s="58"/>
      <c r="K458" s="58"/>
      <c r="L458" s="3"/>
    </row>
    <row r="459" spans="1:12" s="71" customFormat="1">
      <c r="A459" s="50"/>
      <c r="B459" s="30"/>
      <c r="C459" s="70"/>
      <c r="G459" s="30"/>
      <c r="H459" s="77"/>
      <c r="I459" s="77"/>
      <c r="J459" s="58"/>
      <c r="K459" s="58"/>
      <c r="L459" s="3"/>
    </row>
    <row r="460" spans="1:12" s="71" customFormat="1">
      <c r="A460" s="50"/>
      <c r="B460" s="30"/>
      <c r="C460" s="70"/>
      <c r="G460" s="30"/>
      <c r="H460" s="77"/>
      <c r="I460" s="77"/>
      <c r="J460" s="58"/>
      <c r="K460" s="58"/>
      <c r="L460" s="3"/>
    </row>
    <row r="461" spans="1:12" s="71" customFormat="1">
      <c r="A461" s="50"/>
      <c r="B461" s="30"/>
      <c r="C461" s="70"/>
      <c r="G461" s="30"/>
      <c r="H461" s="77"/>
      <c r="I461" s="77"/>
      <c r="J461" s="58"/>
      <c r="K461" s="58"/>
      <c r="L461" s="3"/>
    </row>
    <row r="462" spans="1:12" s="71" customFormat="1">
      <c r="A462" s="50"/>
      <c r="B462" s="30"/>
      <c r="C462" s="70"/>
      <c r="G462" s="30"/>
      <c r="H462" s="77"/>
      <c r="I462" s="77"/>
      <c r="J462" s="58"/>
      <c r="K462" s="58"/>
      <c r="L462" s="3"/>
    </row>
    <row r="463" spans="1:12" s="71" customFormat="1">
      <c r="A463" s="50"/>
      <c r="B463" s="30"/>
      <c r="C463" s="70"/>
      <c r="G463" s="30"/>
      <c r="H463" s="77"/>
      <c r="I463" s="77"/>
      <c r="J463" s="58"/>
      <c r="K463" s="58"/>
      <c r="L463" s="3"/>
    </row>
    <row r="464" spans="1:12" s="71" customFormat="1">
      <c r="A464" s="50"/>
      <c r="B464" s="30"/>
      <c r="C464" s="70"/>
      <c r="G464" s="30"/>
      <c r="H464" s="77"/>
      <c r="I464" s="77"/>
      <c r="J464" s="58"/>
      <c r="K464" s="58"/>
      <c r="L464" s="3"/>
    </row>
    <row r="465" spans="1:12" s="71" customFormat="1">
      <c r="A465" s="50"/>
      <c r="B465" s="30"/>
      <c r="C465" s="70"/>
      <c r="G465" s="30"/>
      <c r="H465" s="77"/>
      <c r="I465" s="77"/>
      <c r="J465" s="58"/>
      <c r="K465" s="58"/>
      <c r="L465" s="3"/>
    </row>
    <row r="466" spans="1:12" s="71" customFormat="1">
      <c r="A466" s="50"/>
      <c r="B466" s="30"/>
      <c r="C466" s="70"/>
      <c r="G466" s="30"/>
      <c r="H466" s="77"/>
      <c r="I466" s="77"/>
      <c r="J466" s="58"/>
      <c r="K466" s="58"/>
      <c r="L466" s="3"/>
    </row>
    <row r="467" spans="1:12" s="71" customFormat="1">
      <c r="A467" s="50"/>
      <c r="B467" s="30"/>
      <c r="C467" s="70"/>
      <c r="G467" s="30"/>
      <c r="H467" s="77"/>
      <c r="I467" s="77"/>
      <c r="J467" s="58"/>
      <c r="K467" s="58"/>
      <c r="L467" s="3"/>
    </row>
    <row r="468" spans="1:12" s="71" customFormat="1">
      <c r="A468" s="50"/>
      <c r="B468" s="30"/>
      <c r="C468" s="70"/>
      <c r="G468" s="30"/>
      <c r="H468" s="77"/>
      <c r="I468" s="77"/>
      <c r="J468" s="58"/>
      <c r="K468" s="58"/>
      <c r="L468" s="3"/>
    </row>
    <row r="469" spans="1:12" s="71" customFormat="1">
      <c r="A469" s="50"/>
      <c r="B469" s="30"/>
      <c r="C469" s="70"/>
      <c r="G469" s="30"/>
      <c r="H469" s="77"/>
      <c r="I469" s="77"/>
      <c r="J469" s="58"/>
      <c r="K469" s="58"/>
      <c r="L469" s="3"/>
    </row>
    <row r="470" spans="1:12" s="71" customFormat="1">
      <c r="A470" s="50"/>
      <c r="B470" s="30"/>
      <c r="C470" s="70"/>
      <c r="G470" s="30"/>
      <c r="H470" s="77"/>
      <c r="I470" s="77"/>
      <c r="J470" s="58"/>
      <c r="K470" s="58"/>
      <c r="L470" s="3"/>
    </row>
    <row r="471" spans="1:12" s="71" customFormat="1">
      <c r="A471" s="50"/>
      <c r="B471" s="30"/>
      <c r="C471" s="70"/>
      <c r="G471" s="30"/>
      <c r="H471" s="77"/>
      <c r="I471" s="77"/>
      <c r="J471" s="58"/>
      <c r="K471" s="58"/>
      <c r="L471" s="3"/>
    </row>
    <row r="472" spans="1:12" s="71" customFormat="1">
      <c r="A472" s="50"/>
      <c r="B472" s="30"/>
      <c r="C472" s="70"/>
      <c r="G472" s="30"/>
      <c r="H472" s="77"/>
      <c r="I472" s="77"/>
      <c r="J472" s="58"/>
      <c r="K472" s="58"/>
      <c r="L472" s="3"/>
    </row>
    <row r="473" spans="1:12" s="71" customFormat="1">
      <c r="A473" s="50"/>
      <c r="B473" s="30"/>
      <c r="C473" s="70"/>
      <c r="G473" s="30"/>
      <c r="H473" s="77"/>
      <c r="I473" s="77"/>
      <c r="J473" s="58"/>
      <c r="K473" s="58"/>
      <c r="L473" s="3"/>
    </row>
    <row r="474" spans="1:12" s="71" customFormat="1">
      <c r="A474" s="50"/>
      <c r="B474" s="30"/>
      <c r="C474" s="70"/>
      <c r="G474" s="30"/>
      <c r="H474" s="77"/>
      <c r="I474" s="77"/>
      <c r="J474" s="58"/>
      <c r="K474" s="58"/>
      <c r="L474" s="3"/>
    </row>
    <row r="475" spans="1:12" s="71" customFormat="1">
      <c r="A475" s="50"/>
      <c r="B475" s="30"/>
      <c r="C475" s="70"/>
      <c r="G475" s="30"/>
      <c r="H475" s="77"/>
      <c r="I475" s="77"/>
      <c r="J475" s="58"/>
      <c r="K475" s="58"/>
      <c r="L475" s="3"/>
    </row>
    <row r="476" spans="1:12" s="71" customFormat="1">
      <c r="A476" s="50"/>
      <c r="B476" s="30"/>
      <c r="C476" s="70"/>
      <c r="G476" s="30"/>
      <c r="H476" s="77"/>
      <c r="I476" s="77"/>
      <c r="J476" s="58"/>
      <c r="K476" s="58"/>
      <c r="L476" s="3"/>
    </row>
    <row r="477" spans="1:12" s="71" customFormat="1">
      <c r="A477" s="50"/>
      <c r="B477" s="30"/>
      <c r="C477" s="70"/>
      <c r="G477" s="30"/>
      <c r="H477" s="77"/>
      <c r="I477" s="77"/>
      <c r="J477" s="58"/>
      <c r="K477" s="58"/>
      <c r="L477" s="3"/>
    </row>
    <row r="478" spans="1:12" s="71" customFormat="1">
      <c r="A478" s="50"/>
      <c r="B478" s="30"/>
      <c r="C478" s="70"/>
      <c r="G478" s="30"/>
      <c r="H478" s="77"/>
      <c r="I478" s="77"/>
      <c r="J478" s="58"/>
      <c r="K478" s="58"/>
      <c r="L478" s="3"/>
    </row>
    <row r="479" spans="1:12" s="71" customFormat="1">
      <c r="A479" s="50"/>
      <c r="B479" s="30"/>
      <c r="C479" s="70"/>
      <c r="G479" s="30"/>
      <c r="H479" s="77"/>
      <c r="I479" s="77"/>
      <c r="J479" s="58"/>
      <c r="K479" s="58"/>
      <c r="L479" s="3"/>
    </row>
    <row r="480" spans="1:12" s="71" customFormat="1">
      <c r="A480" s="50"/>
      <c r="B480" s="30"/>
      <c r="C480" s="70"/>
      <c r="G480" s="30"/>
      <c r="H480" s="77"/>
      <c r="I480" s="77"/>
      <c r="J480" s="58"/>
      <c r="K480" s="58"/>
      <c r="L480" s="3"/>
    </row>
    <row r="481" spans="1:12" s="71" customFormat="1">
      <c r="A481" s="50"/>
      <c r="B481" s="30"/>
      <c r="C481" s="70"/>
      <c r="G481" s="30"/>
      <c r="H481" s="77"/>
      <c r="I481" s="77"/>
      <c r="J481" s="58"/>
      <c r="K481" s="58"/>
      <c r="L481" s="3"/>
    </row>
    <row r="482" spans="1:12" s="71" customFormat="1">
      <c r="A482" s="50"/>
      <c r="B482" s="30"/>
      <c r="C482" s="70"/>
      <c r="G482" s="30"/>
      <c r="H482" s="77"/>
      <c r="I482" s="77"/>
      <c r="J482" s="58"/>
      <c r="K482" s="58"/>
      <c r="L482" s="3"/>
    </row>
    <row r="483" spans="1:12" s="71" customFormat="1">
      <c r="A483" s="50"/>
      <c r="B483" s="30"/>
      <c r="C483" s="70"/>
      <c r="G483" s="30"/>
      <c r="H483" s="77"/>
      <c r="I483" s="77"/>
      <c r="J483" s="58"/>
      <c r="K483" s="58"/>
      <c r="L483" s="3"/>
    </row>
    <row r="484" spans="1:12" s="71" customFormat="1">
      <c r="A484" s="50"/>
      <c r="B484" s="30"/>
      <c r="C484" s="70"/>
      <c r="G484" s="30"/>
      <c r="H484" s="77"/>
      <c r="I484" s="77"/>
      <c r="J484" s="58"/>
      <c r="K484" s="58"/>
      <c r="L484" s="3"/>
    </row>
    <row r="485" spans="1:12" s="71" customFormat="1">
      <c r="A485" s="50"/>
      <c r="B485" s="30"/>
      <c r="C485" s="70"/>
      <c r="G485" s="30"/>
      <c r="H485" s="77"/>
      <c r="I485" s="77"/>
      <c r="J485" s="58"/>
      <c r="K485" s="58"/>
      <c r="L485" s="3"/>
    </row>
    <row r="486" spans="1:12" s="71" customFormat="1">
      <c r="A486" s="50"/>
      <c r="B486" s="30"/>
      <c r="C486" s="70"/>
      <c r="G486" s="30"/>
      <c r="H486" s="77"/>
      <c r="I486" s="77"/>
      <c r="J486" s="58"/>
      <c r="K486" s="58"/>
      <c r="L486" s="3"/>
    </row>
    <row r="487" spans="1:12" s="71" customFormat="1">
      <c r="A487" s="50"/>
      <c r="B487" s="30"/>
      <c r="C487" s="70"/>
      <c r="G487" s="30"/>
      <c r="H487" s="77"/>
      <c r="I487" s="77"/>
      <c r="J487" s="58"/>
      <c r="K487" s="58"/>
      <c r="L487" s="3"/>
    </row>
    <row r="488" spans="1:12" s="71" customFormat="1">
      <c r="A488" s="50"/>
      <c r="B488" s="30"/>
      <c r="C488" s="70"/>
      <c r="G488" s="30"/>
      <c r="H488" s="77"/>
      <c r="I488" s="77"/>
      <c r="J488" s="58"/>
      <c r="K488" s="58"/>
      <c r="L488" s="3"/>
    </row>
    <row r="489" spans="1:12" s="71" customFormat="1">
      <c r="A489" s="50"/>
      <c r="B489" s="30"/>
      <c r="C489" s="70"/>
      <c r="G489" s="30"/>
      <c r="H489" s="77"/>
      <c r="I489" s="77"/>
      <c r="J489" s="58"/>
      <c r="K489" s="58"/>
      <c r="L489" s="3"/>
    </row>
    <row r="490" spans="1:12" s="71" customFormat="1">
      <c r="A490" s="50"/>
      <c r="B490" s="30"/>
      <c r="C490" s="70"/>
      <c r="G490" s="30"/>
      <c r="H490" s="77"/>
      <c r="I490" s="77"/>
      <c r="J490" s="58"/>
      <c r="K490" s="58"/>
      <c r="L490" s="3"/>
    </row>
    <row r="491" spans="1:12" s="71" customFormat="1">
      <c r="A491" s="50"/>
      <c r="B491" s="30"/>
      <c r="C491" s="70"/>
      <c r="G491" s="30"/>
      <c r="H491" s="77"/>
      <c r="I491" s="77"/>
      <c r="J491" s="58"/>
      <c r="K491" s="58"/>
      <c r="L491" s="3"/>
    </row>
    <row r="492" spans="1:12" s="71" customFormat="1">
      <c r="A492" s="50"/>
      <c r="B492" s="30"/>
      <c r="C492" s="70"/>
      <c r="G492" s="30"/>
      <c r="H492" s="77"/>
      <c r="I492" s="77"/>
      <c r="J492" s="58"/>
      <c r="K492" s="58"/>
      <c r="L492" s="3"/>
    </row>
    <row r="493" spans="1:12" s="71" customFormat="1">
      <c r="A493" s="50"/>
      <c r="B493" s="30"/>
      <c r="C493" s="70"/>
      <c r="G493" s="30"/>
      <c r="H493" s="77"/>
      <c r="I493" s="77"/>
      <c r="J493" s="58"/>
      <c r="K493" s="58"/>
      <c r="L493" s="3"/>
    </row>
    <row r="494" spans="1:12" s="71" customFormat="1">
      <c r="A494" s="50"/>
      <c r="B494" s="30"/>
      <c r="C494" s="70"/>
      <c r="G494" s="30"/>
      <c r="H494" s="77"/>
      <c r="I494" s="77"/>
      <c r="J494" s="58"/>
      <c r="K494" s="58"/>
      <c r="L494" s="3"/>
    </row>
    <row r="495" spans="1:12" s="71" customFormat="1">
      <c r="A495" s="50"/>
      <c r="B495" s="30"/>
      <c r="C495" s="70"/>
      <c r="G495" s="30"/>
      <c r="H495" s="77"/>
      <c r="I495" s="77"/>
      <c r="J495" s="58"/>
      <c r="K495" s="58"/>
      <c r="L495" s="3"/>
    </row>
    <row r="496" spans="1:12" s="71" customFormat="1">
      <c r="A496" s="50"/>
      <c r="B496" s="30"/>
      <c r="C496" s="70"/>
      <c r="G496" s="30"/>
      <c r="H496" s="77"/>
      <c r="I496" s="77"/>
      <c r="J496" s="58"/>
      <c r="K496" s="58"/>
      <c r="L496" s="3"/>
    </row>
    <row r="497" spans="1:12" s="71" customFormat="1">
      <c r="A497" s="50"/>
      <c r="B497" s="30"/>
      <c r="C497" s="70"/>
      <c r="G497" s="30"/>
      <c r="H497" s="77"/>
      <c r="I497" s="77"/>
      <c r="J497" s="58"/>
      <c r="K497" s="58"/>
      <c r="L497" s="3"/>
    </row>
    <row r="498" spans="1:12" s="71" customFormat="1">
      <c r="A498" s="50"/>
      <c r="B498" s="30"/>
      <c r="C498" s="70"/>
      <c r="G498" s="30"/>
      <c r="H498" s="77"/>
      <c r="I498" s="77"/>
      <c r="J498" s="58"/>
      <c r="K498" s="58"/>
      <c r="L498" s="3"/>
    </row>
    <row r="499" spans="1:12" s="71" customFormat="1">
      <c r="A499" s="50"/>
      <c r="B499" s="30"/>
      <c r="C499" s="70"/>
      <c r="G499" s="30"/>
      <c r="H499" s="77"/>
      <c r="I499" s="77"/>
      <c r="J499" s="58"/>
      <c r="K499" s="58"/>
      <c r="L499" s="3"/>
    </row>
    <row r="500" spans="1:12" s="71" customFormat="1">
      <c r="A500" s="50"/>
      <c r="B500" s="30"/>
      <c r="C500" s="70"/>
      <c r="G500" s="30"/>
      <c r="H500" s="77"/>
      <c r="I500" s="77"/>
      <c r="J500" s="58"/>
      <c r="K500" s="58"/>
      <c r="L500" s="3"/>
    </row>
    <row r="501" spans="1:12" s="71" customFormat="1">
      <c r="A501" s="50"/>
      <c r="B501" s="30"/>
      <c r="C501" s="70"/>
      <c r="G501" s="30"/>
      <c r="H501" s="77"/>
      <c r="I501" s="77"/>
      <c r="J501" s="58"/>
      <c r="K501" s="58"/>
      <c r="L501" s="3"/>
    </row>
    <row r="502" spans="1:12" s="71" customFormat="1">
      <c r="A502" s="50"/>
      <c r="B502" s="30"/>
      <c r="C502" s="70"/>
      <c r="G502" s="30"/>
      <c r="H502" s="77"/>
      <c r="I502" s="77"/>
      <c r="J502" s="58"/>
      <c r="K502" s="58"/>
      <c r="L502" s="3"/>
    </row>
    <row r="503" spans="1:12" s="71" customFormat="1">
      <c r="A503" s="50"/>
      <c r="B503" s="30"/>
      <c r="C503" s="70"/>
      <c r="G503" s="30"/>
      <c r="H503" s="77"/>
      <c r="I503" s="77"/>
      <c r="J503" s="58"/>
      <c r="K503" s="58"/>
      <c r="L503" s="3"/>
    </row>
    <row r="504" spans="1:12" s="71" customFormat="1">
      <c r="A504" s="50"/>
      <c r="B504" s="30"/>
      <c r="C504" s="70"/>
      <c r="G504" s="30"/>
      <c r="H504" s="77"/>
      <c r="I504" s="77"/>
      <c r="J504" s="58"/>
      <c r="K504" s="58"/>
      <c r="L504" s="3"/>
    </row>
    <row r="505" spans="1:12" s="71" customFormat="1">
      <c r="A505" s="50"/>
      <c r="B505" s="30"/>
      <c r="C505" s="70"/>
      <c r="G505" s="30"/>
      <c r="H505" s="77"/>
      <c r="I505" s="77"/>
      <c r="J505" s="58"/>
      <c r="K505" s="58"/>
      <c r="L505" s="3"/>
    </row>
    <row r="506" spans="1:12" s="71" customFormat="1">
      <c r="A506" s="50"/>
      <c r="B506" s="30"/>
      <c r="C506" s="70"/>
      <c r="G506" s="30"/>
      <c r="H506" s="77"/>
      <c r="I506" s="77"/>
      <c r="J506" s="58"/>
      <c r="K506" s="58"/>
      <c r="L506" s="3"/>
    </row>
    <row r="507" spans="1:12" s="71" customFormat="1">
      <c r="A507" s="50"/>
      <c r="B507" s="30"/>
      <c r="C507" s="70"/>
      <c r="G507" s="30"/>
      <c r="H507" s="77"/>
      <c r="I507" s="77"/>
      <c r="J507" s="58"/>
      <c r="K507" s="58"/>
      <c r="L507" s="3"/>
    </row>
    <row r="508" spans="1:12" s="71" customFormat="1">
      <c r="A508" s="50"/>
      <c r="B508" s="30"/>
      <c r="C508" s="70"/>
      <c r="G508" s="30"/>
      <c r="H508" s="77"/>
      <c r="I508" s="77"/>
      <c r="J508" s="58"/>
      <c r="K508" s="58"/>
      <c r="L508" s="3"/>
    </row>
    <row r="509" spans="1:12" s="71" customFormat="1">
      <c r="A509" s="50"/>
      <c r="B509" s="30"/>
      <c r="C509" s="70"/>
      <c r="G509" s="30"/>
      <c r="H509" s="77"/>
      <c r="I509" s="77"/>
      <c r="J509" s="58"/>
      <c r="K509" s="58"/>
      <c r="L509" s="3"/>
    </row>
    <row r="510" spans="1:12" s="71" customFormat="1">
      <c r="A510" s="50"/>
      <c r="B510" s="30"/>
      <c r="C510" s="70"/>
      <c r="G510" s="30"/>
      <c r="H510" s="77"/>
      <c r="I510" s="77"/>
      <c r="J510" s="58"/>
      <c r="K510" s="58"/>
      <c r="L510" s="3"/>
    </row>
    <row r="511" spans="1:12" s="71" customFormat="1">
      <c r="A511" s="50"/>
      <c r="B511" s="30"/>
      <c r="C511" s="70"/>
      <c r="G511" s="30"/>
      <c r="H511" s="77"/>
      <c r="I511" s="77"/>
      <c r="J511" s="58"/>
      <c r="K511" s="58"/>
      <c r="L511" s="3"/>
    </row>
    <row r="512" spans="1:12" s="71" customFormat="1">
      <c r="A512" s="50"/>
      <c r="B512" s="30"/>
      <c r="C512" s="70"/>
      <c r="G512" s="30"/>
      <c r="H512" s="77"/>
      <c r="I512" s="77"/>
      <c r="J512" s="58"/>
      <c r="K512" s="58"/>
      <c r="L512" s="3"/>
    </row>
    <row r="513" spans="1:12" s="71" customFormat="1">
      <c r="A513" s="50"/>
      <c r="B513" s="30"/>
      <c r="C513" s="70"/>
      <c r="G513" s="30"/>
      <c r="H513" s="77"/>
      <c r="I513" s="77"/>
      <c r="J513" s="58"/>
      <c r="K513" s="58"/>
      <c r="L513" s="3"/>
    </row>
    <row r="514" spans="1:12" s="71" customFormat="1">
      <c r="A514" s="50"/>
      <c r="B514" s="30"/>
      <c r="C514" s="70"/>
      <c r="G514" s="30"/>
      <c r="H514" s="77"/>
      <c r="I514" s="77"/>
      <c r="J514" s="58"/>
      <c r="K514" s="58"/>
      <c r="L514" s="3"/>
    </row>
    <row r="515" spans="1:12" s="71" customFormat="1">
      <c r="A515" s="50"/>
      <c r="B515" s="30"/>
      <c r="C515" s="70"/>
      <c r="G515" s="30"/>
      <c r="H515" s="77"/>
      <c r="I515" s="77"/>
      <c r="J515" s="58"/>
      <c r="K515" s="58"/>
      <c r="L515" s="3"/>
    </row>
    <row r="516" spans="1:12" s="71" customFormat="1">
      <c r="A516" s="50"/>
      <c r="B516" s="30"/>
      <c r="C516" s="70"/>
      <c r="G516" s="30"/>
      <c r="H516" s="77"/>
      <c r="I516" s="77"/>
      <c r="J516" s="58"/>
      <c r="K516" s="58"/>
      <c r="L516" s="3"/>
    </row>
    <row r="517" spans="1:12" s="71" customFormat="1">
      <c r="A517" s="50"/>
      <c r="B517" s="30"/>
      <c r="C517" s="70"/>
      <c r="G517" s="30"/>
      <c r="H517" s="77"/>
      <c r="I517" s="77"/>
      <c r="J517" s="58"/>
      <c r="K517" s="58"/>
      <c r="L517" s="3"/>
    </row>
    <row r="518" spans="1:12" s="71" customFormat="1">
      <c r="A518" s="50"/>
      <c r="B518" s="30"/>
      <c r="C518" s="70"/>
      <c r="G518" s="30"/>
      <c r="H518" s="77"/>
      <c r="I518" s="77"/>
      <c r="J518" s="58"/>
      <c r="K518" s="58"/>
      <c r="L518" s="3"/>
    </row>
    <row r="519" spans="1:12" s="71" customFormat="1">
      <c r="A519" s="50"/>
      <c r="B519" s="30"/>
      <c r="C519" s="70"/>
      <c r="G519" s="30"/>
      <c r="H519" s="77"/>
      <c r="I519" s="77"/>
      <c r="J519" s="58"/>
      <c r="K519" s="58"/>
      <c r="L519" s="3"/>
    </row>
    <row r="520" spans="1:12" s="71" customFormat="1">
      <c r="A520" s="50"/>
      <c r="B520" s="30"/>
      <c r="C520" s="70"/>
      <c r="G520" s="30"/>
      <c r="H520" s="77"/>
      <c r="I520" s="77"/>
      <c r="J520" s="58"/>
      <c r="K520" s="58"/>
      <c r="L520" s="3"/>
    </row>
    <row r="521" spans="1:12" s="71" customFormat="1">
      <c r="A521" s="50"/>
      <c r="B521" s="30"/>
      <c r="C521" s="70"/>
      <c r="G521" s="30"/>
      <c r="H521" s="77"/>
      <c r="I521" s="77"/>
      <c r="J521" s="58"/>
      <c r="K521" s="58"/>
      <c r="L521" s="3"/>
    </row>
    <row r="522" spans="1:12" s="71" customFormat="1">
      <c r="A522" s="50"/>
      <c r="B522" s="30"/>
      <c r="C522" s="70"/>
      <c r="G522" s="30"/>
      <c r="H522" s="77"/>
      <c r="I522" s="77"/>
      <c r="J522" s="58"/>
      <c r="K522" s="58"/>
      <c r="L522" s="3"/>
    </row>
    <row r="523" spans="1:12" s="71" customFormat="1">
      <c r="A523" s="50"/>
      <c r="B523" s="30"/>
      <c r="C523" s="70"/>
      <c r="G523" s="30"/>
      <c r="H523" s="77"/>
      <c r="I523" s="77"/>
      <c r="J523" s="58"/>
      <c r="K523" s="58"/>
      <c r="L523" s="3"/>
    </row>
    <row r="524" spans="1:12" s="71" customFormat="1">
      <c r="A524" s="50"/>
      <c r="B524" s="30"/>
      <c r="C524" s="70"/>
      <c r="G524" s="30"/>
      <c r="H524" s="77"/>
      <c r="I524" s="77"/>
      <c r="J524" s="58"/>
      <c r="K524" s="58"/>
      <c r="L524" s="3"/>
    </row>
    <row r="525" spans="1:12" s="71" customFormat="1">
      <c r="A525" s="50"/>
      <c r="B525" s="30"/>
      <c r="C525" s="70"/>
      <c r="G525" s="30"/>
      <c r="H525" s="77"/>
      <c r="I525" s="77"/>
      <c r="J525" s="58"/>
      <c r="K525" s="58"/>
      <c r="L525" s="3"/>
    </row>
    <row r="526" spans="1:12" s="71" customFormat="1">
      <c r="A526" s="50"/>
      <c r="B526" s="30"/>
      <c r="C526" s="70"/>
      <c r="G526" s="30"/>
      <c r="H526" s="77"/>
      <c r="I526" s="77"/>
      <c r="J526" s="58"/>
      <c r="K526" s="58"/>
      <c r="L526" s="3"/>
    </row>
    <row r="527" spans="1:12" s="71" customFormat="1">
      <c r="A527" s="50"/>
      <c r="B527" s="30"/>
      <c r="C527" s="70"/>
      <c r="G527" s="30"/>
      <c r="H527" s="77"/>
      <c r="I527" s="77"/>
      <c r="J527" s="58"/>
      <c r="K527" s="58"/>
      <c r="L527" s="3"/>
    </row>
    <row r="528" spans="1:12" s="71" customFormat="1">
      <c r="A528" s="50"/>
      <c r="B528" s="30"/>
      <c r="C528" s="70"/>
      <c r="G528" s="30"/>
      <c r="H528" s="77"/>
      <c r="I528" s="77"/>
      <c r="J528" s="58"/>
      <c r="K528" s="58"/>
      <c r="L528" s="3"/>
    </row>
    <row r="529" spans="1:12" s="71" customFormat="1">
      <c r="A529" s="50"/>
      <c r="B529" s="30"/>
      <c r="C529" s="70"/>
      <c r="G529" s="30"/>
      <c r="H529" s="77"/>
      <c r="I529" s="77"/>
      <c r="J529" s="58"/>
      <c r="K529" s="58"/>
      <c r="L529" s="3"/>
    </row>
    <row r="530" spans="1:12" s="71" customFormat="1">
      <c r="A530" s="50"/>
      <c r="B530" s="30"/>
      <c r="C530" s="70"/>
      <c r="G530" s="30"/>
      <c r="H530" s="77"/>
      <c r="I530" s="77"/>
      <c r="J530" s="58"/>
      <c r="K530" s="58"/>
      <c r="L530" s="3"/>
    </row>
    <row r="531" spans="1:12" s="71" customFormat="1">
      <c r="A531" s="50"/>
      <c r="B531" s="30"/>
      <c r="C531" s="70"/>
      <c r="G531" s="30"/>
      <c r="H531" s="77"/>
      <c r="I531" s="77"/>
      <c r="J531" s="58"/>
      <c r="K531" s="58"/>
      <c r="L531" s="3"/>
    </row>
    <row r="532" spans="1:12" s="71" customFormat="1">
      <c r="A532" s="50"/>
      <c r="B532" s="30"/>
      <c r="C532" s="70"/>
      <c r="G532" s="30"/>
      <c r="H532" s="77"/>
      <c r="I532" s="77"/>
      <c r="J532" s="58"/>
      <c r="K532" s="58"/>
      <c r="L532" s="3"/>
    </row>
    <row r="533" spans="1:12" s="71" customFormat="1">
      <c r="A533" s="87"/>
      <c r="B533" s="30"/>
      <c r="C533" s="70"/>
      <c r="G533" s="30"/>
      <c r="H533" s="77"/>
      <c r="I533" s="77"/>
      <c r="J533" s="58"/>
      <c r="K533" s="58"/>
      <c r="L533" s="3"/>
    </row>
    <row r="534" spans="1:12" s="71" customFormat="1">
      <c r="A534" s="87"/>
      <c r="B534" s="30"/>
      <c r="C534" s="70"/>
      <c r="G534" s="30"/>
      <c r="H534" s="77"/>
      <c r="I534" s="77"/>
      <c r="J534" s="58"/>
      <c r="K534" s="58"/>
      <c r="L534" s="3"/>
    </row>
    <row r="535" spans="1:12" s="71" customFormat="1">
      <c r="A535" s="87"/>
      <c r="B535" s="30"/>
      <c r="C535" s="70"/>
      <c r="G535" s="30"/>
      <c r="H535" s="77"/>
      <c r="I535" s="77"/>
      <c r="J535" s="58"/>
      <c r="K535" s="58"/>
      <c r="L535" s="3"/>
    </row>
    <row r="536" spans="1:12" s="71" customFormat="1">
      <c r="A536" s="87"/>
      <c r="B536" s="30"/>
      <c r="C536" s="70"/>
      <c r="G536" s="30"/>
      <c r="H536" s="77"/>
      <c r="I536" s="77"/>
      <c r="J536" s="58"/>
      <c r="K536" s="58"/>
      <c r="L536" s="3"/>
    </row>
    <row r="537" spans="1:12" s="71" customFormat="1">
      <c r="A537" s="87"/>
      <c r="B537" s="30"/>
      <c r="C537" s="70"/>
      <c r="G537" s="30"/>
      <c r="H537" s="77"/>
      <c r="I537" s="77"/>
      <c r="J537" s="58"/>
      <c r="K537" s="58"/>
      <c r="L537" s="3"/>
    </row>
    <row r="538" spans="1:12" s="71" customFormat="1">
      <c r="A538" s="87"/>
      <c r="B538" s="30"/>
      <c r="C538" s="70"/>
      <c r="G538" s="30"/>
      <c r="H538" s="77"/>
      <c r="I538" s="77"/>
      <c r="J538" s="58"/>
      <c r="K538" s="58"/>
      <c r="L538" s="3"/>
    </row>
    <row r="539" spans="1:12" s="71" customFormat="1">
      <c r="A539" s="87"/>
      <c r="B539" s="30"/>
      <c r="C539" s="70"/>
      <c r="G539" s="30"/>
      <c r="H539" s="77"/>
      <c r="I539" s="77"/>
      <c r="J539" s="58"/>
      <c r="K539" s="58"/>
      <c r="L539" s="3"/>
    </row>
    <row r="540" spans="1:12" s="71" customFormat="1">
      <c r="A540" s="87"/>
      <c r="B540" s="30"/>
      <c r="C540" s="70"/>
      <c r="G540" s="30"/>
      <c r="H540" s="77"/>
      <c r="I540" s="77"/>
      <c r="J540" s="58"/>
      <c r="K540" s="58"/>
      <c r="L540" s="3"/>
    </row>
    <row r="541" spans="1:12" s="71" customFormat="1">
      <c r="A541" s="87"/>
      <c r="B541" s="30"/>
      <c r="C541" s="70"/>
      <c r="G541" s="30"/>
      <c r="H541" s="77"/>
      <c r="I541" s="77"/>
      <c r="J541" s="58"/>
      <c r="K541" s="58"/>
      <c r="L541" s="3"/>
    </row>
    <row r="542" spans="1:12" s="71" customFormat="1">
      <c r="A542" s="87"/>
      <c r="B542" s="30"/>
      <c r="C542" s="70"/>
      <c r="G542" s="30"/>
      <c r="H542" s="77"/>
      <c r="I542" s="77"/>
      <c r="J542" s="58"/>
      <c r="K542" s="58"/>
      <c r="L542" s="3"/>
    </row>
    <row r="543" spans="1:12" s="71" customFormat="1">
      <c r="A543" s="87"/>
      <c r="B543" s="30"/>
      <c r="C543" s="70"/>
      <c r="G543" s="30"/>
      <c r="H543" s="77"/>
      <c r="I543" s="77"/>
      <c r="J543" s="58"/>
      <c r="K543" s="58"/>
      <c r="L543" s="3"/>
    </row>
    <row r="544" spans="1:12" s="71" customFormat="1">
      <c r="A544" s="87"/>
      <c r="B544" s="30"/>
      <c r="C544" s="70"/>
      <c r="G544" s="30"/>
      <c r="H544" s="77"/>
      <c r="I544" s="77"/>
      <c r="J544" s="58"/>
      <c r="K544" s="58"/>
      <c r="L544" s="3"/>
    </row>
    <row r="545" spans="1:12" s="71" customFormat="1">
      <c r="A545" s="87"/>
      <c r="B545" s="30"/>
      <c r="C545" s="70"/>
      <c r="G545" s="30"/>
      <c r="H545" s="77"/>
      <c r="I545" s="77"/>
      <c r="J545" s="58"/>
      <c r="K545" s="58"/>
      <c r="L545" s="3"/>
    </row>
    <row r="546" spans="1:12" s="71" customFormat="1">
      <c r="A546" s="87"/>
      <c r="B546" s="30"/>
      <c r="C546" s="70"/>
      <c r="G546" s="30"/>
      <c r="H546" s="77"/>
      <c r="I546" s="77"/>
      <c r="J546" s="58"/>
      <c r="K546" s="58"/>
      <c r="L546" s="3"/>
    </row>
    <row r="547" spans="1:12" s="71" customFormat="1">
      <c r="A547" s="87"/>
      <c r="B547" s="30"/>
      <c r="C547" s="70"/>
      <c r="G547" s="30"/>
      <c r="H547" s="77"/>
      <c r="I547" s="77"/>
      <c r="J547" s="58"/>
      <c r="K547" s="58"/>
      <c r="L547" s="3"/>
    </row>
    <row r="548" spans="1:12" s="71" customFormat="1">
      <c r="A548" s="87"/>
      <c r="B548" s="30"/>
      <c r="C548" s="70"/>
      <c r="G548" s="30"/>
      <c r="H548" s="77"/>
      <c r="I548" s="77"/>
      <c r="J548" s="58"/>
      <c r="K548" s="58"/>
      <c r="L548" s="3"/>
    </row>
    <row r="549" spans="1:12" s="71" customFormat="1">
      <c r="A549" s="87"/>
      <c r="B549" s="30"/>
      <c r="C549" s="70"/>
      <c r="G549" s="30"/>
      <c r="H549" s="77"/>
      <c r="I549" s="77"/>
      <c r="J549" s="58"/>
      <c r="K549" s="58"/>
      <c r="L549" s="3"/>
    </row>
    <row r="550" spans="1:12" s="71" customFormat="1">
      <c r="A550" s="87"/>
      <c r="B550" s="30"/>
      <c r="C550" s="70"/>
      <c r="G550" s="30"/>
      <c r="H550" s="77"/>
      <c r="I550" s="77"/>
      <c r="J550" s="58"/>
      <c r="K550" s="58"/>
      <c r="L550" s="3"/>
    </row>
    <row r="551" spans="1:12" s="71" customFormat="1">
      <c r="A551" s="87"/>
      <c r="B551" s="30"/>
      <c r="C551" s="70"/>
      <c r="G551" s="30"/>
      <c r="H551" s="77"/>
      <c r="I551" s="77"/>
      <c r="J551" s="58"/>
      <c r="K551" s="58"/>
      <c r="L551" s="3"/>
    </row>
    <row r="552" spans="1:12" s="71" customFormat="1">
      <c r="A552" s="87"/>
      <c r="B552" s="30"/>
      <c r="C552" s="70"/>
      <c r="G552" s="30"/>
      <c r="H552" s="77"/>
      <c r="I552" s="77"/>
      <c r="J552" s="58"/>
      <c r="K552" s="58"/>
      <c r="L552" s="3"/>
    </row>
    <row r="553" spans="1:12" s="71" customFormat="1">
      <c r="A553" s="87"/>
      <c r="B553" s="30"/>
      <c r="C553" s="70"/>
      <c r="G553" s="30"/>
      <c r="H553" s="77"/>
      <c r="I553" s="77"/>
      <c r="J553" s="58"/>
      <c r="K553" s="58"/>
      <c r="L553" s="3"/>
    </row>
    <row r="554" spans="1:12" s="71" customFormat="1">
      <c r="A554" s="87"/>
      <c r="B554" s="30"/>
      <c r="C554" s="70"/>
      <c r="G554" s="30"/>
      <c r="H554" s="77"/>
      <c r="I554" s="77"/>
      <c r="J554" s="58"/>
      <c r="K554" s="58"/>
      <c r="L554" s="3"/>
    </row>
    <row r="555" spans="1:12" s="71" customFormat="1">
      <c r="A555" s="87"/>
      <c r="B555" s="30"/>
      <c r="C555" s="70"/>
      <c r="G555" s="30"/>
      <c r="H555" s="77"/>
      <c r="I555" s="77"/>
      <c r="J555" s="58"/>
      <c r="K555" s="58"/>
      <c r="L555" s="3"/>
    </row>
    <row r="556" spans="1:12" s="71" customFormat="1">
      <c r="A556" s="87"/>
      <c r="B556" s="30"/>
      <c r="C556" s="70"/>
      <c r="G556" s="30"/>
      <c r="H556" s="77"/>
      <c r="I556" s="77"/>
      <c r="J556" s="58"/>
      <c r="K556" s="58"/>
      <c r="L556" s="3"/>
    </row>
    <row r="557" spans="1:12" s="71" customFormat="1">
      <c r="A557" s="87"/>
      <c r="B557" s="30"/>
      <c r="C557" s="70"/>
      <c r="G557" s="30"/>
      <c r="H557" s="77"/>
      <c r="I557" s="77"/>
      <c r="J557" s="58"/>
      <c r="K557" s="58"/>
      <c r="L557" s="3"/>
    </row>
    <row r="558" spans="1:12" s="71" customFormat="1">
      <c r="A558" s="87"/>
      <c r="B558" s="30"/>
      <c r="C558" s="70"/>
      <c r="G558" s="30"/>
      <c r="H558" s="77"/>
      <c r="I558" s="77"/>
      <c r="J558" s="58"/>
      <c r="K558" s="58"/>
      <c r="L558" s="3"/>
    </row>
    <row r="559" spans="1:12" s="71" customFormat="1">
      <c r="A559" s="87"/>
      <c r="B559" s="30"/>
      <c r="C559" s="70"/>
      <c r="G559" s="30"/>
      <c r="H559" s="77"/>
      <c r="I559" s="77"/>
      <c r="J559" s="58"/>
      <c r="K559" s="58"/>
      <c r="L559" s="3"/>
    </row>
    <row r="560" spans="1:12" s="71" customFormat="1">
      <c r="A560" s="87"/>
      <c r="B560" s="30"/>
      <c r="C560" s="70"/>
      <c r="G560" s="30"/>
      <c r="H560" s="77"/>
      <c r="I560" s="77"/>
      <c r="J560" s="58"/>
      <c r="K560" s="58"/>
      <c r="L560" s="3"/>
    </row>
    <row r="561" spans="1:12" s="71" customFormat="1">
      <c r="A561" s="87"/>
      <c r="B561" s="30"/>
      <c r="C561" s="70"/>
      <c r="G561" s="30"/>
      <c r="H561" s="77"/>
      <c r="I561" s="77"/>
      <c r="J561" s="58"/>
      <c r="K561" s="58"/>
      <c r="L561" s="3"/>
    </row>
    <row r="562" spans="1:12" s="71" customFormat="1">
      <c r="A562" s="87"/>
      <c r="B562" s="30"/>
      <c r="C562" s="70"/>
      <c r="G562" s="30"/>
      <c r="H562" s="77"/>
      <c r="I562" s="77"/>
      <c r="J562" s="58"/>
      <c r="K562" s="58"/>
      <c r="L562" s="3"/>
    </row>
    <row r="563" spans="1:12" s="71" customFormat="1">
      <c r="A563" s="87"/>
      <c r="B563" s="30"/>
      <c r="C563" s="70"/>
      <c r="G563" s="30"/>
      <c r="H563" s="77"/>
      <c r="I563" s="77"/>
      <c r="J563" s="58"/>
      <c r="K563" s="58"/>
      <c r="L563" s="3"/>
    </row>
    <row r="564" spans="1:12" s="71" customFormat="1">
      <c r="A564" s="87"/>
      <c r="B564" s="30"/>
      <c r="C564" s="70"/>
      <c r="G564" s="30"/>
      <c r="H564" s="77"/>
      <c r="I564" s="77"/>
      <c r="J564" s="58"/>
      <c r="K564" s="58"/>
      <c r="L564" s="3"/>
    </row>
    <row r="565" spans="1:12" s="71" customFormat="1">
      <c r="A565" s="87"/>
      <c r="B565" s="30"/>
      <c r="C565" s="70"/>
      <c r="G565" s="30"/>
      <c r="H565" s="77"/>
      <c r="I565" s="77"/>
      <c r="J565" s="58"/>
      <c r="K565" s="58"/>
      <c r="L565" s="3"/>
    </row>
    <row r="566" spans="1:12" s="71" customFormat="1">
      <c r="A566" s="87"/>
      <c r="B566" s="30"/>
      <c r="C566" s="70"/>
      <c r="G566" s="30"/>
      <c r="H566" s="77"/>
      <c r="I566" s="77"/>
      <c r="J566" s="58"/>
      <c r="K566" s="58"/>
      <c r="L566" s="3"/>
    </row>
    <row r="567" spans="1:12" s="71" customFormat="1">
      <c r="A567" s="87"/>
      <c r="B567" s="30"/>
      <c r="C567" s="70"/>
      <c r="G567" s="30"/>
      <c r="H567" s="77"/>
      <c r="I567" s="77"/>
      <c r="J567" s="58"/>
      <c r="K567" s="58"/>
      <c r="L567" s="3"/>
    </row>
    <row r="568" spans="1:12" s="71" customFormat="1">
      <c r="A568" s="87"/>
      <c r="B568" s="30"/>
      <c r="C568" s="70"/>
      <c r="G568" s="30"/>
      <c r="H568" s="77"/>
      <c r="I568" s="77"/>
      <c r="J568" s="58"/>
      <c r="K568" s="58"/>
      <c r="L568" s="3"/>
    </row>
    <row r="569" spans="1:12" s="71" customFormat="1">
      <c r="A569" s="87"/>
      <c r="B569" s="30"/>
      <c r="C569" s="70"/>
      <c r="G569" s="30"/>
      <c r="H569" s="77"/>
      <c r="I569" s="77"/>
      <c r="J569" s="58"/>
      <c r="K569" s="58"/>
      <c r="L569" s="3"/>
    </row>
    <row r="570" spans="1:12" s="71" customFormat="1">
      <c r="A570" s="87"/>
      <c r="B570" s="30"/>
      <c r="C570" s="70"/>
      <c r="G570" s="30"/>
      <c r="H570" s="77"/>
      <c r="I570" s="77"/>
      <c r="J570" s="58"/>
      <c r="K570" s="58"/>
      <c r="L570" s="3"/>
    </row>
    <row r="571" spans="1:12" s="71" customFormat="1">
      <c r="A571" s="87"/>
      <c r="B571" s="30"/>
      <c r="C571" s="70"/>
      <c r="G571" s="30"/>
      <c r="H571" s="77"/>
      <c r="I571" s="77"/>
      <c r="J571" s="58"/>
      <c r="K571" s="58"/>
      <c r="L571" s="3"/>
    </row>
    <row r="572" spans="1:12" s="71" customFormat="1">
      <c r="A572" s="87"/>
      <c r="B572" s="30"/>
      <c r="C572" s="70"/>
      <c r="G572" s="30"/>
      <c r="H572" s="77"/>
      <c r="I572" s="77"/>
      <c r="J572" s="58"/>
      <c r="K572" s="58"/>
      <c r="L572" s="3"/>
    </row>
    <row r="573" spans="1:12" s="71" customFormat="1">
      <c r="A573" s="87"/>
      <c r="B573" s="30"/>
      <c r="C573" s="70"/>
      <c r="G573" s="30"/>
      <c r="H573" s="77"/>
      <c r="I573" s="77"/>
      <c r="J573" s="58"/>
      <c r="K573" s="58"/>
      <c r="L573" s="3"/>
    </row>
    <row r="574" spans="1:12" s="71" customFormat="1">
      <c r="A574" s="87"/>
      <c r="B574" s="30"/>
      <c r="C574" s="70"/>
      <c r="G574" s="30"/>
      <c r="H574" s="77"/>
      <c r="I574" s="77"/>
      <c r="J574" s="58"/>
      <c r="K574" s="58"/>
      <c r="L574" s="3"/>
    </row>
    <row r="575" spans="1:12" s="71" customFormat="1">
      <c r="A575" s="87"/>
      <c r="B575" s="30"/>
      <c r="C575" s="70"/>
      <c r="G575" s="30"/>
      <c r="H575" s="77"/>
      <c r="I575" s="77"/>
      <c r="J575" s="58"/>
      <c r="K575" s="58"/>
      <c r="L575" s="3"/>
    </row>
    <row r="576" spans="1:12" s="71" customFormat="1">
      <c r="A576" s="87"/>
      <c r="B576" s="30"/>
      <c r="C576" s="70"/>
      <c r="G576" s="30"/>
      <c r="H576" s="77"/>
      <c r="I576" s="77"/>
      <c r="J576" s="58"/>
      <c r="K576" s="58"/>
      <c r="L576" s="3"/>
    </row>
    <row r="577" spans="1:12" s="71" customFormat="1">
      <c r="A577" s="87"/>
      <c r="B577" s="30"/>
      <c r="C577" s="70"/>
      <c r="G577" s="30"/>
      <c r="H577" s="77"/>
      <c r="I577" s="77"/>
      <c r="J577" s="58"/>
      <c r="K577" s="58"/>
      <c r="L577" s="3"/>
    </row>
    <row r="578" spans="1:12" s="71" customFormat="1">
      <c r="A578" s="87"/>
      <c r="B578" s="30"/>
      <c r="C578" s="70"/>
      <c r="G578" s="30"/>
      <c r="H578" s="77"/>
      <c r="I578" s="77"/>
      <c r="J578" s="58"/>
      <c r="K578" s="58"/>
      <c r="L578" s="3"/>
    </row>
    <row r="579" spans="1:12" s="71" customFormat="1">
      <c r="A579" s="87"/>
      <c r="B579" s="30"/>
      <c r="C579" s="70"/>
      <c r="G579" s="30"/>
      <c r="H579" s="77"/>
      <c r="I579" s="77"/>
      <c r="J579" s="58"/>
      <c r="K579" s="58"/>
      <c r="L579" s="3"/>
    </row>
    <row r="580" spans="1:12" s="71" customFormat="1">
      <c r="A580" s="87"/>
      <c r="B580" s="30"/>
      <c r="C580" s="70"/>
      <c r="G580" s="30"/>
      <c r="H580" s="77"/>
      <c r="I580" s="77"/>
      <c r="J580" s="58"/>
      <c r="K580" s="58"/>
      <c r="L580" s="3"/>
    </row>
    <row r="581" spans="1:12" s="71" customFormat="1">
      <c r="A581" s="87"/>
      <c r="B581" s="30"/>
      <c r="C581" s="70"/>
      <c r="G581" s="30"/>
      <c r="H581" s="77"/>
      <c r="I581" s="77"/>
      <c r="J581" s="58"/>
      <c r="K581" s="58"/>
      <c r="L581" s="3"/>
    </row>
    <row r="582" spans="1:12" s="71" customFormat="1">
      <c r="A582" s="87"/>
      <c r="B582" s="30"/>
      <c r="C582" s="70"/>
      <c r="G582" s="30"/>
      <c r="H582" s="77"/>
      <c r="I582" s="77"/>
      <c r="J582" s="58"/>
      <c r="K582" s="58"/>
      <c r="L582" s="3"/>
    </row>
    <row r="583" spans="1:12" s="71" customFormat="1">
      <c r="A583" s="87"/>
      <c r="B583" s="30"/>
      <c r="C583" s="70"/>
      <c r="G583" s="30"/>
      <c r="H583" s="77"/>
      <c r="I583" s="77"/>
      <c r="J583" s="58"/>
      <c r="K583" s="58"/>
      <c r="L583" s="3"/>
    </row>
    <row r="584" spans="1:12" s="71" customFormat="1">
      <c r="A584" s="87"/>
      <c r="B584" s="30"/>
      <c r="C584" s="70"/>
      <c r="G584" s="30"/>
      <c r="H584" s="77"/>
      <c r="I584" s="77"/>
      <c r="J584" s="58"/>
      <c r="K584" s="58"/>
      <c r="L584" s="3"/>
    </row>
    <row r="585" spans="1:12" s="71" customFormat="1">
      <c r="A585" s="87"/>
      <c r="B585" s="30"/>
      <c r="C585" s="70"/>
      <c r="G585" s="30"/>
      <c r="H585" s="77"/>
      <c r="I585" s="77"/>
      <c r="J585" s="58"/>
      <c r="K585" s="58"/>
      <c r="L585" s="3"/>
    </row>
    <row r="586" spans="1:12" s="71" customFormat="1">
      <c r="A586" s="87"/>
      <c r="B586" s="30"/>
      <c r="C586" s="70"/>
      <c r="G586" s="30"/>
      <c r="H586" s="77"/>
      <c r="I586" s="77"/>
      <c r="J586" s="58"/>
      <c r="K586" s="58"/>
      <c r="L586" s="3"/>
    </row>
    <row r="587" spans="1:12" s="71" customFormat="1">
      <c r="A587" s="87"/>
      <c r="B587" s="30"/>
      <c r="C587" s="70"/>
      <c r="G587" s="30"/>
      <c r="H587" s="77"/>
      <c r="I587" s="77"/>
      <c r="J587" s="58"/>
      <c r="K587" s="58"/>
      <c r="L587" s="3"/>
    </row>
    <row r="588" spans="1:12" s="71" customFormat="1">
      <c r="A588" s="87"/>
      <c r="B588" s="30"/>
      <c r="C588" s="70"/>
      <c r="G588" s="30"/>
      <c r="H588" s="77"/>
      <c r="I588" s="77"/>
      <c r="J588" s="58"/>
      <c r="K588" s="58"/>
      <c r="L588" s="3"/>
    </row>
    <row r="589" spans="1:12" s="71" customFormat="1">
      <c r="A589" s="87"/>
      <c r="B589" s="30"/>
      <c r="C589" s="70"/>
      <c r="G589" s="30"/>
      <c r="H589" s="77"/>
      <c r="I589" s="77"/>
      <c r="J589" s="58"/>
      <c r="K589" s="58"/>
      <c r="L589" s="3"/>
    </row>
    <row r="590" spans="1:12" s="71" customFormat="1">
      <c r="A590" s="87"/>
      <c r="B590" s="30"/>
      <c r="C590" s="70"/>
      <c r="G590" s="30"/>
      <c r="H590" s="77"/>
      <c r="I590" s="77"/>
      <c r="J590" s="58"/>
      <c r="K590" s="58"/>
      <c r="L590" s="3"/>
    </row>
    <row r="591" spans="1:12" s="71" customFormat="1">
      <c r="A591" s="87"/>
      <c r="B591" s="30"/>
      <c r="C591" s="70"/>
      <c r="G591" s="30"/>
      <c r="H591" s="77"/>
      <c r="I591" s="77"/>
      <c r="J591" s="58"/>
      <c r="K591" s="58"/>
      <c r="L591" s="3"/>
    </row>
    <row r="592" spans="1:12" s="71" customFormat="1">
      <c r="A592" s="87"/>
      <c r="B592" s="30"/>
      <c r="C592" s="70"/>
      <c r="G592" s="30"/>
      <c r="H592" s="77"/>
      <c r="I592" s="77"/>
      <c r="J592" s="58"/>
      <c r="K592" s="58"/>
      <c r="L592" s="3"/>
    </row>
    <row r="593" spans="1:12" s="71" customFormat="1">
      <c r="A593" s="87"/>
      <c r="B593" s="30"/>
      <c r="C593" s="70"/>
      <c r="G593" s="30"/>
      <c r="H593" s="77"/>
      <c r="I593" s="77"/>
      <c r="J593" s="58"/>
      <c r="K593" s="58"/>
      <c r="L593" s="3"/>
    </row>
    <row r="594" spans="1:12" s="71" customFormat="1">
      <c r="A594" s="87"/>
      <c r="B594" s="30"/>
      <c r="C594" s="70"/>
      <c r="G594" s="30"/>
      <c r="H594" s="77"/>
      <c r="I594" s="77"/>
      <c r="J594" s="58"/>
      <c r="K594" s="58"/>
      <c r="L594" s="3"/>
    </row>
    <row r="595" spans="1:12" s="71" customFormat="1">
      <c r="A595" s="87"/>
      <c r="B595" s="30"/>
      <c r="C595" s="70"/>
      <c r="G595" s="30"/>
      <c r="H595" s="77"/>
      <c r="I595" s="77"/>
      <c r="J595" s="58"/>
      <c r="K595" s="58"/>
      <c r="L595" s="3"/>
    </row>
    <row r="596" spans="1:12" s="71" customFormat="1">
      <c r="A596" s="87"/>
      <c r="B596" s="30"/>
      <c r="C596" s="70"/>
      <c r="G596" s="30"/>
      <c r="H596" s="77"/>
      <c r="I596" s="77"/>
      <c r="J596" s="58"/>
      <c r="K596" s="58"/>
      <c r="L596" s="3"/>
    </row>
    <row r="597" spans="1:12" s="71" customFormat="1">
      <c r="A597" s="87"/>
      <c r="B597" s="30"/>
      <c r="C597" s="70"/>
      <c r="G597" s="30"/>
      <c r="H597" s="77"/>
      <c r="I597" s="77"/>
      <c r="J597" s="58"/>
      <c r="K597" s="58"/>
      <c r="L597" s="3"/>
    </row>
    <row r="598" spans="1:12" s="71" customFormat="1">
      <c r="A598" s="87"/>
      <c r="B598" s="30"/>
      <c r="C598" s="70"/>
      <c r="G598" s="30"/>
      <c r="H598" s="77"/>
      <c r="I598" s="77"/>
      <c r="J598" s="58"/>
      <c r="K598" s="58"/>
      <c r="L598" s="3"/>
    </row>
    <row r="599" spans="1:12" s="71" customFormat="1">
      <c r="A599" s="87"/>
      <c r="B599" s="30"/>
      <c r="C599" s="70"/>
      <c r="G599" s="30"/>
      <c r="H599" s="77"/>
      <c r="I599" s="77"/>
      <c r="J599" s="58"/>
      <c r="K599" s="58"/>
      <c r="L599" s="3"/>
    </row>
    <row r="600" spans="1:12" s="71" customFormat="1">
      <c r="A600" s="87"/>
      <c r="B600" s="30"/>
      <c r="C600" s="70"/>
      <c r="G600" s="30"/>
      <c r="H600" s="77"/>
      <c r="I600" s="77"/>
      <c r="J600" s="58"/>
      <c r="K600" s="58"/>
      <c r="L600" s="3"/>
    </row>
    <row r="601" spans="1:12" s="71" customFormat="1">
      <c r="A601" s="87"/>
      <c r="B601" s="30"/>
      <c r="C601" s="70"/>
      <c r="G601" s="30"/>
      <c r="H601" s="77"/>
      <c r="I601" s="77"/>
      <c r="J601" s="58"/>
      <c r="K601" s="58"/>
      <c r="L601" s="3"/>
    </row>
    <row r="602" spans="1:12" s="71" customFormat="1">
      <c r="A602" s="87"/>
      <c r="B602" s="30"/>
      <c r="C602" s="70"/>
      <c r="G602" s="30"/>
      <c r="H602" s="77"/>
      <c r="I602" s="77"/>
      <c r="J602" s="58"/>
      <c r="K602" s="58"/>
      <c r="L602" s="3"/>
    </row>
    <row r="603" spans="1:12" s="71" customFormat="1">
      <c r="A603" s="87"/>
      <c r="B603" s="30"/>
      <c r="C603" s="70"/>
      <c r="G603" s="30"/>
      <c r="H603" s="77"/>
      <c r="I603" s="77"/>
      <c r="J603" s="58"/>
      <c r="K603" s="58"/>
      <c r="L603" s="3"/>
    </row>
    <row r="604" spans="1:12" s="71" customFormat="1">
      <c r="A604" s="87"/>
      <c r="B604" s="30"/>
      <c r="C604" s="70"/>
      <c r="G604" s="30"/>
      <c r="H604" s="77"/>
      <c r="I604" s="77"/>
      <c r="J604" s="58"/>
      <c r="K604" s="58"/>
      <c r="L604" s="3"/>
    </row>
    <row r="605" spans="1:12" s="71" customFormat="1">
      <c r="A605" s="87"/>
      <c r="B605" s="30"/>
      <c r="C605" s="70"/>
      <c r="G605" s="30"/>
      <c r="H605" s="77"/>
      <c r="I605" s="77"/>
      <c r="J605" s="58"/>
      <c r="K605" s="58"/>
      <c r="L605" s="3"/>
    </row>
    <row r="606" spans="1:12" s="71" customFormat="1">
      <c r="A606" s="87"/>
      <c r="B606" s="30"/>
      <c r="C606" s="70"/>
      <c r="G606" s="30"/>
      <c r="H606" s="77"/>
      <c r="I606" s="77"/>
      <c r="J606" s="58"/>
      <c r="K606" s="58"/>
      <c r="L606" s="3"/>
    </row>
    <row r="607" spans="1:12" s="71" customFormat="1">
      <c r="A607" s="87"/>
      <c r="B607" s="30"/>
      <c r="C607" s="70"/>
      <c r="G607" s="30"/>
      <c r="H607" s="77"/>
      <c r="I607" s="77"/>
      <c r="J607" s="58"/>
      <c r="K607" s="58"/>
      <c r="L607" s="3"/>
    </row>
    <row r="608" spans="1:12" s="71" customFormat="1">
      <c r="A608" s="87"/>
      <c r="B608" s="30"/>
      <c r="C608" s="70"/>
      <c r="G608" s="30"/>
      <c r="H608" s="77"/>
      <c r="I608" s="77"/>
      <c r="J608" s="58"/>
      <c r="K608" s="58"/>
      <c r="L608" s="3"/>
    </row>
    <row r="609" spans="1:12" s="71" customFormat="1">
      <c r="A609" s="87"/>
      <c r="B609" s="30"/>
      <c r="C609" s="70"/>
      <c r="G609" s="30"/>
      <c r="H609" s="77"/>
      <c r="I609" s="77"/>
      <c r="J609" s="58"/>
      <c r="K609" s="58"/>
      <c r="L609" s="3"/>
    </row>
    <row r="610" spans="1:12" s="71" customFormat="1">
      <c r="A610" s="87"/>
      <c r="B610" s="30"/>
      <c r="C610" s="70"/>
      <c r="G610" s="30"/>
      <c r="H610" s="77"/>
      <c r="I610" s="77"/>
      <c r="J610" s="58"/>
      <c r="K610" s="58"/>
      <c r="L610" s="3"/>
    </row>
    <row r="611" spans="1:12" s="71" customFormat="1">
      <c r="A611" s="87"/>
      <c r="B611" s="30"/>
      <c r="C611" s="70"/>
      <c r="G611" s="30"/>
      <c r="H611" s="77"/>
      <c r="I611" s="77"/>
      <c r="J611" s="58"/>
      <c r="K611" s="58"/>
      <c r="L611" s="3"/>
    </row>
    <row r="612" spans="1:12" s="71" customFormat="1">
      <c r="A612" s="87"/>
      <c r="B612" s="30"/>
      <c r="C612" s="70"/>
      <c r="G612" s="30"/>
      <c r="H612" s="77"/>
      <c r="I612" s="77"/>
      <c r="J612" s="58"/>
      <c r="K612" s="58"/>
      <c r="L612" s="3"/>
    </row>
    <row r="613" spans="1:12" s="71" customFormat="1">
      <c r="A613" s="87"/>
      <c r="B613" s="30"/>
      <c r="C613" s="70"/>
      <c r="G613" s="30"/>
      <c r="H613" s="77"/>
      <c r="I613" s="77"/>
      <c r="J613" s="58"/>
      <c r="K613" s="58"/>
      <c r="L613" s="3"/>
    </row>
    <row r="614" spans="1:12" s="71" customFormat="1">
      <c r="A614" s="87"/>
      <c r="B614" s="30"/>
      <c r="C614" s="70"/>
      <c r="G614" s="30"/>
      <c r="H614" s="77"/>
      <c r="I614" s="77"/>
      <c r="J614" s="58"/>
      <c r="K614" s="58"/>
      <c r="L614" s="3"/>
    </row>
    <row r="615" spans="1:12" s="71" customFormat="1">
      <c r="A615" s="87"/>
      <c r="B615" s="30"/>
      <c r="C615" s="70"/>
      <c r="G615" s="30"/>
      <c r="H615" s="77"/>
      <c r="I615" s="77"/>
      <c r="J615" s="58"/>
      <c r="K615" s="58"/>
      <c r="L615" s="3"/>
    </row>
    <row r="616" spans="1:12" s="71" customFormat="1">
      <c r="A616" s="87"/>
      <c r="B616" s="30"/>
      <c r="C616" s="70"/>
      <c r="G616" s="30"/>
      <c r="H616" s="77"/>
      <c r="I616" s="77"/>
      <c r="J616" s="58"/>
      <c r="K616" s="58"/>
      <c r="L616" s="3"/>
    </row>
    <row r="617" spans="1:12" s="71" customFormat="1">
      <c r="A617" s="87"/>
      <c r="B617" s="30"/>
      <c r="C617" s="70"/>
      <c r="G617" s="30"/>
      <c r="H617" s="77"/>
      <c r="I617" s="77"/>
      <c r="J617" s="58"/>
      <c r="K617" s="58"/>
      <c r="L617" s="3"/>
    </row>
    <row r="618" spans="1:12" s="71" customFormat="1">
      <c r="A618" s="87"/>
      <c r="B618" s="30"/>
      <c r="C618" s="70"/>
      <c r="G618" s="30"/>
      <c r="H618" s="77"/>
      <c r="I618" s="77"/>
      <c r="J618" s="58"/>
      <c r="K618" s="58"/>
      <c r="L618" s="3"/>
    </row>
    <row r="619" spans="1:12" s="71" customFormat="1">
      <c r="A619" s="87"/>
      <c r="B619" s="30"/>
      <c r="C619" s="70"/>
      <c r="G619" s="30"/>
      <c r="H619" s="77"/>
      <c r="I619" s="77"/>
      <c r="J619" s="58"/>
      <c r="K619" s="58"/>
      <c r="L619" s="3"/>
    </row>
    <row r="620" spans="1:12" s="71" customFormat="1">
      <c r="A620" s="87"/>
      <c r="B620" s="30"/>
      <c r="C620" s="70"/>
      <c r="G620" s="30"/>
      <c r="H620" s="77"/>
      <c r="I620" s="77"/>
      <c r="J620" s="58"/>
      <c r="K620" s="58"/>
      <c r="L620" s="3"/>
    </row>
    <row r="621" spans="1:12" s="71" customFormat="1">
      <c r="A621" s="87"/>
      <c r="B621" s="30"/>
      <c r="C621" s="70"/>
      <c r="G621" s="30"/>
      <c r="H621" s="77"/>
      <c r="I621" s="77"/>
      <c r="J621" s="58"/>
      <c r="K621" s="58"/>
      <c r="L621" s="3"/>
    </row>
    <row r="622" spans="1:12" s="71" customFormat="1">
      <c r="A622" s="87"/>
      <c r="B622" s="30"/>
      <c r="C622" s="70"/>
      <c r="G622" s="30"/>
      <c r="H622" s="77"/>
      <c r="I622" s="77"/>
      <c r="J622" s="58"/>
      <c r="K622" s="58"/>
      <c r="L622" s="3"/>
    </row>
    <row r="623" spans="1:12" s="71" customFormat="1">
      <c r="A623" s="87"/>
      <c r="B623" s="30"/>
      <c r="C623" s="70"/>
      <c r="G623" s="30"/>
      <c r="H623" s="77"/>
      <c r="I623" s="77"/>
      <c r="J623" s="58"/>
      <c r="K623" s="58"/>
      <c r="L623" s="3"/>
    </row>
    <row r="624" spans="1:12" s="71" customFormat="1">
      <c r="A624" s="87"/>
      <c r="B624" s="30"/>
      <c r="C624" s="70"/>
      <c r="G624" s="30"/>
      <c r="H624" s="77"/>
      <c r="I624" s="77"/>
      <c r="J624" s="58"/>
      <c r="K624" s="58"/>
      <c r="L624" s="3"/>
    </row>
    <row r="625" spans="1:12" s="71" customFormat="1">
      <c r="A625" s="87"/>
      <c r="B625" s="30"/>
      <c r="C625" s="70"/>
      <c r="G625" s="30"/>
      <c r="H625" s="77"/>
      <c r="I625" s="77"/>
      <c r="J625" s="58"/>
      <c r="K625" s="58"/>
      <c r="L625" s="3"/>
    </row>
    <row r="626" spans="1:12" s="71" customFormat="1">
      <c r="A626" s="87"/>
      <c r="B626" s="30"/>
      <c r="C626" s="70"/>
      <c r="G626" s="30"/>
      <c r="H626" s="77"/>
      <c r="I626" s="77"/>
      <c r="J626" s="58"/>
      <c r="K626" s="58"/>
      <c r="L626" s="3"/>
    </row>
    <row r="627" spans="1:12" s="71" customFormat="1">
      <c r="A627" s="87"/>
      <c r="B627" s="30"/>
      <c r="C627" s="70"/>
      <c r="G627" s="30"/>
      <c r="H627" s="77"/>
      <c r="I627" s="77"/>
      <c r="J627" s="58"/>
      <c r="K627" s="58"/>
      <c r="L627" s="3"/>
    </row>
    <row r="628" spans="1:12" s="71" customFormat="1">
      <c r="A628" s="87"/>
      <c r="B628" s="30"/>
      <c r="C628" s="70"/>
      <c r="G628" s="30"/>
      <c r="H628" s="77"/>
      <c r="I628" s="77"/>
      <c r="J628" s="58"/>
      <c r="K628" s="58"/>
      <c r="L628" s="3"/>
    </row>
    <row r="629" spans="1:12" s="71" customFormat="1">
      <c r="A629" s="87"/>
      <c r="B629" s="30"/>
      <c r="C629" s="70"/>
      <c r="G629" s="30"/>
      <c r="H629" s="77"/>
      <c r="I629" s="77"/>
      <c r="J629" s="58"/>
      <c r="K629" s="58"/>
      <c r="L629" s="3"/>
    </row>
    <row r="630" spans="1:12" s="71" customFormat="1">
      <c r="A630" s="87"/>
      <c r="B630" s="30"/>
      <c r="C630" s="70"/>
      <c r="G630" s="30"/>
      <c r="H630" s="77"/>
      <c r="I630" s="77"/>
      <c r="J630" s="58"/>
      <c r="K630" s="58"/>
      <c r="L630" s="3"/>
    </row>
    <row r="631" spans="1:12" s="71" customFormat="1">
      <c r="A631" s="87"/>
      <c r="B631" s="30"/>
      <c r="C631" s="70"/>
      <c r="G631" s="30"/>
      <c r="H631" s="77"/>
      <c r="I631" s="77"/>
      <c r="J631" s="58"/>
      <c r="K631" s="58"/>
      <c r="L631" s="3"/>
    </row>
    <row r="632" spans="1:12" s="71" customFormat="1">
      <c r="A632" s="87"/>
      <c r="B632" s="30"/>
      <c r="C632" s="70"/>
      <c r="G632" s="30"/>
      <c r="H632" s="77"/>
      <c r="I632" s="77"/>
      <c r="J632" s="58"/>
      <c r="K632" s="58"/>
      <c r="L632" s="3"/>
    </row>
    <row r="633" spans="1:12" s="71" customFormat="1">
      <c r="A633" s="87"/>
      <c r="B633" s="30"/>
      <c r="C633" s="70"/>
      <c r="G633" s="30"/>
      <c r="H633" s="77"/>
      <c r="I633" s="77"/>
      <c r="J633" s="58"/>
      <c r="K633" s="58"/>
      <c r="L633" s="3"/>
    </row>
    <row r="634" spans="1:12" s="71" customFormat="1">
      <c r="A634" s="87"/>
      <c r="B634" s="30"/>
      <c r="C634" s="70"/>
      <c r="G634" s="30"/>
      <c r="H634" s="77"/>
      <c r="I634" s="77"/>
      <c r="J634" s="58"/>
      <c r="K634" s="58"/>
      <c r="L634" s="3"/>
    </row>
    <row r="635" spans="1:12" s="71" customFormat="1">
      <c r="A635" s="87"/>
      <c r="B635" s="30"/>
      <c r="C635" s="70"/>
      <c r="G635" s="30"/>
      <c r="H635" s="77"/>
      <c r="I635" s="77"/>
      <c r="J635" s="58"/>
      <c r="K635" s="58"/>
      <c r="L635" s="3"/>
    </row>
    <row r="636" spans="1:12" s="71" customFormat="1">
      <c r="A636" s="87"/>
      <c r="B636" s="30"/>
      <c r="C636" s="70"/>
      <c r="G636" s="30"/>
      <c r="H636" s="77"/>
      <c r="I636" s="77"/>
      <c r="J636" s="58"/>
      <c r="K636" s="58"/>
      <c r="L636" s="3"/>
    </row>
    <row r="637" spans="1:12" s="71" customFormat="1">
      <c r="A637" s="87"/>
      <c r="B637" s="30"/>
      <c r="C637" s="70"/>
      <c r="G637" s="30"/>
      <c r="H637" s="77"/>
      <c r="I637" s="77"/>
      <c r="J637" s="58"/>
      <c r="K637" s="58"/>
      <c r="L637" s="3"/>
    </row>
    <row r="638" spans="1:12" s="71" customFormat="1">
      <c r="A638" s="87"/>
      <c r="B638" s="30"/>
      <c r="C638" s="70"/>
      <c r="G638" s="30"/>
      <c r="H638" s="77"/>
      <c r="I638" s="77"/>
      <c r="J638" s="58"/>
      <c r="K638" s="58"/>
      <c r="L638" s="3"/>
    </row>
    <row r="639" spans="1:12" s="71" customFormat="1">
      <c r="A639" s="87"/>
      <c r="B639" s="30"/>
      <c r="C639" s="70"/>
      <c r="G639" s="30"/>
      <c r="H639" s="77"/>
      <c r="I639" s="77"/>
      <c r="J639" s="58"/>
      <c r="K639" s="58"/>
      <c r="L639" s="3"/>
    </row>
    <row r="640" spans="1:12" s="71" customFormat="1">
      <c r="A640" s="87"/>
      <c r="B640" s="30"/>
      <c r="C640" s="70"/>
      <c r="G640" s="30"/>
      <c r="H640" s="77"/>
      <c r="I640" s="77"/>
      <c r="J640" s="58"/>
      <c r="K640" s="58"/>
      <c r="L640" s="3"/>
    </row>
    <row r="641" spans="1:12" s="71" customFormat="1">
      <c r="A641" s="87"/>
      <c r="B641" s="30"/>
      <c r="C641" s="70"/>
      <c r="G641" s="30"/>
      <c r="H641" s="77"/>
      <c r="I641" s="77"/>
      <c r="J641" s="58"/>
      <c r="K641" s="58"/>
      <c r="L641" s="3"/>
    </row>
    <row r="642" spans="1:12" s="71" customFormat="1">
      <c r="A642" s="87"/>
      <c r="B642" s="30"/>
      <c r="C642" s="70"/>
      <c r="G642" s="30"/>
      <c r="H642" s="77"/>
      <c r="I642" s="77"/>
      <c r="J642" s="58"/>
      <c r="K642" s="58"/>
      <c r="L642" s="3"/>
    </row>
    <row r="643" spans="1:12" s="71" customFormat="1">
      <c r="A643" s="87"/>
      <c r="B643" s="30"/>
      <c r="C643" s="70"/>
      <c r="G643" s="30"/>
      <c r="H643" s="77"/>
      <c r="I643" s="77"/>
      <c r="J643" s="58"/>
      <c r="K643" s="58"/>
      <c r="L643" s="3"/>
    </row>
    <row r="644" spans="1:12" s="71" customFormat="1">
      <c r="A644" s="87"/>
      <c r="B644" s="30"/>
      <c r="C644" s="70"/>
      <c r="G644" s="30"/>
      <c r="H644" s="77"/>
      <c r="I644" s="77"/>
      <c r="J644" s="58"/>
      <c r="K644" s="58"/>
      <c r="L644" s="3"/>
    </row>
    <row r="645" spans="1:12" s="71" customFormat="1">
      <c r="A645" s="87"/>
      <c r="B645" s="30"/>
      <c r="C645" s="70"/>
      <c r="G645" s="30"/>
      <c r="H645" s="77"/>
      <c r="I645" s="77"/>
      <c r="J645" s="58"/>
      <c r="K645" s="58"/>
      <c r="L645" s="3"/>
    </row>
    <row r="646" spans="1:12" s="71" customFormat="1">
      <c r="A646" s="87"/>
      <c r="B646" s="30"/>
      <c r="C646" s="70"/>
      <c r="G646" s="30"/>
      <c r="H646" s="77"/>
      <c r="I646" s="77"/>
      <c r="J646" s="58"/>
      <c r="K646" s="58"/>
      <c r="L646" s="3"/>
    </row>
    <row r="647" spans="1:12" s="71" customFormat="1">
      <c r="A647" s="87"/>
      <c r="B647" s="30"/>
      <c r="C647" s="70"/>
      <c r="G647" s="30"/>
      <c r="H647" s="77"/>
      <c r="I647" s="77"/>
      <c r="J647" s="58"/>
      <c r="K647" s="58"/>
      <c r="L647" s="3"/>
    </row>
    <row r="648" spans="1:12" s="71" customFormat="1">
      <c r="A648" s="87"/>
      <c r="B648" s="30"/>
      <c r="C648" s="70"/>
      <c r="G648" s="30"/>
      <c r="H648" s="77"/>
      <c r="I648" s="77"/>
      <c r="J648" s="58"/>
      <c r="K648" s="58"/>
      <c r="L648" s="3"/>
    </row>
    <row r="649" spans="1:12" s="71" customFormat="1">
      <c r="A649" s="87"/>
      <c r="B649" s="30"/>
      <c r="C649" s="70"/>
      <c r="G649" s="30"/>
      <c r="H649" s="77"/>
      <c r="I649" s="77"/>
      <c r="J649" s="58"/>
      <c r="K649" s="58"/>
      <c r="L649" s="3"/>
    </row>
    <row r="650" spans="1:12" s="71" customFormat="1">
      <c r="A650" s="87"/>
      <c r="B650" s="30"/>
      <c r="C650" s="70"/>
      <c r="G650" s="30"/>
      <c r="H650" s="77"/>
      <c r="I650" s="77"/>
      <c r="J650" s="58"/>
      <c r="K650" s="58"/>
      <c r="L650" s="3"/>
    </row>
    <row r="651" spans="1:12" s="71" customFormat="1">
      <c r="A651" s="87"/>
      <c r="B651" s="30"/>
      <c r="C651" s="70"/>
      <c r="G651" s="30"/>
      <c r="H651" s="77"/>
      <c r="I651" s="77"/>
      <c r="J651" s="58"/>
      <c r="K651" s="58"/>
      <c r="L651" s="3"/>
    </row>
    <row r="652" spans="1:12" s="71" customFormat="1">
      <c r="A652" s="87"/>
      <c r="B652" s="30"/>
      <c r="C652" s="70"/>
      <c r="G652" s="30"/>
      <c r="H652" s="77"/>
      <c r="I652" s="77"/>
      <c r="J652" s="58"/>
      <c r="K652" s="58"/>
      <c r="L652" s="3"/>
    </row>
    <row r="653" spans="1:12" s="71" customFormat="1">
      <c r="A653" s="87"/>
      <c r="B653" s="30"/>
      <c r="C653" s="70"/>
      <c r="G653" s="30"/>
      <c r="H653" s="77"/>
      <c r="I653" s="77"/>
      <c r="J653" s="58"/>
      <c r="K653" s="58"/>
      <c r="L653" s="3"/>
    </row>
    <row r="654" spans="1:12" s="71" customFormat="1">
      <c r="A654" s="87"/>
      <c r="B654" s="30"/>
      <c r="C654" s="70"/>
      <c r="G654" s="30"/>
      <c r="H654" s="77"/>
      <c r="I654" s="77"/>
      <c r="J654" s="58"/>
      <c r="K654" s="58"/>
      <c r="L654" s="3"/>
    </row>
    <row r="655" spans="1:12" s="71" customFormat="1">
      <c r="A655" s="87"/>
      <c r="B655" s="30"/>
      <c r="C655" s="70"/>
      <c r="G655" s="30"/>
      <c r="H655" s="77"/>
      <c r="I655" s="77"/>
      <c r="J655" s="58"/>
      <c r="K655" s="58"/>
      <c r="L655" s="3"/>
    </row>
    <row r="656" spans="1:12" s="71" customFormat="1">
      <c r="A656" s="87"/>
      <c r="B656" s="30"/>
      <c r="C656" s="70"/>
      <c r="G656" s="30"/>
      <c r="H656" s="77"/>
      <c r="I656" s="77"/>
      <c r="J656" s="58"/>
      <c r="K656" s="58"/>
      <c r="L656" s="3"/>
    </row>
    <row r="657" spans="1:12" s="71" customFormat="1">
      <c r="A657" s="87"/>
      <c r="B657" s="30"/>
      <c r="C657" s="70"/>
      <c r="G657" s="30"/>
      <c r="H657" s="77"/>
      <c r="I657" s="77"/>
      <c r="J657" s="58"/>
      <c r="K657" s="58"/>
      <c r="L657" s="3"/>
    </row>
    <row r="658" spans="1:12" s="71" customFormat="1">
      <c r="A658" s="87"/>
      <c r="B658" s="30"/>
      <c r="C658" s="70"/>
      <c r="G658" s="30"/>
      <c r="H658" s="77"/>
      <c r="I658" s="77"/>
      <c r="J658" s="58"/>
      <c r="K658" s="58"/>
      <c r="L658" s="3"/>
    </row>
    <row r="659" spans="1:12" s="71" customFormat="1">
      <c r="A659" s="87"/>
      <c r="B659" s="30"/>
      <c r="C659" s="70"/>
      <c r="G659" s="30"/>
      <c r="H659" s="77"/>
      <c r="I659" s="77"/>
      <c r="J659" s="58"/>
      <c r="K659" s="58"/>
      <c r="L659" s="3"/>
    </row>
    <row r="660" spans="1:12" s="71" customFormat="1">
      <c r="A660" s="87"/>
      <c r="B660" s="30"/>
      <c r="C660" s="70"/>
      <c r="G660" s="30"/>
      <c r="H660" s="77"/>
      <c r="I660" s="77"/>
      <c r="J660" s="58"/>
      <c r="K660" s="58"/>
      <c r="L660" s="3"/>
    </row>
    <row r="661" spans="1:12" s="71" customFormat="1">
      <c r="A661" s="87"/>
      <c r="B661" s="30"/>
      <c r="C661" s="70"/>
      <c r="G661" s="30"/>
      <c r="H661" s="77"/>
      <c r="I661" s="77"/>
      <c r="J661" s="58"/>
      <c r="K661" s="58"/>
      <c r="L661" s="3"/>
    </row>
    <row r="662" spans="1:12" s="71" customFormat="1">
      <c r="A662" s="87"/>
      <c r="B662" s="30"/>
      <c r="C662" s="70"/>
      <c r="G662" s="30"/>
      <c r="H662" s="77"/>
      <c r="I662" s="77"/>
      <c r="J662" s="58"/>
      <c r="K662" s="58"/>
      <c r="L662" s="3"/>
    </row>
    <row r="663" spans="1:12" s="71" customFormat="1">
      <c r="A663" s="87"/>
      <c r="B663" s="30"/>
      <c r="C663" s="70"/>
      <c r="G663" s="30"/>
      <c r="H663" s="77"/>
      <c r="I663" s="77"/>
      <c r="J663" s="58"/>
      <c r="K663" s="58"/>
      <c r="L663" s="3"/>
    </row>
    <row r="664" spans="1:12" s="71" customFormat="1">
      <c r="A664" s="87"/>
      <c r="B664" s="30"/>
      <c r="C664" s="70"/>
      <c r="G664" s="30"/>
      <c r="H664" s="77"/>
      <c r="I664" s="77"/>
      <c r="J664" s="58"/>
      <c r="K664" s="58"/>
      <c r="L664" s="3"/>
    </row>
    <row r="665" spans="1:12" s="71" customFormat="1">
      <c r="A665" s="87"/>
      <c r="B665" s="30"/>
      <c r="C665" s="70"/>
      <c r="G665" s="30"/>
      <c r="H665" s="77"/>
      <c r="I665" s="77"/>
      <c r="J665" s="58"/>
      <c r="K665" s="58"/>
      <c r="L665" s="3"/>
    </row>
    <row r="666" spans="1:12" s="71" customFormat="1">
      <c r="A666" s="87"/>
      <c r="B666" s="30"/>
      <c r="C666" s="70"/>
      <c r="G666" s="30"/>
      <c r="H666" s="77"/>
      <c r="I666" s="77"/>
      <c r="J666" s="58"/>
      <c r="K666" s="58"/>
      <c r="L666" s="3"/>
    </row>
    <row r="667" spans="1:12" s="71" customFormat="1">
      <c r="A667" s="87"/>
      <c r="B667" s="30"/>
      <c r="C667" s="70"/>
      <c r="G667" s="30"/>
      <c r="H667" s="77"/>
      <c r="I667" s="77"/>
      <c r="J667" s="58"/>
      <c r="K667" s="58"/>
      <c r="L667" s="3"/>
    </row>
    <row r="668" spans="1:12" s="71" customFormat="1">
      <c r="A668" s="87"/>
      <c r="B668" s="30"/>
      <c r="C668" s="70"/>
      <c r="G668" s="30"/>
      <c r="H668" s="77"/>
      <c r="I668" s="77"/>
      <c r="J668" s="58"/>
      <c r="K668" s="58"/>
      <c r="L668" s="3"/>
    </row>
    <row r="669" spans="1:12" s="71" customFormat="1">
      <c r="A669" s="87"/>
      <c r="B669" s="30"/>
      <c r="C669" s="70"/>
      <c r="G669" s="30"/>
      <c r="H669" s="77"/>
      <c r="I669" s="77"/>
      <c r="J669" s="58"/>
      <c r="K669" s="58"/>
      <c r="L669" s="3"/>
    </row>
    <row r="670" spans="1:12" s="71" customFormat="1">
      <c r="A670" s="87"/>
      <c r="B670" s="30"/>
      <c r="C670" s="70"/>
      <c r="G670" s="30"/>
      <c r="H670" s="77"/>
      <c r="I670" s="77"/>
      <c r="J670" s="58"/>
      <c r="K670" s="58"/>
      <c r="L670" s="3"/>
    </row>
    <row r="671" spans="1:12" s="71" customFormat="1">
      <c r="A671" s="87"/>
      <c r="B671" s="30"/>
      <c r="C671" s="70"/>
      <c r="G671" s="30"/>
      <c r="H671" s="77"/>
      <c r="I671" s="77"/>
      <c r="J671" s="58"/>
      <c r="K671" s="58"/>
      <c r="L671" s="3"/>
    </row>
    <row r="672" spans="1:12" s="71" customFormat="1">
      <c r="A672" s="87"/>
      <c r="B672" s="30"/>
      <c r="C672" s="70"/>
      <c r="G672" s="30"/>
      <c r="H672" s="77"/>
      <c r="I672" s="77"/>
      <c r="J672" s="58"/>
      <c r="K672" s="58"/>
      <c r="L672" s="3"/>
    </row>
    <row r="673" spans="1:12" s="71" customFormat="1">
      <c r="A673" s="87"/>
      <c r="B673" s="30"/>
      <c r="C673" s="70"/>
      <c r="G673" s="30"/>
      <c r="H673" s="77"/>
      <c r="I673" s="77"/>
      <c r="J673" s="58"/>
      <c r="K673" s="58"/>
      <c r="L673" s="3"/>
    </row>
    <row r="674" spans="1:12" s="71" customFormat="1">
      <c r="A674" s="87"/>
      <c r="B674" s="30"/>
      <c r="C674" s="70"/>
      <c r="G674" s="30"/>
      <c r="H674" s="77"/>
      <c r="I674" s="77"/>
      <c r="J674" s="58"/>
      <c r="K674" s="58"/>
      <c r="L674" s="3"/>
    </row>
    <row r="675" spans="1:12" s="71" customFormat="1">
      <c r="A675" s="87"/>
      <c r="B675" s="30"/>
      <c r="C675" s="70"/>
      <c r="G675" s="30"/>
      <c r="H675" s="77"/>
      <c r="I675" s="77"/>
      <c r="J675" s="58"/>
      <c r="K675" s="58"/>
      <c r="L675" s="3"/>
    </row>
    <row r="676" spans="1:12" s="71" customFormat="1">
      <c r="A676" s="87"/>
      <c r="B676" s="30"/>
      <c r="C676" s="70"/>
      <c r="G676" s="30"/>
      <c r="H676" s="77"/>
      <c r="I676" s="77"/>
      <c r="J676" s="58"/>
      <c r="K676" s="58"/>
      <c r="L676" s="3"/>
    </row>
    <row r="677" spans="1:12" s="71" customFormat="1">
      <c r="A677" s="87"/>
      <c r="B677" s="30"/>
      <c r="C677" s="70"/>
      <c r="G677" s="30"/>
      <c r="H677" s="77"/>
      <c r="I677" s="77"/>
      <c r="J677" s="58"/>
      <c r="K677" s="58"/>
      <c r="L677" s="3"/>
    </row>
    <row r="678" spans="1:12" s="71" customFormat="1">
      <c r="A678" s="87"/>
      <c r="B678" s="30"/>
      <c r="C678" s="70"/>
      <c r="G678" s="30"/>
      <c r="H678" s="77"/>
      <c r="I678" s="77"/>
      <c r="J678" s="58"/>
      <c r="K678" s="58"/>
      <c r="L678" s="3"/>
    </row>
    <row r="679" spans="1:12" s="71" customFormat="1">
      <c r="A679" s="87"/>
      <c r="B679" s="30"/>
      <c r="C679" s="70"/>
      <c r="G679" s="30"/>
      <c r="H679" s="77"/>
      <c r="I679" s="77"/>
      <c r="J679" s="58"/>
      <c r="K679" s="58"/>
      <c r="L679" s="3"/>
    </row>
    <row r="680" spans="1:12" s="71" customFormat="1">
      <c r="A680" s="87"/>
      <c r="B680" s="30"/>
      <c r="C680" s="70"/>
      <c r="G680" s="30"/>
      <c r="H680" s="77"/>
      <c r="I680" s="77"/>
      <c r="J680" s="58"/>
      <c r="K680" s="58"/>
      <c r="L680" s="3"/>
    </row>
    <row r="681" spans="1:12" s="71" customFormat="1">
      <c r="A681" s="87"/>
      <c r="B681" s="30"/>
      <c r="C681" s="70"/>
      <c r="G681" s="30"/>
      <c r="H681" s="77"/>
      <c r="I681" s="77"/>
      <c r="J681" s="58"/>
      <c r="K681" s="58"/>
      <c r="L681" s="3"/>
    </row>
    <row r="682" spans="1:12" s="71" customFormat="1">
      <c r="A682" s="87"/>
      <c r="B682" s="30"/>
      <c r="C682" s="70"/>
      <c r="G682" s="30"/>
      <c r="H682" s="77"/>
      <c r="I682" s="77"/>
      <c r="J682" s="58"/>
      <c r="K682" s="58"/>
      <c r="L682" s="3"/>
    </row>
    <row r="683" spans="1:12" s="71" customFormat="1">
      <c r="A683" s="87"/>
      <c r="B683" s="30"/>
      <c r="C683" s="70"/>
      <c r="G683" s="30"/>
      <c r="H683" s="77"/>
      <c r="I683" s="77"/>
      <c r="J683" s="58"/>
      <c r="K683" s="58"/>
      <c r="L683" s="3"/>
    </row>
    <row r="684" spans="1:12" s="71" customFormat="1">
      <c r="A684" s="87"/>
      <c r="B684" s="30"/>
      <c r="C684" s="70"/>
      <c r="G684" s="30"/>
      <c r="H684" s="77"/>
      <c r="I684" s="77"/>
      <c r="J684" s="58"/>
      <c r="K684" s="58"/>
      <c r="L684" s="3"/>
    </row>
    <row r="685" spans="1:12" s="71" customFormat="1">
      <c r="A685" s="87"/>
      <c r="B685" s="30"/>
      <c r="C685" s="70"/>
      <c r="G685" s="30"/>
      <c r="H685" s="77"/>
      <c r="I685" s="77"/>
      <c r="J685" s="58"/>
      <c r="K685" s="58"/>
      <c r="L685" s="3"/>
    </row>
    <row r="686" spans="1:12" s="71" customFormat="1">
      <c r="A686" s="87"/>
      <c r="B686" s="30"/>
      <c r="C686" s="70"/>
      <c r="G686" s="30"/>
      <c r="H686" s="77"/>
      <c r="I686" s="77"/>
      <c r="J686" s="58"/>
      <c r="K686" s="58"/>
      <c r="L686" s="3"/>
    </row>
    <row r="687" spans="1:12" s="71" customFormat="1">
      <c r="A687" s="87"/>
      <c r="B687" s="30"/>
      <c r="C687" s="70"/>
      <c r="G687" s="30"/>
      <c r="H687" s="77"/>
      <c r="I687" s="77"/>
      <c r="J687" s="58"/>
      <c r="K687" s="58"/>
      <c r="L687" s="3"/>
    </row>
    <row r="688" spans="1:12" s="71" customFormat="1">
      <c r="A688" s="87"/>
      <c r="B688" s="30"/>
      <c r="C688" s="70"/>
      <c r="G688" s="30"/>
      <c r="H688" s="77"/>
      <c r="I688" s="77"/>
      <c r="J688" s="58"/>
      <c r="K688" s="58"/>
      <c r="L688" s="3"/>
    </row>
    <row r="689" spans="1:12" s="71" customFormat="1">
      <c r="A689" s="87"/>
      <c r="B689" s="30"/>
      <c r="C689" s="70"/>
      <c r="G689" s="30"/>
      <c r="H689" s="77"/>
      <c r="I689" s="77"/>
      <c r="J689" s="58"/>
      <c r="K689" s="58"/>
      <c r="L689" s="3"/>
    </row>
    <row r="690" spans="1:12" s="71" customFormat="1">
      <c r="A690" s="87"/>
      <c r="B690" s="30"/>
      <c r="C690" s="70"/>
      <c r="G690" s="30"/>
      <c r="H690" s="77"/>
      <c r="I690" s="77"/>
      <c r="J690" s="58"/>
      <c r="K690" s="58"/>
      <c r="L690" s="3"/>
    </row>
    <row r="691" spans="1:12" s="71" customFormat="1">
      <c r="A691" s="87"/>
      <c r="B691" s="30"/>
      <c r="C691" s="70"/>
      <c r="G691" s="30"/>
      <c r="H691" s="77"/>
      <c r="I691" s="77"/>
      <c r="J691" s="58"/>
      <c r="K691" s="58"/>
      <c r="L691" s="3"/>
    </row>
    <row r="692" spans="1:12" s="71" customFormat="1">
      <c r="A692" s="87"/>
      <c r="B692" s="30"/>
      <c r="C692" s="70"/>
      <c r="G692" s="30"/>
      <c r="H692" s="77"/>
      <c r="I692" s="77"/>
      <c r="J692" s="58"/>
      <c r="K692" s="58"/>
      <c r="L692" s="3"/>
    </row>
    <row r="693" spans="1:12" s="71" customFormat="1">
      <c r="A693" s="87"/>
      <c r="B693" s="30"/>
      <c r="C693" s="70"/>
      <c r="G693" s="30"/>
      <c r="H693" s="77"/>
      <c r="I693" s="77"/>
      <c r="J693" s="58"/>
      <c r="K693" s="58"/>
      <c r="L693" s="3"/>
    </row>
    <row r="694" spans="1:12" s="71" customFormat="1">
      <c r="A694" s="87"/>
      <c r="B694" s="30"/>
      <c r="C694" s="70"/>
      <c r="G694" s="30"/>
      <c r="H694" s="77"/>
      <c r="I694" s="77"/>
      <c r="J694" s="58"/>
      <c r="K694" s="58"/>
      <c r="L694" s="3"/>
    </row>
    <row r="695" spans="1:12" s="71" customFormat="1">
      <c r="A695" s="87"/>
      <c r="B695" s="30"/>
      <c r="C695" s="70"/>
      <c r="G695" s="30"/>
      <c r="H695" s="77"/>
      <c r="I695" s="77"/>
      <c r="J695" s="58"/>
      <c r="K695" s="58"/>
      <c r="L695" s="3"/>
    </row>
    <row r="696" spans="1:12" s="71" customFormat="1">
      <c r="A696" s="87"/>
      <c r="B696" s="30"/>
      <c r="C696" s="70"/>
      <c r="G696" s="30"/>
      <c r="H696" s="77"/>
      <c r="I696" s="77"/>
      <c r="J696" s="58"/>
      <c r="K696" s="58"/>
      <c r="L696" s="3"/>
    </row>
    <row r="697" spans="1:12" s="71" customFormat="1">
      <c r="A697" s="87"/>
      <c r="B697" s="30"/>
      <c r="C697" s="70"/>
      <c r="G697" s="30"/>
      <c r="H697" s="77"/>
      <c r="I697" s="77"/>
      <c r="J697" s="58"/>
      <c r="K697" s="58"/>
      <c r="L697" s="3"/>
    </row>
    <row r="698" spans="1:12" s="71" customFormat="1">
      <c r="A698" s="87"/>
      <c r="B698" s="30"/>
      <c r="C698" s="70"/>
      <c r="G698" s="30"/>
      <c r="H698" s="77"/>
      <c r="I698" s="77"/>
      <c r="J698" s="58"/>
      <c r="K698" s="58"/>
      <c r="L698" s="3"/>
    </row>
    <row r="699" spans="1:12" s="71" customFormat="1">
      <c r="A699" s="87"/>
      <c r="B699" s="30"/>
      <c r="C699" s="70"/>
      <c r="G699" s="30"/>
      <c r="H699" s="77"/>
      <c r="I699" s="77"/>
      <c r="J699" s="58"/>
      <c r="K699" s="58"/>
      <c r="L699" s="3"/>
    </row>
    <row r="700" spans="1:12" s="71" customFormat="1">
      <c r="A700" s="87"/>
      <c r="B700" s="30"/>
      <c r="C700" s="70"/>
      <c r="G700" s="30"/>
      <c r="H700" s="77"/>
      <c r="I700" s="77"/>
      <c r="J700" s="58"/>
      <c r="K700" s="58"/>
      <c r="L700" s="3"/>
    </row>
    <row r="701" spans="1:12" s="71" customFormat="1">
      <c r="A701" s="87"/>
      <c r="B701" s="30"/>
      <c r="C701" s="70"/>
      <c r="G701" s="30"/>
      <c r="H701" s="77"/>
      <c r="I701" s="77"/>
      <c r="J701" s="58"/>
      <c r="K701" s="58"/>
      <c r="L701" s="3"/>
    </row>
    <row r="702" spans="1:12" s="71" customFormat="1">
      <c r="A702" s="87"/>
      <c r="B702" s="30"/>
      <c r="C702" s="70"/>
      <c r="G702" s="30"/>
      <c r="H702" s="77"/>
      <c r="I702" s="77"/>
      <c r="J702" s="58"/>
      <c r="K702" s="58"/>
      <c r="L702" s="3"/>
    </row>
    <row r="703" spans="1:12" s="71" customFormat="1">
      <c r="A703" s="87"/>
      <c r="B703" s="30"/>
      <c r="C703" s="70"/>
      <c r="G703" s="30"/>
      <c r="H703" s="77"/>
      <c r="I703" s="77"/>
      <c r="J703" s="58"/>
      <c r="K703" s="58"/>
      <c r="L703" s="3"/>
    </row>
    <row r="704" spans="1:12" s="71" customFormat="1">
      <c r="A704" s="87"/>
      <c r="B704" s="30"/>
      <c r="C704" s="70"/>
      <c r="G704" s="30"/>
      <c r="H704" s="77"/>
      <c r="I704" s="77"/>
      <c r="J704" s="58"/>
      <c r="K704" s="58"/>
      <c r="L704" s="3"/>
    </row>
    <row r="705" spans="1:12" s="71" customFormat="1">
      <c r="A705" s="87"/>
      <c r="B705" s="30"/>
      <c r="C705" s="70"/>
      <c r="G705" s="30"/>
      <c r="H705" s="77"/>
      <c r="I705" s="77"/>
      <c r="J705" s="58"/>
      <c r="K705" s="58"/>
      <c r="L705" s="3"/>
    </row>
    <row r="706" spans="1:12" s="71" customFormat="1">
      <c r="A706" s="87"/>
      <c r="B706" s="30"/>
      <c r="C706" s="70"/>
      <c r="G706" s="30"/>
      <c r="H706" s="77"/>
      <c r="I706" s="77"/>
      <c r="J706" s="58"/>
      <c r="K706" s="58"/>
      <c r="L706" s="3"/>
    </row>
    <row r="707" spans="1:12" s="71" customFormat="1">
      <c r="A707" s="87"/>
      <c r="B707" s="30"/>
      <c r="C707" s="70"/>
      <c r="G707" s="30"/>
      <c r="H707" s="77"/>
      <c r="I707" s="77"/>
      <c r="J707" s="58"/>
      <c r="K707" s="58"/>
      <c r="L707" s="3"/>
    </row>
    <row r="708" spans="1:12" s="71" customFormat="1">
      <c r="A708" s="87"/>
      <c r="B708" s="30"/>
      <c r="C708" s="70"/>
      <c r="G708" s="30"/>
      <c r="H708" s="77"/>
      <c r="I708" s="77"/>
      <c r="J708" s="58"/>
      <c r="K708" s="58"/>
      <c r="L708" s="3"/>
    </row>
    <row r="709" spans="1:12" s="71" customFormat="1">
      <c r="A709" s="87"/>
      <c r="B709" s="30"/>
      <c r="C709" s="70"/>
      <c r="G709" s="30"/>
      <c r="H709" s="77"/>
      <c r="I709" s="77"/>
      <c r="J709" s="58"/>
      <c r="K709" s="58"/>
      <c r="L709" s="3"/>
    </row>
    <row r="710" spans="1:12" s="71" customFormat="1">
      <c r="A710" s="87"/>
      <c r="B710" s="30"/>
      <c r="C710" s="70"/>
      <c r="G710" s="30"/>
      <c r="H710" s="77"/>
      <c r="I710" s="77"/>
      <c r="J710" s="58"/>
      <c r="K710" s="58"/>
      <c r="L710" s="3"/>
    </row>
    <row r="711" spans="1:12" s="71" customFormat="1">
      <c r="A711" s="87"/>
      <c r="B711" s="30"/>
      <c r="C711" s="70"/>
      <c r="G711" s="30"/>
      <c r="H711" s="77"/>
      <c r="I711" s="77"/>
      <c r="J711" s="58"/>
      <c r="K711" s="58"/>
      <c r="L711" s="3"/>
    </row>
    <row r="712" spans="1:12" s="71" customFormat="1">
      <c r="A712" s="87"/>
      <c r="B712" s="30"/>
      <c r="C712" s="70"/>
      <c r="G712" s="30"/>
      <c r="H712" s="77"/>
      <c r="I712" s="77"/>
      <c r="J712" s="58"/>
      <c r="K712" s="58"/>
      <c r="L712" s="3"/>
    </row>
    <row r="713" spans="1:12" s="71" customFormat="1">
      <c r="A713" s="87"/>
      <c r="B713" s="30"/>
      <c r="C713" s="70"/>
      <c r="G713" s="30"/>
      <c r="H713" s="77"/>
      <c r="I713" s="77"/>
      <c r="J713" s="58"/>
      <c r="K713" s="58"/>
      <c r="L713" s="3"/>
    </row>
    <row r="714" spans="1:12" s="71" customFormat="1">
      <c r="A714" s="87"/>
      <c r="B714" s="30"/>
      <c r="C714" s="70"/>
      <c r="G714" s="30"/>
      <c r="H714" s="77"/>
      <c r="I714" s="77"/>
      <c r="J714" s="58"/>
      <c r="K714" s="58"/>
      <c r="L714" s="3"/>
    </row>
    <row r="715" spans="1:12" s="71" customFormat="1">
      <c r="A715" s="87"/>
      <c r="B715" s="30"/>
      <c r="C715" s="70"/>
      <c r="G715" s="30"/>
      <c r="H715" s="77"/>
      <c r="I715" s="77"/>
      <c r="J715" s="58"/>
      <c r="K715" s="58"/>
      <c r="L715" s="3"/>
    </row>
    <row r="716" spans="1:12" s="71" customFormat="1">
      <c r="A716" s="87"/>
      <c r="B716" s="30"/>
      <c r="C716" s="70"/>
      <c r="G716" s="30"/>
      <c r="H716" s="77"/>
      <c r="I716" s="77"/>
      <c r="J716" s="58"/>
      <c r="K716" s="58"/>
      <c r="L716" s="3"/>
    </row>
    <row r="717" spans="1:12" s="71" customFormat="1">
      <c r="A717" s="87"/>
      <c r="B717" s="30"/>
      <c r="C717" s="70"/>
      <c r="G717" s="30"/>
      <c r="H717" s="77"/>
      <c r="I717" s="77"/>
      <c r="J717" s="58"/>
      <c r="K717" s="58"/>
      <c r="L717" s="3"/>
    </row>
    <row r="718" spans="1:12" s="71" customFormat="1">
      <c r="A718" s="87"/>
      <c r="B718" s="30"/>
      <c r="C718" s="70"/>
      <c r="G718" s="30"/>
      <c r="H718" s="77"/>
      <c r="I718" s="77"/>
      <c r="J718" s="58"/>
      <c r="K718" s="58"/>
      <c r="L718" s="3"/>
    </row>
    <row r="719" spans="1:12" s="71" customFormat="1">
      <c r="A719" s="87"/>
      <c r="B719" s="30"/>
      <c r="C719" s="70"/>
      <c r="G719" s="30"/>
      <c r="H719" s="77"/>
      <c r="I719" s="77"/>
      <c r="J719" s="58"/>
      <c r="K719" s="58"/>
      <c r="L719" s="3"/>
    </row>
    <row r="720" spans="1:12" s="71" customFormat="1">
      <c r="A720" s="87"/>
      <c r="B720" s="30"/>
      <c r="C720" s="70"/>
      <c r="G720" s="30"/>
      <c r="H720" s="77"/>
      <c r="I720" s="77"/>
      <c r="J720" s="58"/>
      <c r="K720" s="58"/>
      <c r="L720" s="3"/>
    </row>
    <row r="721" spans="1:12" s="71" customFormat="1">
      <c r="A721" s="87"/>
      <c r="B721" s="30"/>
      <c r="C721" s="70"/>
      <c r="G721" s="30"/>
      <c r="H721" s="77"/>
      <c r="I721" s="77"/>
      <c r="J721" s="58"/>
      <c r="K721" s="58"/>
      <c r="L721" s="3"/>
    </row>
    <row r="722" spans="1:12" s="71" customFormat="1">
      <c r="A722" s="87"/>
      <c r="B722" s="30"/>
      <c r="C722" s="70"/>
      <c r="G722" s="30"/>
      <c r="H722" s="77"/>
      <c r="I722" s="77"/>
      <c r="J722" s="58"/>
      <c r="K722" s="58"/>
      <c r="L722" s="3"/>
    </row>
    <row r="723" spans="1:12" s="71" customFormat="1">
      <c r="A723" s="87"/>
      <c r="B723" s="30"/>
      <c r="C723" s="70"/>
      <c r="G723" s="30"/>
      <c r="H723" s="77"/>
      <c r="I723" s="77"/>
      <c r="J723" s="58"/>
      <c r="K723" s="58"/>
      <c r="L723" s="3"/>
    </row>
    <row r="724" spans="1:12" s="71" customFormat="1">
      <c r="A724" s="87"/>
      <c r="B724" s="30"/>
      <c r="C724" s="70"/>
      <c r="G724" s="30"/>
      <c r="H724" s="77"/>
      <c r="I724" s="77"/>
      <c r="J724" s="58"/>
      <c r="K724" s="58"/>
      <c r="L724" s="3"/>
    </row>
    <row r="725" spans="1:12" s="71" customFormat="1">
      <c r="A725" s="87"/>
      <c r="B725" s="30"/>
      <c r="C725" s="70"/>
      <c r="G725" s="30"/>
      <c r="H725" s="77"/>
      <c r="I725" s="77"/>
      <c r="J725" s="58"/>
      <c r="K725" s="58"/>
      <c r="L725" s="3"/>
    </row>
    <row r="726" spans="1:12" s="71" customFormat="1">
      <c r="A726" s="87"/>
      <c r="B726" s="30"/>
      <c r="C726" s="70"/>
      <c r="G726" s="30"/>
      <c r="H726" s="77"/>
      <c r="I726" s="77"/>
      <c r="J726" s="58"/>
      <c r="K726" s="58"/>
      <c r="L726" s="3"/>
    </row>
    <row r="727" spans="1:12" s="71" customFormat="1">
      <c r="A727" s="87"/>
      <c r="B727" s="30"/>
      <c r="C727" s="70"/>
      <c r="G727" s="30"/>
      <c r="H727" s="77"/>
      <c r="I727" s="77"/>
      <c r="J727" s="58"/>
      <c r="K727" s="58"/>
      <c r="L727" s="3"/>
    </row>
    <row r="728" spans="1:12" s="71" customFormat="1">
      <c r="A728" s="87"/>
      <c r="B728" s="30"/>
      <c r="C728" s="70"/>
      <c r="G728" s="30"/>
      <c r="H728" s="77"/>
      <c r="I728" s="77"/>
      <c r="J728" s="58"/>
      <c r="K728" s="58"/>
      <c r="L728" s="3"/>
    </row>
    <row r="729" spans="1:12" s="71" customFormat="1">
      <c r="A729" s="87"/>
      <c r="B729" s="30"/>
      <c r="C729" s="70"/>
      <c r="G729" s="30"/>
      <c r="H729" s="77"/>
      <c r="I729" s="77"/>
      <c r="J729" s="58"/>
      <c r="K729" s="58"/>
      <c r="L729" s="3"/>
    </row>
    <row r="730" spans="1:12" s="71" customFormat="1">
      <c r="A730" s="87"/>
      <c r="B730" s="30"/>
      <c r="C730" s="70"/>
      <c r="G730" s="30"/>
      <c r="H730" s="77"/>
      <c r="I730" s="77"/>
      <c r="J730" s="58"/>
      <c r="K730" s="58"/>
      <c r="L730" s="3"/>
    </row>
    <row r="731" spans="1:12" s="71" customFormat="1">
      <c r="A731" s="87"/>
      <c r="B731" s="30"/>
      <c r="C731" s="70"/>
      <c r="G731" s="30"/>
      <c r="H731" s="77"/>
      <c r="I731" s="77"/>
      <c r="J731" s="58"/>
      <c r="K731" s="58"/>
      <c r="L731" s="3"/>
    </row>
    <row r="732" spans="1:12" s="71" customFormat="1">
      <c r="A732" s="87"/>
      <c r="B732" s="30"/>
      <c r="C732" s="70"/>
      <c r="G732" s="30"/>
      <c r="H732" s="77"/>
      <c r="I732" s="77"/>
      <c r="J732" s="58"/>
      <c r="K732" s="58"/>
      <c r="L732" s="3"/>
    </row>
    <row r="733" spans="1:12" s="71" customFormat="1">
      <c r="A733" s="87"/>
      <c r="B733" s="30"/>
      <c r="C733" s="70"/>
      <c r="G733" s="30"/>
      <c r="H733" s="77"/>
      <c r="I733" s="77"/>
      <c r="J733" s="58"/>
      <c r="K733" s="58"/>
      <c r="L733" s="3"/>
    </row>
    <row r="734" spans="1:12" s="71" customFormat="1">
      <c r="A734" s="87"/>
      <c r="B734" s="30"/>
      <c r="C734" s="70"/>
      <c r="G734" s="30"/>
      <c r="H734" s="77"/>
      <c r="I734" s="77"/>
      <c r="J734" s="58"/>
      <c r="K734" s="58"/>
      <c r="L734" s="3"/>
    </row>
    <row r="735" spans="1:12" s="71" customFormat="1">
      <c r="A735" s="87"/>
      <c r="B735" s="30"/>
      <c r="C735" s="70"/>
      <c r="G735" s="30"/>
      <c r="H735" s="77"/>
      <c r="I735" s="77"/>
      <c r="J735" s="58"/>
      <c r="K735" s="58"/>
      <c r="L735" s="3"/>
    </row>
    <row r="736" spans="1:12" s="71" customFormat="1">
      <c r="A736" s="87"/>
      <c r="B736" s="30"/>
      <c r="C736" s="70"/>
      <c r="G736" s="30"/>
      <c r="H736" s="77"/>
      <c r="I736" s="77"/>
      <c r="J736" s="58"/>
      <c r="K736" s="58"/>
      <c r="L736" s="3"/>
    </row>
    <row r="737" spans="1:12" s="71" customFormat="1">
      <c r="A737" s="87"/>
      <c r="B737" s="30"/>
      <c r="C737" s="70"/>
      <c r="G737" s="30"/>
      <c r="H737" s="77"/>
      <c r="I737" s="77"/>
      <c r="J737" s="58"/>
      <c r="K737" s="58"/>
      <c r="L737" s="3"/>
    </row>
    <row r="738" spans="1:12" s="71" customFormat="1">
      <c r="A738" s="87"/>
      <c r="B738" s="30"/>
      <c r="C738" s="70"/>
      <c r="G738" s="30"/>
      <c r="H738" s="77"/>
      <c r="I738" s="77"/>
      <c r="J738" s="58"/>
      <c r="K738" s="58"/>
      <c r="L738" s="3"/>
    </row>
    <row r="739" spans="1:12" s="71" customFormat="1">
      <c r="A739" s="87"/>
      <c r="B739" s="30"/>
      <c r="C739" s="70"/>
      <c r="G739" s="30"/>
      <c r="H739" s="77"/>
      <c r="I739" s="77"/>
      <c r="J739" s="58"/>
      <c r="K739" s="58"/>
      <c r="L739" s="3"/>
    </row>
    <row r="740" spans="1:12" s="71" customFormat="1">
      <c r="A740" s="87"/>
      <c r="B740" s="30"/>
      <c r="C740" s="70"/>
      <c r="G740" s="30"/>
      <c r="H740" s="77"/>
      <c r="I740" s="77"/>
      <c r="J740" s="58"/>
      <c r="K740" s="58"/>
      <c r="L740" s="3"/>
    </row>
    <row r="741" spans="1:12" s="71" customFormat="1">
      <c r="A741" s="87"/>
      <c r="B741" s="30"/>
      <c r="C741" s="70"/>
      <c r="G741" s="30"/>
      <c r="H741" s="77"/>
      <c r="I741" s="77"/>
      <c r="J741" s="58"/>
      <c r="K741" s="58"/>
      <c r="L741" s="3"/>
    </row>
    <row r="742" spans="1:12" s="71" customFormat="1">
      <c r="A742" s="87"/>
      <c r="B742" s="30"/>
      <c r="C742" s="70"/>
      <c r="G742" s="30"/>
      <c r="H742" s="77"/>
      <c r="I742" s="77"/>
      <c r="J742" s="58"/>
      <c r="K742" s="58"/>
      <c r="L742" s="3"/>
    </row>
    <row r="743" spans="1:12" s="71" customFormat="1">
      <c r="A743" s="87"/>
      <c r="B743" s="30"/>
      <c r="C743" s="70"/>
      <c r="G743" s="30"/>
      <c r="H743" s="77"/>
      <c r="I743" s="77"/>
      <c r="J743" s="58"/>
      <c r="K743" s="58"/>
      <c r="L743" s="3"/>
    </row>
    <row r="744" spans="1:12" s="71" customFormat="1">
      <c r="A744" s="87"/>
      <c r="B744" s="30"/>
      <c r="C744" s="70"/>
      <c r="G744" s="30"/>
      <c r="H744" s="77"/>
      <c r="I744" s="77"/>
      <c r="J744" s="58"/>
      <c r="K744" s="58"/>
      <c r="L744" s="3"/>
    </row>
    <row r="745" spans="1:12" s="71" customFormat="1">
      <c r="A745" s="87"/>
      <c r="B745" s="30"/>
      <c r="C745" s="70"/>
      <c r="G745" s="30"/>
      <c r="H745" s="77"/>
      <c r="I745" s="77"/>
      <c r="J745" s="58"/>
      <c r="K745" s="58"/>
      <c r="L745" s="3"/>
    </row>
    <row r="746" spans="1:12" s="71" customFormat="1">
      <c r="A746" s="87"/>
      <c r="B746" s="30"/>
      <c r="C746" s="70"/>
      <c r="G746" s="30"/>
      <c r="H746" s="77"/>
      <c r="I746" s="77"/>
      <c r="J746" s="58"/>
      <c r="K746" s="58"/>
      <c r="L746" s="3"/>
    </row>
    <row r="747" spans="1:12" s="71" customFormat="1">
      <c r="A747" s="87"/>
      <c r="B747" s="30"/>
      <c r="C747" s="70"/>
      <c r="G747" s="30"/>
      <c r="H747" s="77"/>
      <c r="I747" s="77"/>
      <c r="J747" s="58"/>
      <c r="K747" s="58"/>
      <c r="L747" s="3"/>
    </row>
    <row r="748" spans="1:12" s="71" customFormat="1">
      <c r="A748" s="87"/>
      <c r="B748" s="30"/>
      <c r="C748" s="70"/>
      <c r="G748" s="30"/>
      <c r="H748" s="77"/>
      <c r="I748" s="77"/>
      <c r="J748" s="58"/>
      <c r="K748" s="58"/>
      <c r="L748" s="3"/>
    </row>
    <row r="749" spans="1:12" s="71" customFormat="1">
      <c r="A749" s="87"/>
      <c r="B749" s="30"/>
      <c r="C749" s="70"/>
      <c r="G749" s="30"/>
      <c r="H749" s="77"/>
      <c r="I749" s="77"/>
      <c r="J749" s="58"/>
      <c r="K749" s="58"/>
      <c r="L749" s="3"/>
    </row>
    <row r="750" spans="1:12" s="71" customFormat="1">
      <c r="A750" s="87"/>
      <c r="B750" s="30"/>
      <c r="C750" s="70"/>
      <c r="G750" s="30"/>
      <c r="H750" s="77"/>
      <c r="I750" s="77"/>
      <c r="J750" s="58"/>
      <c r="K750" s="58"/>
      <c r="L750" s="3"/>
    </row>
    <row r="751" spans="1:12" s="71" customFormat="1">
      <c r="A751" s="87"/>
      <c r="B751" s="30"/>
      <c r="C751" s="70"/>
      <c r="G751" s="30"/>
      <c r="H751" s="77"/>
      <c r="I751" s="77"/>
      <c r="J751" s="58"/>
      <c r="K751" s="58"/>
      <c r="L751" s="3"/>
    </row>
    <row r="752" spans="1:12" s="71" customFormat="1">
      <c r="A752" s="87"/>
      <c r="B752" s="30"/>
      <c r="C752" s="70"/>
      <c r="G752" s="30"/>
      <c r="H752" s="77"/>
      <c r="I752" s="77"/>
      <c r="J752" s="58"/>
      <c r="K752" s="58"/>
      <c r="L752" s="3"/>
    </row>
    <row r="753" spans="1:12" s="71" customFormat="1">
      <c r="A753" s="87"/>
      <c r="B753" s="30"/>
      <c r="C753" s="70"/>
      <c r="G753" s="30"/>
      <c r="H753" s="77"/>
      <c r="I753" s="77"/>
      <c r="J753" s="58"/>
      <c r="K753" s="58"/>
      <c r="L753" s="3"/>
    </row>
    <row r="754" spans="1:12" s="71" customFormat="1">
      <c r="A754" s="87"/>
      <c r="B754" s="30"/>
      <c r="C754" s="70"/>
      <c r="G754" s="30"/>
      <c r="H754" s="77"/>
      <c r="I754" s="77"/>
      <c r="J754" s="58"/>
      <c r="K754" s="58"/>
      <c r="L754" s="3"/>
    </row>
    <row r="755" spans="1:12" s="71" customFormat="1">
      <c r="A755" s="87"/>
      <c r="B755" s="30"/>
      <c r="C755" s="70"/>
      <c r="G755" s="30"/>
      <c r="H755" s="77"/>
      <c r="I755" s="77"/>
      <c r="J755" s="58"/>
      <c r="K755" s="58"/>
      <c r="L755" s="3"/>
    </row>
    <row r="756" spans="1:12" s="71" customFormat="1">
      <c r="A756" s="87"/>
      <c r="B756" s="30"/>
      <c r="C756" s="70"/>
      <c r="G756" s="30"/>
      <c r="H756" s="77"/>
      <c r="I756" s="77"/>
      <c r="J756" s="58"/>
      <c r="K756" s="58"/>
      <c r="L756" s="3"/>
    </row>
    <row r="757" spans="1:12" s="71" customFormat="1">
      <c r="A757" s="87"/>
      <c r="B757" s="30"/>
      <c r="C757" s="70"/>
      <c r="G757" s="30"/>
      <c r="H757" s="77"/>
      <c r="I757" s="77"/>
      <c r="J757" s="58"/>
      <c r="K757" s="58"/>
      <c r="L757" s="3"/>
    </row>
    <row r="758" spans="1:12" s="71" customFormat="1">
      <c r="A758" s="87"/>
      <c r="B758" s="30"/>
      <c r="C758" s="70"/>
      <c r="G758" s="30"/>
      <c r="H758" s="77"/>
      <c r="I758" s="77"/>
      <c r="J758" s="58"/>
      <c r="K758" s="58"/>
      <c r="L758" s="3"/>
    </row>
    <row r="759" spans="1:12" s="71" customFormat="1">
      <c r="A759" s="87"/>
      <c r="B759" s="30"/>
      <c r="C759" s="70"/>
      <c r="G759" s="30"/>
      <c r="H759" s="77"/>
      <c r="I759" s="77"/>
      <c r="J759" s="58"/>
      <c r="K759" s="58"/>
      <c r="L759" s="3"/>
    </row>
    <row r="760" spans="1:12" s="71" customFormat="1">
      <c r="A760" s="87"/>
      <c r="B760" s="30"/>
      <c r="C760" s="70"/>
      <c r="G760" s="30"/>
      <c r="H760" s="77"/>
      <c r="I760" s="77"/>
      <c r="J760" s="58"/>
      <c r="K760" s="58"/>
      <c r="L760" s="3"/>
    </row>
    <row r="761" spans="1:12" s="71" customFormat="1">
      <c r="A761" s="87"/>
      <c r="B761" s="30"/>
      <c r="C761" s="70"/>
      <c r="G761" s="30"/>
      <c r="H761" s="77"/>
      <c r="I761" s="77"/>
      <c r="J761" s="58"/>
      <c r="K761" s="58"/>
      <c r="L761" s="3"/>
    </row>
    <row r="762" spans="1:12" s="71" customFormat="1">
      <c r="A762" s="87"/>
      <c r="B762" s="30"/>
      <c r="C762" s="70"/>
      <c r="G762" s="30"/>
      <c r="H762" s="77"/>
      <c r="I762" s="77"/>
      <c r="J762" s="58"/>
      <c r="K762" s="58"/>
      <c r="L762" s="3"/>
    </row>
    <row r="763" spans="1:12" s="71" customFormat="1">
      <c r="A763" s="87"/>
      <c r="B763" s="30"/>
      <c r="C763" s="70"/>
      <c r="G763" s="30"/>
      <c r="H763" s="77"/>
      <c r="I763" s="77"/>
      <c r="J763" s="58"/>
      <c r="K763" s="58"/>
      <c r="L763" s="3"/>
    </row>
    <row r="764" spans="1:12" s="71" customFormat="1">
      <c r="A764" s="87"/>
      <c r="B764" s="30"/>
      <c r="C764" s="70"/>
      <c r="G764" s="30"/>
      <c r="H764" s="77"/>
      <c r="I764" s="77"/>
      <c r="J764" s="58"/>
      <c r="K764" s="58"/>
      <c r="L764" s="3"/>
    </row>
    <row r="765" spans="1:12" s="71" customFormat="1">
      <c r="A765" s="87"/>
      <c r="B765" s="30"/>
      <c r="C765" s="70"/>
      <c r="G765" s="30"/>
      <c r="H765" s="77"/>
      <c r="I765" s="77"/>
      <c r="J765" s="58"/>
      <c r="K765" s="58"/>
      <c r="L765" s="3"/>
    </row>
    <row r="766" spans="1:12" s="71" customFormat="1">
      <c r="A766" s="87"/>
      <c r="B766" s="30"/>
      <c r="C766" s="70"/>
      <c r="G766" s="30"/>
      <c r="H766" s="77"/>
      <c r="I766" s="77"/>
      <c r="J766" s="58"/>
      <c r="K766" s="58"/>
      <c r="L766" s="3"/>
    </row>
    <row r="767" spans="1:12" s="71" customFormat="1">
      <c r="A767" s="87"/>
      <c r="B767" s="30"/>
      <c r="C767" s="70"/>
      <c r="G767" s="30"/>
      <c r="H767" s="77"/>
      <c r="I767" s="77"/>
      <c r="J767" s="58"/>
      <c r="K767" s="58"/>
      <c r="L767" s="3"/>
    </row>
    <row r="768" spans="1:12" s="71" customFormat="1">
      <c r="A768" s="87"/>
      <c r="B768" s="30"/>
      <c r="C768" s="70"/>
      <c r="G768" s="30"/>
      <c r="H768" s="77"/>
      <c r="I768" s="77"/>
      <c r="J768" s="58"/>
      <c r="K768" s="58"/>
      <c r="L768" s="3"/>
    </row>
    <row r="769" spans="1:12" s="71" customFormat="1">
      <c r="A769" s="87"/>
      <c r="B769" s="30"/>
      <c r="C769" s="70"/>
      <c r="G769" s="30"/>
      <c r="H769" s="77"/>
      <c r="I769" s="77"/>
      <c r="J769" s="58"/>
      <c r="K769" s="58"/>
      <c r="L769" s="3"/>
    </row>
    <row r="770" spans="1:12" s="71" customFormat="1">
      <c r="A770" s="87"/>
      <c r="B770" s="30"/>
      <c r="C770" s="70"/>
      <c r="G770" s="30"/>
      <c r="H770" s="77"/>
      <c r="I770" s="77"/>
      <c r="J770" s="58"/>
      <c r="K770" s="58"/>
      <c r="L770" s="3"/>
    </row>
    <row r="771" spans="1:12" s="71" customFormat="1">
      <c r="A771" s="87"/>
      <c r="B771" s="30"/>
      <c r="C771" s="70"/>
      <c r="G771" s="30"/>
      <c r="H771" s="77"/>
      <c r="I771" s="77"/>
      <c r="J771" s="58"/>
      <c r="K771" s="58"/>
      <c r="L771" s="3"/>
    </row>
    <row r="772" spans="1:12" s="71" customFormat="1">
      <c r="A772" s="87"/>
      <c r="B772" s="30"/>
      <c r="C772" s="70"/>
      <c r="G772" s="30"/>
      <c r="H772" s="77"/>
      <c r="I772" s="77"/>
      <c r="J772" s="58"/>
      <c r="K772" s="58"/>
      <c r="L772" s="3"/>
    </row>
    <row r="773" spans="1:12" s="71" customFormat="1">
      <c r="A773" s="87"/>
      <c r="B773" s="30"/>
      <c r="C773" s="70"/>
      <c r="G773" s="30"/>
      <c r="H773" s="77"/>
      <c r="I773" s="77"/>
      <c r="J773" s="58"/>
      <c r="K773" s="58"/>
      <c r="L773" s="3"/>
    </row>
    <row r="774" spans="1:12" s="71" customFormat="1">
      <c r="A774" s="87"/>
      <c r="B774" s="30"/>
      <c r="C774" s="70"/>
      <c r="G774" s="30"/>
      <c r="H774" s="77"/>
      <c r="I774" s="77"/>
      <c r="J774" s="58"/>
      <c r="K774" s="58"/>
      <c r="L774" s="3"/>
    </row>
    <row r="775" spans="1:12" s="71" customFormat="1">
      <c r="A775" s="87"/>
      <c r="B775" s="30"/>
      <c r="C775" s="70"/>
      <c r="G775" s="30"/>
      <c r="H775" s="77"/>
      <c r="I775" s="77"/>
      <c r="J775" s="58"/>
      <c r="K775" s="58"/>
      <c r="L775" s="3"/>
    </row>
    <row r="776" spans="1:12" s="71" customFormat="1">
      <c r="A776" s="87"/>
      <c r="B776" s="30"/>
      <c r="C776" s="70"/>
      <c r="G776" s="30"/>
      <c r="H776" s="77"/>
      <c r="I776" s="77"/>
      <c r="J776" s="58"/>
      <c r="K776" s="58"/>
      <c r="L776" s="3"/>
    </row>
    <row r="777" spans="1:12" s="71" customFormat="1">
      <c r="A777" s="87"/>
      <c r="B777" s="30"/>
      <c r="C777" s="70"/>
      <c r="G777" s="30"/>
      <c r="H777" s="77"/>
      <c r="I777" s="77"/>
      <c r="J777" s="58"/>
      <c r="K777" s="58"/>
      <c r="L777" s="3"/>
    </row>
    <row r="778" spans="1:12" s="71" customFormat="1">
      <c r="A778" s="87"/>
      <c r="B778" s="30"/>
      <c r="C778" s="70"/>
      <c r="G778" s="30"/>
      <c r="H778" s="77"/>
      <c r="I778" s="77"/>
      <c r="J778" s="58"/>
      <c r="K778" s="58"/>
      <c r="L778" s="3"/>
    </row>
    <row r="779" spans="1:12" s="71" customFormat="1">
      <c r="A779" s="87"/>
      <c r="B779" s="30"/>
      <c r="C779" s="70"/>
      <c r="G779" s="30"/>
      <c r="H779" s="77"/>
      <c r="I779" s="77"/>
      <c r="J779" s="58"/>
      <c r="K779" s="58"/>
      <c r="L779" s="3"/>
    </row>
    <row r="780" spans="1:12" s="71" customFormat="1">
      <c r="A780" s="87"/>
      <c r="B780" s="30"/>
      <c r="C780" s="70"/>
      <c r="G780" s="30"/>
      <c r="H780" s="77"/>
      <c r="I780" s="77"/>
      <c r="J780" s="58"/>
      <c r="K780" s="58"/>
      <c r="L780" s="3"/>
    </row>
    <row r="781" spans="1:12" s="71" customFormat="1">
      <c r="A781" s="87"/>
      <c r="B781" s="30"/>
      <c r="C781" s="70"/>
      <c r="G781" s="30"/>
      <c r="H781" s="77"/>
      <c r="I781" s="77"/>
      <c r="J781" s="58"/>
      <c r="K781" s="58"/>
      <c r="L781" s="3"/>
    </row>
    <row r="782" spans="1:12" s="71" customFormat="1">
      <c r="A782" s="87"/>
      <c r="B782" s="30"/>
      <c r="C782" s="70"/>
      <c r="G782" s="30"/>
      <c r="H782" s="77"/>
      <c r="I782" s="77"/>
      <c r="J782" s="58"/>
      <c r="K782" s="58"/>
      <c r="L782" s="3"/>
    </row>
    <row r="783" spans="1:12" s="71" customFormat="1">
      <c r="A783" s="87"/>
      <c r="B783" s="30"/>
      <c r="C783" s="70"/>
      <c r="G783" s="30"/>
      <c r="H783" s="77"/>
      <c r="I783" s="77"/>
      <c r="J783" s="58"/>
      <c r="K783" s="58"/>
      <c r="L783" s="3"/>
    </row>
    <row r="784" spans="1:12" s="71" customFormat="1">
      <c r="A784" s="87"/>
      <c r="B784" s="30"/>
      <c r="C784" s="70"/>
      <c r="G784" s="30"/>
      <c r="H784" s="77"/>
      <c r="I784" s="77"/>
      <c r="J784" s="58"/>
      <c r="K784" s="58"/>
      <c r="L784" s="3"/>
    </row>
    <row r="785" spans="1:12" s="71" customFormat="1">
      <c r="A785" s="87"/>
      <c r="B785" s="30"/>
      <c r="C785" s="70"/>
      <c r="G785" s="30"/>
      <c r="H785" s="77"/>
      <c r="I785" s="77"/>
      <c r="J785" s="58"/>
      <c r="K785" s="58"/>
      <c r="L785" s="3"/>
    </row>
    <row r="786" spans="1:12" s="71" customFormat="1">
      <c r="A786" s="87"/>
      <c r="B786" s="30"/>
      <c r="C786" s="70"/>
      <c r="G786" s="30"/>
      <c r="H786" s="77"/>
      <c r="I786" s="77"/>
      <c r="J786" s="58"/>
      <c r="K786" s="58"/>
      <c r="L786" s="3"/>
    </row>
    <row r="787" spans="1:12" s="71" customFormat="1">
      <c r="A787" s="87"/>
      <c r="B787" s="30"/>
      <c r="C787" s="70"/>
      <c r="G787" s="30"/>
      <c r="H787" s="77"/>
      <c r="I787" s="77"/>
      <c r="J787" s="58"/>
      <c r="K787" s="58"/>
      <c r="L787" s="3"/>
    </row>
    <row r="788" spans="1:12" s="71" customFormat="1">
      <c r="A788" s="87"/>
      <c r="B788" s="30"/>
      <c r="C788" s="70"/>
      <c r="G788" s="30"/>
      <c r="H788" s="77"/>
      <c r="I788" s="77"/>
      <c r="J788" s="58"/>
      <c r="K788" s="58"/>
      <c r="L788" s="3"/>
    </row>
    <row r="789" spans="1:12" s="71" customFormat="1">
      <c r="A789" s="87"/>
      <c r="B789" s="30"/>
      <c r="C789" s="70"/>
      <c r="G789" s="30"/>
      <c r="H789" s="77"/>
      <c r="I789" s="77"/>
      <c r="J789" s="58"/>
      <c r="K789" s="58"/>
      <c r="L789" s="3"/>
    </row>
    <row r="790" spans="1:12" s="71" customFormat="1">
      <c r="A790" s="87"/>
      <c r="B790" s="30"/>
      <c r="C790" s="70"/>
      <c r="G790" s="30"/>
      <c r="H790" s="77"/>
      <c r="I790" s="77"/>
      <c r="J790" s="58"/>
      <c r="K790" s="58"/>
      <c r="L790" s="3"/>
    </row>
    <row r="791" spans="1:12" s="71" customFormat="1">
      <c r="A791" s="87"/>
      <c r="B791" s="30"/>
      <c r="C791" s="70"/>
      <c r="G791" s="30"/>
      <c r="H791" s="77"/>
      <c r="I791" s="77"/>
      <c r="J791" s="58"/>
      <c r="K791" s="58"/>
      <c r="L791" s="3"/>
    </row>
    <row r="792" spans="1:12" s="71" customFormat="1">
      <c r="A792" s="87"/>
      <c r="B792" s="30"/>
      <c r="C792" s="70"/>
      <c r="G792" s="30"/>
      <c r="H792" s="77"/>
      <c r="I792" s="77"/>
      <c r="J792" s="58"/>
      <c r="K792" s="58"/>
      <c r="L792" s="3"/>
    </row>
    <row r="793" spans="1:12" s="71" customFormat="1">
      <c r="A793" s="87"/>
      <c r="B793" s="30"/>
      <c r="C793" s="70"/>
      <c r="G793" s="30"/>
      <c r="H793" s="77"/>
      <c r="I793" s="77"/>
      <c r="J793" s="58"/>
      <c r="K793" s="58"/>
      <c r="L793" s="3"/>
    </row>
    <row r="794" spans="1:12" s="71" customFormat="1">
      <c r="A794" s="87"/>
      <c r="B794" s="30"/>
      <c r="C794" s="70"/>
      <c r="G794" s="30"/>
      <c r="H794" s="77"/>
      <c r="I794" s="77"/>
      <c r="J794" s="58"/>
      <c r="K794" s="58"/>
      <c r="L794" s="3"/>
    </row>
    <row r="795" spans="1:12" s="71" customFormat="1">
      <c r="A795" s="87"/>
      <c r="B795" s="30"/>
      <c r="C795" s="70"/>
      <c r="G795" s="30"/>
      <c r="H795" s="77"/>
      <c r="I795" s="77"/>
      <c r="J795" s="58"/>
      <c r="K795" s="58"/>
      <c r="L795" s="3"/>
    </row>
    <row r="796" spans="1:12" s="71" customFormat="1">
      <c r="A796" s="87"/>
      <c r="B796" s="30"/>
      <c r="C796" s="70"/>
      <c r="G796" s="30"/>
      <c r="H796" s="77"/>
      <c r="I796" s="77"/>
      <c r="J796" s="58"/>
      <c r="K796" s="58"/>
      <c r="L796" s="3"/>
    </row>
    <row r="797" spans="1:12" s="71" customFormat="1">
      <c r="A797" s="87"/>
      <c r="B797" s="30"/>
      <c r="C797" s="70"/>
      <c r="G797" s="30"/>
      <c r="H797" s="77"/>
      <c r="I797" s="77"/>
      <c r="J797" s="58"/>
      <c r="K797" s="58"/>
      <c r="L797" s="3"/>
    </row>
    <row r="798" spans="1:12" s="71" customFormat="1">
      <c r="A798" s="87"/>
      <c r="B798" s="30"/>
      <c r="C798" s="70"/>
      <c r="G798" s="30"/>
      <c r="H798" s="77"/>
      <c r="I798" s="77"/>
      <c r="J798" s="58"/>
      <c r="K798" s="58"/>
      <c r="L798" s="3"/>
    </row>
    <row r="799" spans="1:12" s="71" customFormat="1">
      <c r="A799" s="87"/>
      <c r="B799" s="30"/>
      <c r="C799" s="70"/>
      <c r="G799" s="30"/>
      <c r="H799" s="77"/>
      <c r="I799" s="77"/>
      <c r="J799" s="58"/>
      <c r="K799" s="58"/>
      <c r="L799" s="3"/>
    </row>
    <row r="800" spans="1:12" s="71" customFormat="1">
      <c r="A800" s="87"/>
      <c r="B800" s="30"/>
      <c r="C800" s="70"/>
      <c r="G800" s="30"/>
      <c r="H800" s="77"/>
      <c r="I800" s="77"/>
      <c r="J800" s="58"/>
      <c r="K800" s="58"/>
      <c r="L800" s="3"/>
    </row>
    <row r="801" spans="1:12" s="71" customFormat="1">
      <c r="A801" s="87"/>
      <c r="B801" s="30"/>
      <c r="C801" s="70"/>
      <c r="G801" s="30"/>
      <c r="H801" s="77"/>
      <c r="I801" s="77"/>
      <c r="J801" s="58"/>
      <c r="K801" s="58"/>
      <c r="L801" s="3"/>
    </row>
    <row r="802" spans="1:12" s="71" customFormat="1">
      <c r="A802" s="87"/>
      <c r="B802" s="30"/>
      <c r="C802" s="70"/>
      <c r="G802" s="30"/>
      <c r="H802" s="77"/>
      <c r="I802" s="77"/>
      <c r="J802" s="58"/>
      <c r="K802" s="58"/>
      <c r="L802" s="3"/>
    </row>
    <row r="803" spans="1:12" s="71" customFormat="1">
      <c r="A803" s="87"/>
      <c r="B803" s="30"/>
      <c r="C803" s="70"/>
      <c r="G803" s="30"/>
      <c r="H803" s="77"/>
      <c r="I803" s="77"/>
      <c r="J803" s="58"/>
      <c r="K803" s="58"/>
      <c r="L803" s="3"/>
    </row>
    <row r="804" spans="1:12" s="71" customFormat="1">
      <c r="A804" s="87"/>
      <c r="B804" s="30"/>
      <c r="C804" s="70"/>
      <c r="G804" s="30"/>
      <c r="H804" s="77"/>
      <c r="I804" s="77"/>
      <c r="J804" s="58"/>
      <c r="K804" s="58"/>
      <c r="L804" s="3"/>
    </row>
    <row r="805" spans="1:12" s="71" customFormat="1">
      <c r="A805" s="87"/>
      <c r="B805" s="30"/>
      <c r="C805" s="70"/>
      <c r="G805" s="30"/>
      <c r="H805" s="77"/>
      <c r="I805" s="77"/>
      <c r="J805" s="58"/>
      <c r="K805" s="58"/>
      <c r="L805" s="3"/>
    </row>
    <row r="806" spans="1:12" s="71" customFormat="1">
      <c r="A806" s="87"/>
      <c r="B806" s="30"/>
      <c r="C806" s="70"/>
      <c r="G806" s="30"/>
      <c r="H806" s="77"/>
      <c r="I806" s="77"/>
      <c r="J806" s="58"/>
      <c r="K806" s="58"/>
      <c r="L806" s="3"/>
    </row>
    <row r="807" spans="1:12" s="71" customFormat="1">
      <c r="A807" s="87"/>
      <c r="B807" s="30"/>
      <c r="C807" s="70"/>
      <c r="G807" s="30"/>
      <c r="H807" s="77"/>
      <c r="I807" s="77"/>
      <c r="J807" s="58"/>
      <c r="K807" s="58"/>
      <c r="L807" s="3"/>
    </row>
    <row r="808" spans="1:12" s="71" customFormat="1">
      <c r="A808" s="87"/>
      <c r="B808" s="30"/>
      <c r="C808" s="70"/>
      <c r="G808" s="30"/>
      <c r="H808" s="77"/>
      <c r="I808" s="77"/>
      <c r="J808" s="58"/>
      <c r="K808" s="58"/>
      <c r="L808" s="3"/>
    </row>
    <row r="809" spans="1:12" s="71" customFormat="1">
      <c r="A809" s="87"/>
      <c r="B809" s="30"/>
      <c r="C809" s="70"/>
      <c r="G809" s="30"/>
      <c r="H809" s="77"/>
      <c r="I809" s="77"/>
      <c r="J809" s="58"/>
      <c r="K809" s="58"/>
      <c r="L809" s="3"/>
    </row>
    <row r="810" spans="1:12" s="71" customFormat="1">
      <c r="A810" s="87"/>
      <c r="B810" s="30"/>
      <c r="C810" s="70"/>
      <c r="G810" s="30"/>
      <c r="H810" s="77"/>
      <c r="I810" s="77"/>
      <c r="J810" s="58"/>
      <c r="K810" s="58"/>
      <c r="L810" s="3"/>
    </row>
    <row r="811" spans="1:12" s="71" customFormat="1">
      <c r="A811" s="87"/>
      <c r="B811" s="30"/>
      <c r="C811" s="70"/>
      <c r="G811" s="30"/>
      <c r="H811" s="77"/>
      <c r="I811" s="77"/>
      <c r="J811" s="58"/>
      <c r="K811" s="58"/>
      <c r="L811" s="3"/>
    </row>
    <row r="812" spans="1:12" s="71" customFormat="1">
      <c r="A812" s="87"/>
      <c r="B812" s="30"/>
      <c r="C812" s="70"/>
      <c r="G812" s="30"/>
      <c r="H812" s="77"/>
      <c r="I812" s="77"/>
      <c r="J812" s="58"/>
      <c r="K812" s="58"/>
      <c r="L812" s="3"/>
    </row>
    <row r="813" spans="1:12" s="71" customFormat="1">
      <c r="A813" s="87"/>
      <c r="B813" s="30"/>
      <c r="C813" s="70"/>
      <c r="G813" s="30"/>
      <c r="H813" s="77"/>
      <c r="I813" s="77"/>
      <c r="J813" s="58"/>
      <c r="K813" s="58"/>
      <c r="L813" s="3"/>
    </row>
    <row r="814" spans="1:12" s="71" customFormat="1">
      <c r="A814" s="87"/>
      <c r="B814" s="30"/>
      <c r="C814" s="70"/>
      <c r="G814" s="30"/>
      <c r="H814" s="77"/>
      <c r="I814" s="77"/>
      <c r="J814" s="58"/>
      <c r="K814" s="58"/>
      <c r="L814" s="3"/>
    </row>
    <row r="815" spans="1:12" s="71" customFormat="1">
      <c r="A815" s="87"/>
      <c r="B815" s="30"/>
      <c r="C815" s="70"/>
      <c r="G815" s="30"/>
      <c r="H815" s="77"/>
      <c r="I815" s="77"/>
      <c r="J815" s="58"/>
      <c r="K815" s="58"/>
      <c r="L815" s="3"/>
    </row>
    <row r="816" spans="1:12" s="71" customFormat="1">
      <c r="A816" s="87"/>
      <c r="B816" s="30"/>
      <c r="C816" s="70"/>
      <c r="G816" s="30"/>
      <c r="H816" s="77"/>
      <c r="I816" s="77"/>
      <c r="J816" s="58"/>
      <c r="K816" s="58"/>
      <c r="L816" s="3"/>
    </row>
    <row r="817" spans="1:12" s="71" customFormat="1">
      <c r="A817" s="87"/>
      <c r="B817" s="30"/>
      <c r="C817" s="70"/>
      <c r="G817" s="30"/>
      <c r="H817" s="77"/>
      <c r="I817" s="77"/>
      <c r="J817" s="58"/>
      <c r="K817" s="58"/>
      <c r="L817" s="3"/>
    </row>
    <row r="818" spans="1:12" s="71" customFormat="1">
      <c r="A818" s="87"/>
      <c r="B818" s="30"/>
      <c r="C818" s="70"/>
      <c r="G818" s="30"/>
      <c r="H818" s="77"/>
      <c r="I818" s="77"/>
      <c r="J818" s="58"/>
      <c r="K818" s="58"/>
      <c r="L818" s="3"/>
    </row>
    <row r="819" spans="1:12" s="71" customFormat="1">
      <c r="A819" s="87"/>
      <c r="B819" s="30"/>
      <c r="C819" s="70"/>
      <c r="G819" s="30"/>
      <c r="H819" s="77"/>
      <c r="I819" s="77"/>
      <c r="J819" s="58"/>
      <c r="K819" s="58"/>
      <c r="L819" s="3"/>
    </row>
    <row r="820" spans="1:12" s="71" customFormat="1">
      <c r="A820" s="87"/>
      <c r="B820" s="30"/>
      <c r="C820" s="70"/>
      <c r="G820" s="30"/>
      <c r="H820" s="77"/>
      <c r="I820" s="77"/>
      <c r="J820" s="58"/>
      <c r="K820" s="58"/>
      <c r="L820" s="3"/>
    </row>
    <row r="821" spans="1:12" s="71" customFormat="1">
      <c r="A821" s="87"/>
      <c r="B821" s="30"/>
      <c r="C821" s="70"/>
      <c r="G821" s="30"/>
      <c r="H821" s="77"/>
      <c r="I821" s="77"/>
      <c r="J821" s="58"/>
      <c r="K821" s="58"/>
      <c r="L821" s="3"/>
    </row>
    <row r="822" spans="1:12" s="71" customFormat="1">
      <c r="A822" s="87"/>
      <c r="B822" s="30"/>
      <c r="C822" s="70"/>
      <c r="G822" s="30"/>
      <c r="H822" s="77"/>
      <c r="I822" s="77"/>
      <c r="J822" s="58"/>
      <c r="K822" s="58"/>
      <c r="L822" s="3"/>
    </row>
    <row r="823" spans="1:12" s="71" customFormat="1">
      <c r="A823" s="87"/>
      <c r="B823" s="30"/>
      <c r="C823" s="70"/>
      <c r="G823" s="30"/>
      <c r="H823" s="77"/>
      <c r="I823" s="77"/>
      <c r="J823" s="58"/>
      <c r="K823" s="58"/>
      <c r="L823" s="3"/>
    </row>
    <row r="824" spans="1:12" s="71" customFormat="1">
      <c r="A824" s="87"/>
      <c r="B824" s="30"/>
      <c r="C824" s="70"/>
      <c r="G824" s="30"/>
      <c r="H824" s="77"/>
      <c r="I824" s="77"/>
      <c r="J824" s="58"/>
      <c r="K824" s="58"/>
      <c r="L824" s="3"/>
    </row>
    <row r="825" spans="1:12" s="71" customFormat="1">
      <c r="A825" s="87"/>
      <c r="B825" s="30"/>
      <c r="C825" s="70"/>
      <c r="G825" s="30"/>
      <c r="H825" s="77"/>
      <c r="I825" s="77"/>
      <c r="J825" s="58"/>
      <c r="K825" s="58"/>
      <c r="L825" s="3"/>
    </row>
    <row r="826" spans="1:12" s="71" customFormat="1">
      <c r="A826" s="87"/>
      <c r="B826" s="30"/>
      <c r="C826" s="70"/>
      <c r="G826" s="30"/>
      <c r="H826" s="77"/>
      <c r="I826" s="77"/>
      <c r="J826" s="58"/>
      <c r="K826" s="58"/>
      <c r="L826" s="3"/>
    </row>
    <row r="827" spans="1:12" s="71" customFormat="1">
      <c r="A827" s="87"/>
      <c r="B827" s="30"/>
      <c r="C827" s="70"/>
      <c r="G827" s="30"/>
      <c r="H827" s="77"/>
      <c r="I827" s="77"/>
      <c r="J827" s="58"/>
      <c r="K827" s="58"/>
      <c r="L827" s="3"/>
    </row>
    <row r="828" spans="1:12" s="71" customFormat="1">
      <c r="A828" s="87"/>
      <c r="B828" s="30"/>
      <c r="C828" s="70"/>
      <c r="G828" s="30"/>
      <c r="H828" s="77"/>
      <c r="I828" s="77"/>
      <c r="J828" s="58"/>
      <c r="K828" s="58"/>
      <c r="L828" s="3"/>
    </row>
    <row r="829" spans="1:12" s="71" customFormat="1">
      <c r="A829" s="87"/>
      <c r="B829" s="30"/>
      <c r="C829" s="70"/>
      <c r="G829" s="30"/>
      <c r="H829" s="77"/>
      <c r="I829" s="77"/>
      <c r="J829" s="58"/>
      <c r="K829" s="58"/>
      <c r="L829" s="3"/>
    </row>
    <row r="830" spans="1:12" s="71" customFormat="1">
      <c r="A830" s="87"/>
      <c r="B830" s="30"/>
      <c r="C830" s="70"/>
      <c r="G830" s="30"/>
      <c r="H830" s="77"/>
      <c r="I830" s="77"/>
      <c r="J830" s="58"/>
      <c r="K830" s="58"/>
      <c r="L830" s="3"/>
    </row>
    <row r="831" spans="1:12" s="71" customFormat="1">
      <c r="A831" s="87"/>
      <c r="B831" s="30"/>
      <c r="C831" s="70"/>
      <c r="G831" s="30"/>
      <c r="H831" s="77"/>
      <c r="I831" s="77"/>
      <c r="J831" s="58"/>
      <c r="K831" s="58"/>
      <c r="L831" s="3"/>
    </row>
    <row r="832" spans="1:12" s="71" customFormat="1">
      <c r="A832" s="87"/>
      <c r="B832" s="30"/>
      <c r="C832" s="70"/>
      <c r="G832" s="30"/>
      <c r="H832" s="77"/>
      <c r="I832" s="77"/>
      <c r="J832" s="58"/>
      <c r="K832" s="58"/>
      <c r="L832" s="3"/>
    </row>
    <row r="833" spans="1:12" s="71" customFormat="1">
      <c r="A833" s="87"/>
      <c r="B833" s="30"/>
      <c r="C833" s="70"/>
      <c r="G833" s="30"/>
      <c r="H833" s="77"/>
      <c r="I833" s="77"/>
      <c r="J833" s="58"/>
      <c r="K833" s="58"/>
      <c r="L833" s="3"/>
    </row>
    <row r="834" spans="1:12" s="71" customFormat="1">
      <c r="A834" s="87"/>
      <c r="B834" s="30"/>
      <c r="C834" s="70"/>
      <c r="G834" s="30"/>
      <c r="H834" s="77"/>
      <c r="I834" s="77"/>
      <c r="J834" s="58"/>
      <c r="K834" s="58"/>
      <c r="L834" s="3"/>
    </row>
    <row r="835" spans="1:12" s="71" customFormat="1">
      <c r="A835" s="87"/>
      <c r="B835" s="30"/>
      <c r="C835" s="70"/>
      <c r="G835" s="30"/>
      <c r="H835" s="77"/>
      <c r="I835" s="77"/>
      <c r="J835" s="58"/>
      <c r="K835" s="58"/>
      <c r="L835" s="3"/>
    </row>
    <row r="836" spans="1:12" s="71" customFormat="1">
      <c r="A836" s="87"/>
      <c r="B836" s="30"/>
      <c r="C836" s="70"/>
      <c r="G836" s="30"/>
      <c r="H836" s="77"/>
      <c r="I836" s="77"/>
      <c r="J836" s="58"/>
      <c r="K836" s="58"/>
      <c r="L836" s="3"/>
    </row>
    <row r="837" spans="1:12" s="71" customFormat="1">
      <c r="A837" s="87"/>
      <c r="B837" s="30"/>
      <c r="C837" s="70"/>
      <c r="G837" s="30"/>
      <c r="H837" s="77"/>
      <c r="I837" s="77"/>
      <c r="J837" s="58"/>
      <c r="K837" s="58"/>
      <c r="L837" s="3"/>
    </row>
    <row r="838" spans="1:12" s="71" customFormat="1">
      <c r="A838" s="87"/>
      <c r="B838" s="30"/>
      <c r="C838" s="70"/>
      <c r="G838" s="30"/>
      <c r="H838" s="77"/>
      <c r="I838" s="77"/>
      <c r="J838" s="58"/>
      <c r="K838" s="58"/>
      <c r="L838" s="3"/>
    </row>
    <row r="839" spans="1:12" s="71" customFormat="1">
      <c r="A839" s="87"/>
      <c r="B839" s="30"/>
      <c r="C839" s="70"/>
      <c r="G839" s="30"/>
      <c r="H839" s="77"/>
      <c r="I839" s="77"/>
      <c r="J839" s="58"/>
      <c r="K839" s="58"/>
      <c r="L839" s="3"/>
    </row>
    <row r="840" spans="1:12" s="71" customFormat="1">
      <c r="A840" s="87"/>
      <c r="B840" s="30"/>
      <c r="C840" s="70"/>
      <c r="G840" s="30"/>
      <c r="H840" s="77"/>
      <c r="I840" s="77"/>
      <c r="J840" s="58"/>
      <c r="K840" s="58"/>
      <c r="L840" s="3"/>
    </row>
    <row r="841" spans="1:12" s="71" customFormat="1">
      <c r="A841" s="87"/>
      <c r="B841" s="30"/>
      <c r="C841" s="70"/>
      <c r="G841" s="30"/>
      <c r="H841" s="77"/>
      <c r="I841" s="77"/>
      <c r="J841" s="58"/>
      <c r="K841" s="58"/>
      <c r="L841" s="3"/>
    </row>
    <row r="842" spans="1:12" s="71" customFormat="1">
      <c r="A842" s="87"/>
      <c r="B842" s="30"/>
      <c r="C842" s="70"/>
      <c r="G842" s="30"/>
      <c r="H842" s="77"/>
      <c r="I842" s="77"/>
      <c r="J842" s="58"/>
      <c r="K842" s="58"/>
      <c r="L842" s="3"/>
    </row>
    <row r="843" spans="1:12" s="71" customFormat="1">
      <c r="A843" s="87"/>
      <c r="B843" s="30"/>
      <c r="C843" s="70"/>
      <c r="G843" s="30"/>
      <c r="H843" s="77"/>
      <c r="I843" s="77"/>
      <c r="J843" s="58"/>
      <c r="K843" s="58"/>
      <c r="L843" s="3"/>
    </row>
    <row r="844" spans="1:12" s="71" customFormat="1">
      <c r="A844" s="87"/>
      <c r="B844" s="30"/>
      <c r="C844" s="70"/>
      <c r="G844" s="30"/>
      <c r="H844" s="77"/>
      <c r="I844" s="77"/>
      <c r="J844" s="58"/>
      <c r="K844" s="58"/>
      <c r="L844" s="3"/>
    </row>
    <row r="845" spans="1:12" s="71" customFormat="1">
      <c r="A845" s="87"/>
      <c r="B845" s="30"/>
      <c r="C845" s="70"/>
      <c r="G845" s="30"/>
      <c r="H845" s="77"/>
      <c r="I845" s="77"/>
      <c r="J845" s="58"/>
      <c r="K845" s="58"/>
      <c r="L845" s="3"/>
    </row>
    <row r="846" spans="1:12" s="71" customFormat="1">
      <c r="A846" s="87"/>
      <c r="B846" s="30"/>
      <c r="C846" s="70"/>
      <c r="G846" s="30"/>
      <c r="H846" s="77"/>
      <c r="I846" s="77"/>
      <c r="J846" s="58"/>
      <c r="K846" s="58"/>
      <c r="L846" s="3"/>
    </row>
    <row r="847" spans="1:12" s="71" customFormat="1">
      <c r="A847" s="87"/>
      <c r="B847" s="30"/>
      <c r="C847" s="70"/>
      <c r="G847" s="30"/>
      <c r="H847" s="77"/>
      <c r="I847" s="77"/>
      <c r="J847" s="58"/>
      <c r="K847" s="58"/>
      <c r="L847" s="3"/>
    </row>
    <row r="848" spans="1:12" s="71" customFormat="1">
      <c r="A848" s="87"/>
      <c r="B848" s="30"/>
      <c r="C848" s="70"/>
      <c r="G848" s="30"/>
      <c r="H848" s="77"/>
      <c r="I848" s="77"/>
      <c r="J848" s="58"/>
      <c r="K848" s="58"/>
      <c r="L848" s="3"/>
    </row>
    <row r="849" spans="1:12" s="71" customFormat="1">
      <c r="A849" s="87"/>
      <c r="B849" s="30"/>
      <c r="C849" s="70"/>
      <c r="G849" s="30"/>
      <c r="H849" s="77"/>
      <c r="I849" s="77"/>
      <c r="J849" s="58"/>
      <c r="K849" s="58"/>
      <c r="L849" s="3"/>
    </row>
    <row r="850" spans="1:12" s="71" customFormat="1">
      <c r="A850" s="87"/>
      <c r="B850" s="30"/>
      <c r="C850" s="70"/>
      <c r="G850" s="30"/>
      <c r="H850" s="77"/>
      <c r="I850" s="77"/>
      <c r="J850" s="58"/>
      <c r="K850" s="58"/>
      <c r="L850" s="3"/>
    </row>
    <row r="851" spans="1:12" s="71" customFormat="1">
      <c r="A851" s="87"/>
      <c r="B851" s="30"/>
      <c r="C851" s="70"/>
      <c r="G851" s="30"/>
      <c r="H851" s="77"/>
      <c r="I851" s="77"/>
      <c r="J851" s="58"/>
      <c r="K851" s="58"/>
      <c r="L851" s="3"/>
    </row>
    <row r="852" spans="1:12" s="71" customFormat="1">
      <c r="A852" s="87"/>
      <c r="B852" s="30"/>
      <c r="C852" s="70"/>
      <c r="G852" s="30"/>
      <c r="H852" s="77"/>
      <c r="I852" s="77"/>
      <c r="J852" s="58"/>
      <c r="K852" s="58"/>
      <c r="L852" s="3"/>
    </row>
    <row r="853" spans="1:12" s="71" customFormat="1">
      <c r="A853" s="87"/>
      <c r="B853" s="30"/>
      <c r="C853" s="70"/>
      <c r="G853" s="30"/>
      <c r="H853" s="77"/>
      <c r="I853" s="77"/>
      <c r="J853" s="58"/>
      <c r="K853" s="58"/>
      <c r="L853" s="3"/>
    </row>
    <row r="854" spans="1:12" s="71" customFormat="1">
      <c r="A854" s="87"/>
      <c r="B854" s="30"/>
      <c r="C854" s="70"/>
      <c r="G854" s="30"/>
      <c r="H854" s="77"/>
      <c r="I854" s="77"/>
      <c r="J854" s="58"/>
      <c r="K854" s="58"/>
      <c r="L854" s="3"/>
    </row>
    <row r="855" spans="1:12" s="71" customFormat="1">
      <c r="A855" s="87"/>
      <c r="B855" s="30"/>
      <c r="C855" s="70"/>
      <c r="G855" s="30"/>
      <c r="H855" s="77"/>
      <c r="I855" s="77"/>
      <c r="J855" s="58"/>
      <c r="K855" s="58"/>
      <c r="L855" s="3"/>
    </row>
    <row r="856" spans="1:12" s="71" customFormat="1">
      <c r="A856" s="87"/>
      <c r="B856" s="30"/>
      <c r="C856" s="70"/>
      <c r="G856" s="30"/>
      <c r="H856" s="77"/>
      <c r="I856" s="77"/>
      <c r="J856" s="58"/>
      <c r="K856" s="58"/>
      <c r="L856" s="3"/>
    </row>
    <row r="857" spans="1:12" s="71" customFormat="1">
      <c r="A857" s="87"/>
      <c r="B857" s="30"/>
      <c r="C857" s="70"/>
      <c r="G857" s="30"/>
      <c r="H857" s="77"/>
      <c r="I857" s="77"/>
      <c r="J857" s="58"/>
      <c r="K857" s="58"/>
      <c r="L857" s="3"/>
    </row>
    <row r="858" spans="1:12" s="71" customFormat="1">
      <c r="A858" s="87"/>
      <c r="B858" s="30"/>
      <c r="C858" s="70"/>
      <c r="G858" s="30"/>
      <c r="H858" s="77"/>
      <c r="I858" s="77"/>
      <c r="J858" s="58"/>
      <c r="K858" s="58"/>
      <c r="L858" s="3"/>
    </row>
    <row r="859" spans="1:12" s="71" customFormat="1">
      <c r="A859" s="87"/>
      <c r="B859" s="30"/>
      <c r="C859" s="70"/>
      <c r="G859" s="30"/>
      <c r="H859" s="77"/>
      <c r="I859" s="77"/>
      <c r="J859" s="58"/>
      <c r="K859" s="58"/>
      <c r="L859" s="3"/>
    </row>
    <row r="860" spans="1:12" s="71" customFormat="1">
      <c r="A860" s="87"/>
      <c r="B860" s="30"/>
      <c r="C860" s="70"/>
      <c r="G860" s="30"/>
      <c r="H860" s="77"/>
      <c r="I860" s="77"/>
      <c r="J860" s="58"/>
      <c r="K860" s="58"/>
      <c r="L860" s="3"/>
    </row>
    <row r="861" spans="1:12" s="71" customFormat="1">
      <c r="A861" s="87"/>
      <c r="B861" s="30"/>
      <c r="C861" s="70"/>
      <c r="G861" s="30"/>
      <c r="H861" s="77"/>
      <c r="I861" s="77"/>
      <c r="J861" s="58"/>
      <c r="K861" s="58"/>
      <c r="L861" s="3"/>
    </row>
    <row r="862" spans="1:12" s="71" customFormat="1">
      <c r="A862" s="87"/>
      <c r="B862" s="30"/>
      <c r="C862" s="70"/>
      <c r="G862" s="30"/>
      <c r="H862" s="77"/>
      <c r="I862" s="77"/>
      <c r="J862" s="58"/>
      <c r="K862" s="58"/>
      <c r="L862" s="3"/>
    </row>
    <row r="863" spans="1:12" s="71" customFormat="1">
      <c r="A863" s="87"/>
      <c r="B863" s="30"/>
      <c r="C863" s="70"/>
      <c r="G863" s="30"/>
      <c r="H863" s="77"/>
      <c r="I863" s="77"/>
      <c r="J863" s="58"/>
      <c r="K863" s="58"/>
      <c r="L863" s="3"/>
    </row>
    <row r="864" spans="1:12" s="71" customFormat="1">
      <c r="A864" s="87"/>
      <c r="B864" s="30"/>
      <c r="C864" s="70"/>
      <c r="G864" s="30"/>
      <c r="H864" s="77"/>
      <c r="I864" s="77"/>
      <c r="J864" s="58"/>
      <c r="K864" s="58"/>
      <c r="L864" s="3"/>
    </row>
    <row r="865" spans="1:12" s="71" customFormat="1">
      <c r="A865" s="87"/>
      <c r="B865" s="30"/>
      <c r="C865" s="70"/>
      <c r="G865" s="30"/>
      <c r="H865" s="77"/>
      <c r="I865" s="77"/>
      <c r="J865" s="58"/>
      <c r="K865" s="58"/>
      <c r="L865" s="3"/>
    </row>
    <row r="866" spans="1:12" s="71" customFormat="1">
      <c r="A866" s="87"/>
      <c r="B866" s="30"/>
      <c r="C866" s="70"/>
      <c r="G866" s="30"/>
      <c r="H866" s="77"/>
      <c r="I866" s="77"/>
      <c r="J866" s="58"/>
      <c r="K866" s="58"/>
      <c r="L866" s="3"/>
    </row>
    <row r="867" spans="1:12" s="71" customFormat="1">
      <c r="A867" s="87"/>
      <c r="B867" s="30"/>
      <c r="C867" s="70"/>
      <c r="G867" s="30"/>
      <c r="H867" s="77"/>
      <c r="I867" s="77"/>
      <c r="J867" s="58"/>
      <c r="K867" s="58"/>
      <c r="L867" s="3"/>
    </row>
    <row r="868" spans="1:12" s="71" customFormat="1">
      <c r="A868" s="87"/>
      <c r="B868" s="30"/>
      <c r="C868" s="70"/>
      <c r="G868" s="30"/>
      <c r="H868" s="77"/>
      <c r="I868" s="77"/>
      <c r="J868" s="58"/>
      <c r="K868" s="58"/>
      <c r="L868" s="3"/>
    </row>
    <row r="869" spans="1:12" s="71" customFormat="1">
      <c r="A869" s="87"/>
      <c r="B869" s="30"/>
      <c r="C869" s="70"/>
      <c r="G869" s="30"/>
      <c r="H869" s="77"/>
      <c r="I869" s="77"/>
      <c r="J869" s="58"/>
      <c r="K869" s="58"/>
      <c r="L869" s="3"/>
    </row>
    <row r="870" spans="1:12" s="71" customFormat="1">
      <c r="A870" s="87"/>
      <c r="B870" s="30"/>
      <c r="C870" s="70"/>
      <c r="G870" s="30"/>
      <c r="H870" s="77"/>
      <c r="I870" s="77"/>
      <c r="J870" s="58"/>
      <c r="K870" s="58"/>
      <c r="L870" s="3"/>
    </row>
    <row r="871" spans="1:12" s="71" customFormat="1">
      <c r="A871" s="87"/>
      <c r="B871" s="30"/>
      <c r="C871" s="70"/>
      <c r="G871" s="30"/>
      <c r="H871" s="77"/>
      <c r="I871" s="77"/>
      <c r="J871" s="58"/>
      <c r="K871" s="58"/>
      <c r="L871" s="3"/>
    </row>
    <row r="872" spans="1:12" s="71" customFormat="1">
      <c r="A872" s="87"/>
      <c r="B872" s="30"/>
      <c r="C872" s="70"/>
      <c r="G872" s="30"/>
      <c r="H872" s="77"/>
      <c r="I872" s="77"/>
      <c r="J872" s="58"/>
      <c r="K872" s="58"/>
      <c r="L872" s="3"/>
    </row>
    <row r="873" spans="1:12" s="71" customFormat="1">
      <c r="A873" s="87"/>
      <c r="B873" s="30"/>
      <c r="C873" s="70"/>
      <c r="G873" s="30"/>
      <c r="H873" s="77"/>
      <c r="I873" s="77"/>
      <c r="J873" s="58"/>
      <c r="K873" s="58"/>
      <c r="L873" s="3"/>
    </row>
    <row r="874" spans="1:12" s="71" customFormat="1">
      <c r="A874" s="87"/>
      <c r="B874" s="30"/>
      <c r="C874" s="70"/>
      <c r="G874" s="30"/>
      <c r="H874" s="77"/>
      <c r="I874" s="77"/>
      <c r="J874" s="58"/>
      <c r="K874" s="58"/>
      <c r="L874" s="3"/>
    </row>
    <row r="875" spans="1:12" s="71" customFormat="1">
      <c r="A875" s="87"/>
      <c r="B875" s="30"/>
      <c r="C875" s="70"/>
      <c r="G875" s="30"/>
      <c r="H875" s="77"/>
      <c r="I875" s="77"/>
      <c r="J875" s="58"/>
      <c r="K875" s="58"/>
      <c r="L875" s="3"/>
    </row>
    <row r="876" spans="1:12" s="71" customFormat="1">
      <c r="A876" s="87"/>
      <c r="B876" s="30"/>
      <c r="C876" s="70"/>
      <c r="G876" s="30"/>
      <c r="H876" s="77"/>
      <c r="I876" s="77"/>
      <c r="J876" s="58"/>
      <c r="K876" s="58"/>
      <c r="L876" s="3"/>
    </row>
    <row r="877" spans="1:12" s="71" customFormat="1">
      <c r="A877" s="87"/>
      <c r="B877" s="30"/>
      <c r="C877" s="70"/>
      <c r="G877" s="30"/>
      <c r="H877" s="77"/>
      <c r="I877" s="77"/>
      <c r="J877" s="58"/>
      <c r="K877" s="58"/>
      <c r="L877" s="3"/>
    </row>
    <row r="878" spans="1:12" s="71" customFormat="1">
      <c r="A878" s="87"/>
      <c r="B878" s="30"/>
      <c r="C878" s="70"/>
      <c r="G878" s="30"/>
      <c r="H878" s="77"/>
      <c r="I878" s="77"/>
      <c r="J878" s="58"/>
      <c r="K878" s="58"/>
      <c r="L878" s="3"/>
    </row>
    <row r="879" spans="1:12" s="71" customFormat="1">
      <c r="A879" s="87"/>
      <c r="B879" s="30"/>
      <c r="C879" s="70"/>
      <c r="G879" s="30"/>
      <c r="H879" s="77"/>
      <c r="I879" s="77"/>
      <c r="J879" s="58"/>
      <c r="K879" s="58"/>
      <c r="L879" s="3"/>
    </row>
    <row r="880" spans="1:12" s="71" customFormat="1">
      <c r="A880" s="87"/>
      <c r="B880" s="30"/>
      <c r="C880" s="70"/>
      <c r="G880" s="30"/>
      <c r="H880" s="77"/>
      <c r="I880" s="77"/>
      <c r="J880" s="58"/>
      <c r="K880" s="58"/>
      <c r="L880" s="3"/>
    </row>
    <row r="881" spans="1:12" s="71" customFormat="1">
      <c r="A881" s="87"/>
      <c r="B881" s="30"/>
      <c r="C881" s="70"/>
      <c r="G881" s="30"/>
      <c r="H881" s="77"/>
      <c r="I881" s="77"/>
      <c r="J881" s="58"/>
      <c r="K881" s="58"/>
      <c r="L881" s="3"/>
    </row>
    <row r="882" spans="1:12" s="71" customFormat="1">
      <c r="A882" s="87"/>
      <c r="B882" s="30"/>
      <c r="C882" s="70"/>
      <c r="G882" s="30"/>
      <c r="H882" s="77"/>
      <c r="I882" s="77"/>
      <c r="J882" s="58"/>
      <c r="K882" s="58"/>
      <c r="L882" s="3"/>
    </row>
    <row r="883" spans="1:12" s="71" customFormat="1">
      <c r="A883" s="87"/>
      <c r="B883" s="30"/>
      <c r="C883" s="70"/>
      <c r="G883" s="30"/>
      <c r="H883" s="77"/>
      <c r="I883" s="77"/>
      <c r="J883" s="58"/>
      <c r="K883" s="58"/>
      <c r="L883" s="3"/>
    </row>
    <row r="884" spans="1:12" s="71" customFormat="1">
      <c r="A884" s="87"/>
      <c r="B884" s="30"/>
      <c r="C884" s="70"/>
      <c r="G884" s="30"/>
      <c r="H884" s="77"/>
      <c r="I884" s="77"/>
      <c r="J884" s="58"/>
      <c r="K884" s="58"/>
      <c r="L884" s="3"/>
    </row>
    <row r="885" spans="1:12" s="71" customFormat="1">
      <c r="A885" s="87"/>
      <c r="B885" s="30"/>
      <c r="C885" s="70"/>
      <c r="G885" s="30"/>
      <c r="H885" s="77"/>
      <c r="I885" s="77"/>
      <c r="J885" s="58"/>
      <c r="K885" s="58"/>
      <c r="L885" s="3"/>
    </row>
    <row r="886" spans="1:12" s="71" customFormat="1">
      <c r="A886" s="87"/>
      <c r="B886" s="30"/>
      <c r="C886" s="70"/>
      <c r="G886" s="30"/>
      <c r="H886" s="77"/>
      <c r="I886" s="77"/>
      <c r="J886" s="58"/>
      <c r="K886" s="58"/>
      <c r="L886" s="3"/>
    </row>
    <row r="887" spans="1:12" s="71" customFormat="1">
      <c r="A887" s="87"/>
      <c r="B887" s="30"/>
      <c r="C887" s="70"/>
      <c r="G887" s="30"/>
      <c r="H887" s="77"/>
      <c r="I887" s="77"/>
      <c r="J887" s="58"/>
      <c r="K887" s="58"/>
      <c r="L887" s="3"/>
    </row>
    <row r="888" spans="1:12" s="71" customFormat="1">
      <c r="A888" s="87"/>
      <c r="B888" s="30"/>
      <c r="C888" s="70"/>
      <c r="G888" s="30"/>
      <c r="H888" s="77"/>
      <c r="I888" s="77"/>
      <c r="J888" s="58"/>
      <c r="K888" s="58"/>
      <c r="L888" s="3"/>
    </row>
    <row r="889" spans="1:12" s="71" customFormat="1">
      <c r="A889" s="87"/>
      <c r="B889" s="30"/>
      <c r="C889" s="70"/>
      <c r="G889" s="30"/>
      <c r="H889" s="77"/>
      <c r="I889" s="77"/>
      <c r="J889" s="58"/>
      <c r="K889" s="58"/>
      <c r="L889" s="3"/>
    </row>
    <row r="890" spans="1:12" s="71" customFormat="1">
      <c r="A890" s="87"/>
      <c r="B890" s="30"/>
      <c r="C890" s="70"/>
      <c r="G890" s="30"/>
      <c r="H890" s="77"/>
      <c r="I890" s="77"/>
      <c r="J890" s="58"/>
      <c r="K890" s="58"/>
      <c r="L890" s="3"/>
    </row>
    <row r="891" spans="1:12" s="71" customFormat="1">
      <c r="A891" s="87"/>
      <c r="B891" s="30"/>
      <c r="C891" s="70"/>
      <c r="G891" s="30"/>
      <c r="H891" s="77"/>
      <c r="I891" s="77"/>
      <c r="J891" s="58"/>
      <c r="K891" s="58"/>
      <c r="L891" s="3"/>
    </row>
    <row r="892" spans="1:12" s="71" customFormat="1">
      <c r="A892" s="87"/>
      <c r="B892" s="30"/>
      <c r="C892" s="70"/>
      <c r="G892" s="30"/>
      <c r="H892" s="77"/>
      <c r="I892" s="77"/>
      <c r="J892" s="58"/>
      <c r="K892" s="58"/>
      <c r="L892" s="3"/>
    </row>
    <row r="893" spans="1:12" s="71" customFormat="1">
      <c r="A893" s="87"/>
      <c r="B893" s="30"/>
      <c r="C893" s="70"/>
      <c r="G893" s="30"/>
      <c r="H893" s="77"/>
      <c r="I893" s="77"/>
      <c r="J893" s="58"/>
      <c r="K893" s="58"/>
      <c r="L893" s="3"/>
    </row>
    <row r="894" spans="1:12" s="71" customFormat="1">
      <c r="A894" s="87"/>
      <c r="B894" s="30"/>
      <c r="C894" s="70"/>
      <c r="G894" s="30"/>
      <c r="H894" s="77"/>
      <c r="I894" s="77"/>
      <c r="J894" s="58"/>
      <c r="K894" s="58"/>
      <c r="L894" s="3"/>
    </row>
    <row r="895" spans="1:12" s="71" customFormat="1">
      <c r="A895" s="87"/>
      <c r="B895" s="30"/>
      <c r="C895" s="70"/>
      <c r="G895" s="30"/>
      <c r="H895" s="77"/>
      <c r="I895" s="77"/>
      <c r="J895" s="58"/>
      <c r="K895" s="58"/>
      <c r="L895" s="3"/>
    </row>
    <row r="896" spans="1:12" s="71" customFormat="1">
      <c r="A896" s="87"/>
      <c r="B896" s="30"/>
      <c r="C896" s="70"/>
      <c r="G896" s="30"/>
      <c r="H896" s="77"/>
      <c r="I896" s="77"/>
      <c r="J896" s="58"/>
      <c r="K896" s="58"/>
      <c r="L896" s="3"/>
    </row>
    <row r="897" spans="1:12" s="71" customFormat="1">
      <c r="A897" s="87"/>
      <c r="B897" s="30"/>
      <c r="C897" s="70"/>
      <c r="G897" s="30"/>
      <c r="H897" s="77"/>
      <c r="I897" s="77"/>
      <c r="J897" s="58"/>
      <c r="K897" s="58"/>
      <c r="L897" s="3"/>
    </row>
    <row r="898" spans="1:12" s="71" customFormat="1">
      <c r="A898" s="87"/>
      <c r="B898" s="30"/>
      <c r="C898" s="70"/>
      <c r="G898" s="30"/>
      <c r="H898" s="77"/>
      <c r="I898" s="77"/>
      <c r="J898" s="58"/>
      <c r="K898" s="58"/>
      <c r="L898" s="3"/>
    </row>
    <row r="899" spans="1:12" s="71" customFormat="1">
      <c r="A899" s="87"/>
      <c r="B899" s="30"/>
      <c r="C899" s="70"/>
      <c r="G899" s="30"/>
      <c r="H899" s="77"/>
      <c r="I899" s="77"/>
      <c r="J899" s="58"/>
      <c r="K899" s="58"/>
      <c r="L899" s="3"/>
    </row>
    <row r="900" spans="1:12" s="71" customFormat="1">
      <c r="A900" s="87"/>
      <c r="B900" s="30"/>
      <c r="C900" s="70"/>
      <c r="G900" s="30"/>
      <c r="H900" s="77"/>
      <c r="I900" s="77"/>
      <c r="J900" s="58"/>
      <c r="K900" s="58"/>
      <c r="L900" s="3"/>
    </row>
    <row r="901" spans="1:12" s="71" customFormat="1">
      <c r="A901" s="87"/>
      <c r="B901" s="30"/>
      <c r="C901" s="70"/>
      <c r="G901" s="30"/>
      <c r="H901" s="77"/>
      <c r="I901" s="77"/>
      <c r="J901" s="58"/>
      <c r="K901" s="58"/>
      <c r="L901" s="3"/>
    </row>
    <row r="902" spans="1:12" s="71" customFormat="1">
      <c r="A902" s="87"/>
      <c r="B902" s="30"/>
      <c r="C902" s="70"/>
      <c r="G902" s="30"/>
      <c r="H902" s="77"/>
      <c r="I902" s="77"/>
      <c r="J902" s="58"/>
      <c r="K902" s="58"/>
      <c r="L902" s="3"/>
    </row>
    <row r="903" spans="1:12" s="71" customFormat="1">
      <c r="A903" s="87"/>
      <c r="B903" s="30"/>
      <c r="C903" s="70"/>
      <c r="G903" s="30"/>
      <c r="H903" s="77"/>
      <c r="I903" s="77"/>
      <c r="J903" s="58"/>
      <c r="K903" s="58"/>
      <c r="L903" s="3"/>
    </row>
    <row r="904" spans="1:12" s="71" customFormat="1">
      <c r="A904" s="87"/>
      <c r="B904" s="30"/>
      <c r="C904" s="70"/>
      <c r="G904" s="30"/>
      <c r="H904" s="77"/>
      <c r="I904" s="77"/>
      <c r="J904" s="58"/>
      <c r="K904" s="58"/>
      <c r="L904" s="3"/>
    </row>
    <row r="905" spans="1:12" s="71" customFormat="1">
      <c r="A905" s="87"/>
      <c r="B905" s="30"/>
      <c r="C905" s="70"/>
      <c r="G905" s="30"/>
      <c r="H905" s="77"/>
      <c r="I905" s="77"/>
      <c r="J905" s="58"/>
      <c r="K905" s="58"/>
      <c r="L905" s="3"/>
    </row>
    <row r="906" spans="1:12" s="71" customFormat="1">
      <c r="A906" s="87"/>
      <c r="B906" s="30"/>
      <c r="C906" s="70"/>
      <c r="G906" s="30"/>
      <c r="H906" s="77"/>
      <c r="I906" s="77"/>
      <c r="J906" s="58"/>
      <c r="K906" s="58"/>
      <c r="L906" s="3"/>
    </row>
    <row r="907" spans="1:12" s="71" customFormat="1">
      <c r="A907" s="87"/>
      <c r="B907" s="30"/>
      <c r="C907" s="70"/>
      <c r="G907" s="30"/>
      <c r="H907" s="77"/>
      <c r="I907" s="77"/>
      <c r="J907" s="58"/>
      <c r="K907" s="58"/>
      <c r="L907" s="3"/>
    </row>
    <row r="908" spans="1:12" s="71" customFormat="1">
      <c r="A908" s="87"/>
      <c r="B908" s="30"/>
      <c r="C908" s="70"/>
      <c r="G908" s="30"/>
      <c r="H908" s="77"/>
      <c r="I908" s="77"/>
      <c r="J908" s="58"/>
      <c r="K908" s="58"/>
      <c r="L908" s="3"/>
    </row>
    <row r="909" spans="1:12" s="71" customFormat="1">
      <c r="A909" s="87"/>
      <c r="B909" s="30"/>
      <c r="C909" s="70"/>
      <c r="G909" s="30"/>
      <c r="H909" s="77"/>
      <c r="I909" s="77"/>
      <c r="J909" s="58"/>
      <c r="K909" s="58"/>
      <c r="L909" s="3"/>
    </row>
    <row r="910" spans="1:12" s="71" customFormat="1">
      <c r="A910" s="87"/>
      <c r="B910" s="30"/>
      <c r="C910" s="70"/>
      <c r="G910" s="30"/>
      <c r="H910" s="77"/>
      <c r="I910" s="77"/>
      <c r="J910" s="58"/>
      <c r="K910" s="58"/>
      <c r="L910" s="3"/>
    </row>
    <row r="911" spans="1:12" s="71" customFormat="1">
      <c r="A911" s="87"/>
      <c r="B911" s="30"/>
      <c r="C911" s="70"/>
      <c r="G911" s="30"/>
      <c r="H911" s="77"/>
      <c r="I911" s="77"/>
      <c r="J911" s="58"/>
      <c r="K911" s="58"/>
      <c r="L911" s="3"/>
    </row>
    <row r="912" spans="1:12" s="71" customFormat="1">
      <c r="A912" s="87"/>
      <c r="B912" s="30"/>
      <c r="C912" s="70"/>
      <c r="G912" s="30"/>
      <c r="H912" s="77"/>
      <c r="I912" s="77"/>
      <c r="J912" s="58"/>
      <c r="K912" s="58"/>
      <c r="L912" s="3"/>
    </row>
    <row r="913" spans="1:12" s="71" customFormat="1">
      <c r="A913" s="87"/>
      <c r="B913" s="30"/>
      <c r="C913" s="70"/>
      <c r="G913" s="30"/>
      <c r="H913" s="77"/>
      <c r="I913" s="77"/>
      <c r="J913" s="58"/>
      <c r="K913" s="58"/>
      <c r="L913" s="3"/>
    </row>
    <row r="914" spans="1:12" s="71" customFormat="1">
      <c r="A914" s="87"/>
      <c r="B914" s="30"/>
      <c r="C914" s="70"/>
      <c r="G914" s="30"/>
      <c r="H914" s="77"/>
      <c r="I914" s="77"/>
      <c r="J914" s="58"/>
      <c r="K914" s="58"/>
      <c r="L914" s="3"/>
    </row>
    <row r="915" spans="1:12" s="71" customFormat="1">
      <c r="A915" s="87"/>
      <c r="B915" s="30"/>
      <c r="C915" s="70"/>
      <c r="G915" s="30"/>
      <c r="H915" s="77"/>
      <c r="I915" s="77"/>
      <c r="J915" s="58"/>
      <c r="K915" s="58"/>
      <c r="L915" s="3"/>
    </row>
    <row r="916" spans="1:12" s="71" customFormat="1">
      <c r="A916" s="87"/>
      <c r="B916" s="30"/>
      <c r="C916" s="70"/>
      <c r="G916" s="30"/>
      <c r="H916" s="77"/>
      <c r="I916" s="77"/>
      <c r="J916" s="58"/>
      <c r="K916" s="58"/>
      <c r="L916" s="3"/>
    </row>
    <row r="917" spans="1:12" s="71" customFormat="1">
      <c r="A917" s="87"/>
      <c r="B917" s="30"/>
      <c r="C917" s="70"/>
      <c r="G917" s="30"/>
      <c r="H917" s="77"/>
      <c r="I917" s="77"/>
      <c r="J917" s="58"/>
      <c r="K917" s="58"/>
      <c r="L917" s="3"/>
    </row>
    <row r="918" spans="1:12" s="71" customFormat="1">
      <c r="A918" s="87"/>
      <c r="B918" s="30"/>
      <c r="C918" s="70"/>
      <c r="G918" s="30"/>
      <c r="H918" s="77"/>
      <c r="I918" s="77"/>
      <c r="J918" s="58"/>
      <c r="K918" s="58"/>
      <c r="L918" s="3"/>
    </row>
    <row r="919" spans="1:12" s="71" customFormat="1">
      <c r="A919" s="87"/>
      <c r="B919" s="30"/>
      <c r="C919" s="70"/>
      <c r="G919" s="30"/>
      <c r="H919" s="77"/>
      <c r="I919" s="77"/>
      <c r="J919" s="58"/>
      <c r="K919" s="58"/>
      <c r="L919" s="3"/>
    </row>
    <row r="920" spans="1:12" s="71" customFormat="1">
      <c r="A920" s="87"/>
      <c r="B920" s="30"/>
      <c r="C920" s="70"/>
      <c r="G920" s="30"/>
      <c r="H920" s="77"/>
      <c r="I920" s="77"/>
      <c r="J920" s="58"/>
      <c r="K920" s="58"/>
      <c r="L920" s="3"/>
    </row>
    <row r="921" spans="1:12" s="71" customFormat="1">
      <c r="A921" s="87"/>
      <c r="B921" s="30"/>
      <c r="C921" s="70"/>
      <c r="G921" s="30"/>
      <c r="H921" s="77"/>
      <c r="I921" s="77"/>
      <c r="J921" s="58"/>
      <c r="K921" s="58"/>
      <c r="L921" s="3"/>
    </row>
    <row r="922" spans="1:12" s="71" customFormat="1">
      <c r="A922" s="87"/>
      <c r="B922" s="30"/>
      <c r="C922" s="70"/>
      <c r="G922" s="30"/>
      <c r="H922" s="77"/>
      <c r="I922" s="77"/>
      <c r="J922" s="58"/>
      <c r="K922" s="58"/>
      <c r="L922" s="3"/>
    </row>
    <row r="923" spans="1:12" s="71" customFormat="1">
      <c r="A923" s="87"/>
      <c r="B923" s="30"/>
      <c r="C923" s="70"/>
      <c r="G923" s="30"/>
      <c r="H923" s="77"/>
      <c r="I923" s="77"/>
      <c r="J923" s="58"/>
      <c r="K923" s="58"/>
      <c r="L923" s="3"/>
    </row>
    <row r="924" spans="1:12" s="71" customFormat="1">
      <c r="A924" s="87"/>
      <c r="B924" s="30"/>
      <c r="C924" s="70"/>
      <c r="G924" s="30"/>
      <c r="H924" s="77"/>
      <c r="I924" s="77"/>
      <c r="J924" s="58"/>
      <c r="K924" s="58"/>
      <c r="L924" s="3"/>
    </row>
    <row r="925" spans="1:12" s="71" customFormat="1">
      <c r="A925" s="87"/>
      <c r="B925" s="30"/>
      <c r="C925" s="70"/>
      <c r="G925" s="30"/>
      <c r="H925" s="77"/>
      <c r="I925" s="77"/>
      <c r="J925" s="58"/>
      <c r="K925" s="58"/>
      <c r="L925" s="3"/>
    </row>
    <row r="926" spans="1:12" s="71" customFormat="1">
      <c r="A926" s="87"/>
      <c r="B926" s="30"/>
      <c r="C926" s="70"/>
      <c r="G926" s="30"/>
      <c r="H926" s="77"/>
      <c r="I926" s="77"/>
      <c r="J926" s="58"/>
      <c r="K926" s="58"/>
      <c r="L926" s="3"/>
    </row>
    <row r="927" spans="1:12" s="71" customFormat="1">
      <c r="A927" s="87"/>
      <c r="B927" s="30"/>
      <c r="C927" s="70"/>
      <c r="G927" s="30"/>
      <c r="H927" s="77"/>
      <c r="I927" s="77"/>
      <c r="J927" s="58"/>
      <c r="K927" s="58"/>
      <c r="L927" s="3"/>
    </row>
    <row r="928" spans="1:12" s="71" customFormat="1">
      <c r="A928" s="87"/>
      <c r="B928" s="30"/>
      <c r="C928" s="70"/>
      <c r="G928" s="30"/>
      <c r="H928" s="77"/>
      <c r="I928" s="77"/>
      <c r="J928" s="58"/>
      <c r="K928" s="58"/>
      <c r="L928" s="3"/>
    </row>
    <row r="929" spans="1:12" s="71" customFormat="1">
      <c r="A929" s="87"/>
      <c r="B929" s="30"/>
      <c r="C929" s="70"/>
      <c r="G929" s="30"/>
      <c r="H929" s="77"/>
      <c r="I929" s="77"/>
      <c r="J929" s="58"/>
      <c r="K929" s="58"/>
      <c r="L929" s="3"/>
    </row>
    <row r="930" spans="1:12" s="71" customFormat="1">
      <c r="A930" s="87"/>
      <c r="B930" s="30"/>
      <c r="C930" s="70"/>
      <c r="G930" s="30"/>
      <c r="H930" s="77"/>
      <c r="I930" s="77"/>
      <c r="J930" s="58"/>
      <c r="K930" s="58"/>
      <c r="L930" s="3"/>
    </row>
    <row r="931" spans="1:12" s="71" customFormat="1">
      <c r="A931" s="87"/>
      <c r="B931" s="30"/>
      <c r="C931" s="70"/>
      <c r="G931" s="30"/>
      <c r="H931" s="77"/>
      <c r="I931" s="77"/>
      <c r="J931" s="58"/>
      <c r="K931" s="58"/>
      <c r="L931" s="3"/>
    </row>
    <row r="932" spans="1:12" s="71" customFormat="1">
      <c r="A932" s="87"/>
      <c r="B932" s="30"/>
      <c r="C932" s="70"/>
      <c r="G932" s="30"/>
      <c r="H932" s="77"/>
      <c r="I932" s="77"/>
      <c r="J932" s="58"/>
      <c r="K932" s="58"/>
      <c r="L932" s="3"/>
    </row>
    <row r="933" spans="1:12" s="71" customFormat="1">
      <c r="A933" s="87"/>
      <c r="B933" s="30"/>
      <c r="C933" s="70"/>
      <c r="G933" s="30"/>
      <c r="H933" s="77"/>
      <c r="I933" s="77"/>
      <c r="J933" s="58"/>
      <c r="K933" s="58"/>
      <c r="L933" s="3"/>
    </row>
    <row r="934" spans="1:12" s="71" customFormat="1">
      <c r="A934" s="87"/>
      <c r="B934" s="30"/>
      <c r="C934" s="70"/>
      <c r="G934" s="30"/>
      <c r="H934" s="77"/>
      <c r="I934" s="77"/>
      <c r="J934" s="58"/>
      <c r="K934" s="58"/>
      <c r="L934" s="3"/>
    </row>
    <row r="935" spans="1:12" s="71" customFormat="1">
      <c r="A935" s="87"/>
      <c r="B935" s="30"/>
      <c r="C935" s="70"/>
      <c r="G935" s="30"/>
      <c r="H935" s="77"/>
      <c r="I935" s="77"/>
      <c r="J935" s="58"/>
      <c r="K935" s="58"/>
      <c r="L935" s="3"/>
    </row>
    <row r="936" spans="1:12" s="71" customFormat="1">
      <c r="A936" s="87"/>
      <c r="B936" s="30"/>
      <c r="C936" s="70"/>
      <c r="G936" s="30"/>
      <c r="H936" s="77"/>
      <c r="I936" s="77"/>
      <c r="J936" s="58"/>
      <c r="K936" s="58"/>
      <c r="L936" s="3"/>
    </row>
    <row r="937" spans="1:12" s="71" customFormat="1">
      <c r="A937" s="87"/>
      <c r="B937" s="30"/>
      <c r="C937" s="70"/>
      <c r="G937" s="30"/>
      <c r="H937" s="77"/>
      <c r="I937" s="77"/>
      <c r="J937" s="58"/>
      <c r="K937" s="58"/>
      <c r="L937" s="3"/>
    </row>
    <row r="938" spans="1:12" s="71" customFormat="1">
      <c r="A938" s="87"/>
      <c r="B938" s="30"/>
      <c r="C938" s="70"/>
      <c r="G938" s="30"/>
      <c r="H938" s="77"/>
      <c r="I938" s="77"/>
      <c r="J938" s="58"/>
      <c r="K938" s="58"/>
      <c r="L938" s="3"/>
    </row>
    <row r="939" spans="1:12" s="71" customFormat="1">
      <c r="A939" s="87"/>
      <c r="B939" s="30"/>
      <c r="C939" s="70"/>
      <c r="G939" s="30"/>
      <c r="H939" s="77"/>
      <c r="I939" s="77"/>
      <c r="J939" s="58"/>
      <c r="K939" s="58"/>
      <c r="L939" s="3"/>
    </row>
    <row r="940" spans="1:12" s="71" customFormat="1">
      <c r="A940" s="87"/>
      <c r="B940" s="30"/>
      <c r="C940" s="70"/>
      <c r="G940" s="30"/>
      <c r="H940" s="77"/>
      <c r="I940" s="77"/>
      <c r="J940" s="58"/>
      <c r="K940" s="58"/>
      <c r="L940" s="3"/>
    </row>
    <row r="941" spans="1:12" s="71" customFormat="1">
      <c r="A941" s="87"/>
      <c r="B941" s="30"/>
      <c r="C941" s="70"/>
      <c r="G941" s="30"/>
      <c r="H941" s="77"/>
      <c r="I941" s="77"/>
      <c r="J941" s="58"/>
      <c r="K941" s="58"/>
      <c r="L941" s="3"/>
    </row>
    <row r="942" spans="1:12" s="71" customFormat="1">
      <c r="A942" s="87"/>
      <c r="B942" s="30"/>
      <c r="C942" s="70"/>
      <c r="G942" s="30"/>
      <c r="H942" s="77"/>
      <c r="I942" s="77"/>
      <c r="J942" s="58"/>
      <c r="K942" s="58"/>
      <c r="L942" s="3"/>
    </row>
    <row r="943" spans="1:12" s="71" customFormat="1">
      <c r="A943" s="87"/>
      <c r="B943" s="30"/>
      <c r="C943" s="70"/>
      <c r="G943" s="30"/>
      <c r="H943" s="77"/>
      <c r="I943" s="77"/>
      <c r="J943" s="58"/>
      <c r="K943" s="58"/>
      <c r="L943" s="3"/>
    </row>
    <row r="944" spans="1:12" s="71" customFormat="1">
      <c r="A944" s="87"/>
      <c r="B944" s="30"/>
      <c r="C944" s="70"/>
      <c r="G944" s="30"/>
      <c r="H944" s="77"/>
      <c r="I944" s="77"/>
      <c r="J944" s="58"/>
      <c r="K944" s="58"/>
      <c r="L944" s="3"/>
    </row>
    <row r="945" spans="1:12" s="71" customFormat="1">
      <c r="A945" s="87"/>
      <c r="B945" s="30"/>
      <c r="C945" s="70"/>
      <c r="G945" s="30"/>
      <c r="H945" s="77"/>
      <c r="I945" s="77"/>
      <c r="J945" s="58"/>
      <c r="K945" s="58"/>
      <c r="L945" s="3"/>
    </row>
    <row r="946" spans="1:12" s="71" customFormat="1">
      <c r="A946" s="87"/>
      <c r="B946" s="30"/>
      <c r="C946" s="70"/>
      <c r="G946" s="30"/>
      <c r="H946" s="77"/>
      <c r="I946" s="77"/>
      <c r="J946" s="58"/>
      <c r="K946" s="58"/>
      <c r="L946" s="3"/>
    </row>
    <row r="947" spans="1:12" s="71" customFormat="1">
      <c r="A947" s="87"/>
      <c r="B947" s="30"/>
      <c r="C947" s="70"/>
      <c r="G947" s="30"/>
      <c r="H947" s="77"/>
      <c r="I947" s="77"/>
      <c r="J947" s="58"/>
      <c r="K947" s="58"/>
      <c r="L947" s="3"/>
    </row>
    <row r="948" spans="1:12" s="71" customFormat="1">
      <c r="A948" s="87"/>
      <c r="B948" s="30"/>
      <c r="C948" s="70"/>
      <c r="G948" s="30"/>
      <c r="H948" s="77"/>
      <c r="I948" s="77"/>
      <c r="J948" s="58"/>
      <c r="K948" s="58"/>
      <c r="L948" s="3"/>
    </row>
    <row r="949" spans="1:12" s="71" customFormat="1">
      <c r="A949" s="87"/>
      <c r="B949" s="30"/>
      <c r="C949" s="70"/>
      <c r="G949" s="30"/>
      <c r="H949" s="77"/>
      <c r="I949" s="77"/>
      <c r="J949" s="58"/>
      <c r="K949" s="58"/>
      <c r="L949" s="3"/>
    </row>
    <row r="950" spans="1:12" s="71" customFormat="1">
      <c r="A950" s="87"/>
      <c r="B950" s="30"/>
      <c r="C950" s="70"/>
      <c r="G950" s="30"/>
      <c r="H950" s="77"/>
      <c r="I950" s="77"/>
      <c r="J950" s="58"/>
      <c r="K950" s="58"/>
      <c r="L950" s="3"/>
    </row>
    <row r="951" spans="1:12" s="71" customFormat="1">
      <c r="A951" s="87"/>
      <c r="B951" s="30"/>
      <c r="C951" s="70"/>
      <c r="G951" s="30"/>
      <c r="H951" s="77"/>
      <c r="I951" s="77"/>
      <c r="J951" s="58"/>
      <c r="K951" s="58"/>
      <c r="L951" s="3"/>
    </row>
    <row r="952" spans="1:12" s="71" customFormat="1">
      <c r="A952" s="87"/>
      <c r="B952" s="30"/>
      <c r="C952" s="70"/>
      <c r="G952" s="30"/>
      <c r="H952" s="77"/>
      <c r="I952" s="77"/>
      <c r="J952" s="58"/>
      <c r="K952" s="58"/>
      <c r="L952" s="3"/>
    </row>
    <row r="953" spans="1:12" s="71" customFormat="1">
      <c r="A953" s="87"/>
      <c r="B953" s="30"/>
      <c r="C953" s="70"/>
      <c r="G953" s="30"/>
      <c r="H953" s="77"/>
      <c r="I953" s="77"/>
      <c r="J953" s="58"/>
      <c r="K953" s="58"/>
      <c r="L953" s="3"/>
    </row>
    <row r="954" spans="1:12" s="71" customFormat="1">
      <c r="A954" s="87"/>
      <c r="B954" s="30"/>
      <c r="C954" s="70"/>
      <c r="G954" s="30"/>
      <c r="H954" s="77"/>
      <c r="I954" s="77"/>
      <c r="J954" s="58"/>
      <c r="K954" s="58"/>
      <c r="L954" s="3"/>
    </row>
    <row r="955" spans="1:12" s="71" customFormat="1">
      <c r="A955" s="87"/>
      <c r="B955" s="30"/>
      <c r="C955" s="70"/>
      <c r="G955" s="30"/>
      <c r="H955" s="77"/>
      <c r="I955" s="77"/>
      <c r="J955" s="58"/>
      <c r="K955" s="58"/>
      <c r="L955" s="3"/>
    </row>
    <row r="956" spans="1:12" s="71" customFormat="1">
      <c r="A956" s="87"/>
      <c r="B956" s="30"/>
      <c r="C956" s="70"/>
      <c r="G956" s="30"/>
      <c r="H956" s="77"/>
      <c r="I956" s="77"/>
      <c r="J956" s="58"/>
      <c r="K956" s="58"/>
      <c r="L956" s="3"/>
    </row>
    <row r="957" spans="1:12" s="71" customFormat="1">
      <c r="A957" s="87"/>
      <c r="B957" s="30"/>
      <c r="C957" s="70"/>
      <c r="G957" s="30"/>
      <c r="H957" s="77"/>
      <c r="I957" s="77"/>
      <c r="J957" s="58"/>
      <c r="K957" s="58"/>
      <c r="L957" s="3"/>
    </row>
    <row r="958" spans="1:12" s="71" customFormat="1">
      <c r="A958" s="87"/>
      <c r="B958" s="30"/>
      <c r="C958" s="70"/>
      <c r="G958" s="30"/>
      <c r="H958" s="77"/>
      <c r="I958" s="77"/>
      <c r="J958" s="58"/>
      <c r="K958" s="58"/>
      <c r="L958" s="3"/>
    </row>
    <row r="959" spans="1:12" s="71" customFormat="1">
      <c r="A959" s="87"/>
      <c r="B959" s="30"/>
      <c r="C959" s="70"/>
      <c r="G959" s="30"/>
      <c r="H959" s="77"/>
      <c r="I959" s="77"/>
      <c r="J959" s="58"/>
      <c r="K959" s="58"/>
      <c r="L959" s="3"/>
    </row>
    <row r="960" spans="1:12" s="71" customFormat="1">
      <c r="A960" s="87"/>
      <c r="B960" s="30"/>
      <c r="C960" s="70"/>
      <c r="G960" s="30"/>
      <c r="H960" s="77"/>
      <c r="I960" s="77"/>
      <c r="J960" s="58"/>
      <c r="K960" s="58"/>
      <c r="L960" s="3"/>
    </row>
    <row r="961" spans="1:12" s="71" customFormat="1">
      <c r="A961" s="87"/>
      <c r="B961" s="30"/>
      <c r="C961" s="70"/>
      <c r="G961" s="30"/>
      <c r="H961" s="77"/>
      <c r="I961" s="77"/>
      <c r="J961" s="58"/>
      <c r="K961" s="58"/>
      <c r="L961" s="3"/>
    </row>
    <row r="962" spans="1:12" s="71" customFormat="1">
      <c r="A962" s="87"/>
      <c r="B962" s="30"/>
      <c r="C962" s="70"/>
      <c r="G962" s="30"/>
      <c r="H962" s="77"/>
      <c r="I962" s="77"/>
      <c r="J962" s="58"/>
      <c r="K962" s="58"/>
      <c r="L962" s="3"/>
    </row>
    <row r="963" spans="1:12" s="71" customFormat="1">
      <c r="A963" s="87"/>
      <c r="B963" s="30"/>
      <c r="C963" s="70"/>
      <c r="G963" s="30"/>
      <c r="H963" s="77"/>
      <c r="I963" s="77"/>
      <c r="J963" s="58"/>
      <c r="K963" s="58"/>
      <c r="L963" s="3"/>
    </row>
    <row r="964" spans="1:12" s="71" customFormat="1">
      <c r="A964" s="87"/>
      <c r="B964" s="30"/>
      <c r="C964" s="70"/>
      <c r="G964" s="30"/>
      <c r="H964" s="77"/>
      <c r="I964" s="77"/>
      <c r="J964" s="58"/>
      <c r="K964" s="58"/>
      <c r="L964" s="3"/>
    </row>
    <row r="965" spans="1:12" s="71" customFormat="1">
      <c r="A965" s="87"/>
      <c r="B965" s="30"/>
      <c r="C965" s="70"/>
      <c r="G965" s="30"/>
      <c r="H965" s="77"/>
      <c r="I965" s="77"/>
      <c r="J965" s="58"/>
      <c r="K965" s="58"/>
      <c r="L965" s="3"/>
    </row>
    <row r="966" spans="1:12" s="71" customFormat="1">
      <c r="A966" s="87"/>
      <c r="B966" s="30"/>
      <c r="C966" s="70"/>
      <c r="G966" s="30"/>
      <c r="H966" s="77"/>
      <c r="I966" s="77"/>
      <c r="J966" s="58"/>
      <c r="K966" s="58"/>
      <c r="L966" s="3"/>
    </row>
    <row r="967" spans="1:12" s="71" customFormat="1">
      <c r="A967" s="87"/>
      <c r="B967" s="30"/>
      <c r="C967" s="70"/>
      <c r="G967" s="30"/>
      <c r="H967" s="77"/>
      <c r="I967" s="77"/>
      <c r="J967" s="58"/>
      <c r="K967" s="58"/>
      <c r="L967" s="3"/>
    </row>
    <row r="968" spans="1:12" s="71" customFormat="1">
      <c r="A968" s="87"/>
      <c r="B968" s="30"/>
      <c r="C968" s="70"/>
      <c r="G968" s="30"/>
      <c r="H968" s="77"/>
      <c r="I968" s="77"/>
      <c r="J968" s="58"/>
      <c r="K968" s="58"/>
      <c r="L968" s="3"/>
    </row>
    <row r="969" spans="1:12" s="71" customFormat="1">
      <c r="A969" s="87"/>
      <c r="B969" s="30"/>
      <c r="C969" s="70"/>
      <c r="G969" s="30"/>
      <c r="H969" s="77"/>
      <c r="I969" s="77"/>
      <c r="J969" s="58"/>
      <c r="K969" s="58"/>
      <c r="L969" s="3"/>
    </row>
    <row r="970" spans="1:12" s="71" customFormat="1">
      <c r="A970" s="87"/>
      <c r="B970" s="30"/>
      <c r="C970" s="70"/>
      <c r="G970" s="30"/>
      <c r="H970" s="77"/>
      <c r="I970" s="77"/>
      <c r="J970" s="58"/>
      <c r="K970" s="58"/>
      <c r="L970" s="3"/>
    </row>
    <row r="971" spans="1:12" s="71" customFormat="1">
      <c r="A971" s="87"/>
      <c r="B971" s="30"/>
      <c r="C971" s="70"/>
      <c r="G971" s="30"/>
      <c r="H971" s="77"/>
      <c r="I971" s="77"/>
      <c r="J971" s="58"/>
      <c r="K971" s="58"/>
      <c r="L971" s="3"/>
    </row>
    <row r="972" spans="1:12" s="71" customFormat="1">
      <c r="A972" s="87"/>
      <c r="B972" s="30"/>
      <c r="C972" s="70"/>
      <c r="G972" s="30"/>
      <c r="H972" s="77"/>
      <c r="I972" s="77"/>
      <c r="J972" s="58"/>
      <c r="K972" s="58"/>
      <c r="L972" s="3"/>
    </row>
    <row r="973" spans="1:12" s="71" customFormat="1">
      <c r="A973" s="87"/>
      <c r="B973" s="30"/>
      <c r="C973" s="70"/>
      <c r="G973" s="30"/>
      <c r="H973" s="77"/>
      <c r="I973" s="77"/>
      <c r="J973" s="58"/>
      <c r="K973" s="58"/>
      <c r="L973" s="3"/>
    </row>
    <row r="974" spans="1:12" s="71" customFormat="1">
      <c r="A974" s="87"/>
      <c r="B974" s="30"/>
      <c r="C974" s="70"/>
      <c r="G974" s="30"/>
      <c r="H974" s="77"/>
      <c r="I974" s="77"/>
      <c r="J974" s="58"/>
      <c r="K974" s="58"/>
      <c r="L974" s="3"/>
    </row>
    <row r="975" spans="1:12" s="71" customFormat="1">
      <c r="A975" s="87"/>
      <c r="B975" s="30"/>
      <c r="C975" s="70"/>
      <c r="G975" s="30"/>
      <c r="H975" s="77"/>
      <c r="I975" s="77"/>
      <c r="J975" s="58"/>
      <c r="K975" s="58"/>
      <c r="L975" s="3"/>
    </row>
    <row r="976" spans="1:12" s="71" customFormat="1">
      <c r="A976" s="87"/>
      <c r="B976" s="30"/>
      <c r="C976" s="70"/>
      <c r="G976" s="30"/>
      <c r="H976" s="77"/>
      <c r="I976" s="77"/>
      <c r="J976" s="58"/>
      <c r="K976" s="58"/>
      <c r="L976" s="3"/>
    </row>
    <row r="977" spans="1:12" s="71" customFormat="1">
      <c r="A977" s="87"/>
      <c r="B977" s="30"/>
      <c r="C977" s="70"/>
      <c r="G977" s="30"/>
      <c r="H977" s="77"/>
      <c r="I977" s="77"/>
      <c r="J977" s="58"/>
      <c r="K977" s="58"/>
      <c r="L977" s="3"/>
    </row>
    <row r="978" spans="1:12" s="71" customFormat="1">
      <c r="A978" s="87"/>
      <c r="B978" s="30"/>
      <c r="C978" s="70"/>
      <c r="G978" s="30"/>
      <c r="H978" s="77"/>
      <c r="I978" s="77"/>
      <c r="J978" s="58"/>
      <c r="K978" s="58"/>
      <c r="L978" s="3"/>
    </row>
    <row r="979" spans="1:12" s="71" customFormat="1">
      <c r="A979" s="87"/>
      <c r="B979" s="30"/>
      <c r="C979" s="70"/>
      <c r="G979" s="30"/>
      <c r="H979" s="77"/>
      <c r="I979" s="77"/>
      <c r="J979" s="58"/>
      <c r="K979" s="58"/>
      <c r="L979" s="3"/>
    </row>
    <row r="980" spans="1:12" s="71" customFormat="1">
      <c r="A980" s="87"/>
      <c r="B980" s="30"/>
      <c r="C980" s="70"/>
      <c r="G980" s="30"/>
      <c r="H980" s="77"/>
      <c r="I980" s="77"/>
      <c r="J980" s="58"/>
      <c r="K980" s="58"/>
      <c r="L980" s="3"/>
    </row>
    <row r="981" spans="1:12" s="71" customFormat="1">
      <c r="A981" s="87"/>
      <c r="B981" s="30"/>
      <c r="C981" s="70"/>
      <c r="G981" s="30"/>
      <c r="H981" s="77"/>
      <c r="I981" s="77"/>
      <c r="J981" s="58"/>
      <c r="K981" s="58"/>
      <c r="L981" s="3"/>
    </row>
    <row r="982" spans="1:12" s="71" customFormat="1">
      <c r="A982" s="87"/>
      <c r="B982" s="30"/>
      <c r="C982" s="70"/>
      <c r="G982" s="30"/>
      <c r="H982" s="77"/>
      <c r="I982" s="77"/>
      <c r="J982" s="58"/>
      <c r="K982" s="58"/>
      <c r="L982" s="3"/>
    </row>
    <row r="983" spans="1:12" s="71" customFormat="1">
      <c r="A983" s="87"/>
      <c r="B983" s="30"/>
      <c r="C983" s="70"/>
      <c r="G983" s="30"/>
      <c r="H983" s="77"/>
      <c r="I983" s="77"/>
      <c r="J983" s="58"/>
      <c r="K983" s="58"/>
      <c r="L983" s="3"/>
    </row>
    <row r="984" spans="1:12" s="71" customFormat="1">
      <c r="A984" s="87"/>
      <c r="B984" s="30"/>
      <c r="C984" s="70"/>
      <c r="G984" s="30"/>
      <c r="H984" s="77"/>
      <c r="I984" s="77"/>
      <c r="J984" s="58"/>
      <c r="K984" s="58"/>
      <c r="L984" s="3"/>
    </row>
    <row r="985" spans="1:12" s="71" customFormat="1">
      <c r="A985" s="87"/>
      <c r="B985" s="30"/>
      <c r="C985" s="70"/>
      <c r="G985" s="30"/>
      <c r="H985" s="77"/>
      <c r="I985" s="77"/>
      <c r="J985" s="58"/>
      <c r="K985" s="58"/>
      <c r="L985" s="3"/>
    </row>
    <row r="986" spans="1:12" s="71" customFormat="1">
      <c r="A986" s="87"/>
      <c r="B986" s="30"/>
      <c r="C986" s="70"/>
      <c r="G986" s="30"/>
      <c r="H986" s="77"/>
      <c r="I986" s="77"/>
      <c r="J986" s="58"/>
      <c r="K986" s="58"/>
      <c r="L986" s="3"/>
    </row>
    <row r="987" spans="1:12" s="71" customFormat="1">
      <c r="A987" s="87"/>
      <c r="B987" s="30"/>
      <c r="C987" s="70"/>
      <c r="G987" s="30"/>
      <c r="H987" s="77"/>
      <c r="I987" s="77"/>
      <c r="J987" s="58"/>
      <c r="K987" s="58"/>
      <c r="L987" s="3"/>
    </row>
    <row r="988" spans="1:12" s="71" customFormat="1">
      <c r="A988" s="87"/>
      <c r="B988" s="30"/>
      <c r="C988" s="70"/>
      <c r="G988" s="30"/>
      <c r="H988" s="77"/>
      <c r="I988" s="77"/>
      <c r="J988" s="58"/>
      <c r="K988" s="58"/>
      <c r="L988" s="3"/>
    </row>
    <row r="989" spans="1:12" s="71" customFormat="1">
      <c r="A989" s="87"/>
      <c r="B989" s="30"/>
      <c r="C989" s="70"/>
      <c r="G989" s="30"/>
      <c r="H989" s="77"/>
      <c r="I989" s="77"/>
      <c r="J989" s="58"/>
      <c r="K989" s="58"/>
      <c r="L989" s="3"/>
    </row>
    <row r="990" spans="1:12" s="71" customFormat="1">
      <c r="A990" s="87"/>
      <c r="B990" s="30"/>
      <c r="C990" s="70"/>
      <c r="G990" s="30"/>
      <c r="H990" s="77"/>
      <c r="I990" s="77"/>
      <c r="J990" s="58"/>
      <c r="K990" s="58"/>
      <c r="L990" s="3"/>
    </row>
    <row r="991" spans="1:12" s="71" customFormat="1">
      <c r="A991" s="87"/>
      <c r="B991" s="30"/>
      <c r="C991" s="70"/>
      <c r="G991" s="30"/>
      <c r="H991" s="77"/>
      <c r="I991" s="77"/>
      <c r="J991" s="58"/>
      <c r="K991" s="58"/>
      <c r="L991" s="3"/>
    </row>
    <row r="992" spans="1:12" s="71" customFormat="1">
      <c r="A992" s="87"/>
      <c r="B992" s="30"/>
      <c r="C992" s="70"/>
      <c r="G992" s="30"/>
      <c r="H992" s="77"/>
      <c r="I992" s="77"/>
      <c r="J992" s="58"/>
      <c r="K992" s="58"/>
      <c r="L992" s="3"/>
    </row>
    <row r="993" spans="1:12" s="71" customFormat="1">
      <c r="A993" s="87"/>
      <c r="B993" s="30"/>
      <c r="C993" s="70"/>
      <c r="G993" s="30"/>
      <c r="H993" s="77"/>
      <c r="I993" s="77"/>
      <c r="J993" s="58"/>
      <c r="K993" s="58"/>
      <c r="L993" s="3"/>
    </row>
    <row r="994" spans="1:12" s="71" customFormat="1">
      <c r="A994" s="87"/>
      <c r="B994" s="30"/>
      <c r="C994" s="70"/>
      <c r="G994" s="30"/>
      <c r="H994" s="77"/>
      <c r="I994" s="77"/>
      <c r="J994" s="58"/>
      <c r="K994" s="58"/>
      <c r="L994" s="3"/>
    </row>
    <row r="995" spans="1:12" s="71" customFormat="1">
      <c r="A995" s="87"/>
      <c r="B995" s="30"/>
      <c r="C995" s="70"/>
      <c r="G995" s="30"/>
      <c r="H995" s="77"/>
      <c r="I995" s="77"/>
      <c r="J995" s="58"/>
      <c r="K995" s="58"/>
      <c r="L995" s="3"/>
    </row>
    <row r="996" spans="1:12" s="71" customFormat="1">
      <c r="A996" s="87"/>
      <c r="B996" s="30"/>
      <c r="C996" s="70"/>
      <c r="G996" s="30"/>
      <c r="H996" s="77"/>
      <c r="I996" s="77"/>
      <c r="J996" s="58"/>
      <c r="K996" s="58"/>
      <c r="L996" s="3"/>
    </row>
    <row r="997" spans="1:12" s="71" customFormat="1">
      <c r="A997" s="87"/>
      <c r="B997" s="30"/>
      <c r="C997" s="70"/>
      <c r="G997" s="30"/>
      <c r="H997" s="77"/>
      <c r="I997" s="77"/>
      <c r="J997" s="58"/>
      <c r="K997" s="58"/>
      <c r="L997" s="3"/>
    </row>
    <row r="998" spans="1:12" s="71" customFormat="1">
      <c r="A998" s="87"/>
      <c r="B998" s="30"/>
      <c r="C998" s="70"/>
      <c r="G998" s="30"/>
      <c r="H998" s="77"/>
      <c r="I998" s="77"/>
      <c r="J998" s="58"/>
      <c r="K998" s="58"/>
      <c r="L998" s="3"/>
    </row>
    <row r="999" spans="1:12" s="71" customFormat="1">
      <c r="A999" s="87"/>
      <c r="B999" s="30"/>
      <c r="C999" s="70"/>
      <c r="G999" s="30"/>
      <c r="H999" s="77"/>
      <c r="I999" s="77"/>
      <c r="J999" s="58"/>
      <c r="K999" s="58"/>
      <c r="L999" s="3"/>
    </row>
    <row r="1000" spans="1:12" s="71" customFormat="1">
      <c r="A1000" s="87"/>
      <c r="B1000" s="30"/>
      <c r="C1000" s="70"/>
      <c r="G1000" s="30"/>
      <c r="H1000" s="77"/>
      <c r="I1000" s="77"/>
      <c r="J1000" s="58"/>
      <c r="K1000" s="58"/>
      <c r="L1000" s="3"/>
    </row>
    <row r="1001" spans="1:12" s="71" customFormat="1">
      <c r="A1001" s="87"/>
      <c r="B1001" s="30"/>
      <c r="C1001" s="70"/>
      <c r="G1001" s="30"/>
      <c r="H1001" s="77"/>
      <c r="I1001" s="77"/>
      <c r="J1001" s="58"/>
      <c r="K1001" s="58"/>
      <c r="L1001" s="3"/>
    </row>
    <row r="1002" spans="1:12" s="71" customFormat="1">
      <c r="A1002" s="87"/>
      <c r="B1002" s="30"/>
      <c r="C1002" s="70"/>
      <c r="G1002" s="30"/>
      <c r="H1002" s="77"/>
      <c r="I1002" s="77"/>
      <c r="J1002" s="58"/>
      <c r="K1002" s="58"/>
      <c r="L1002" s="3"/>
    </row>
    <row r="1003" spans="1:12" s="71" customFormat="1">
      <c r="A1003" s="87"/>
      <c r="B1003" s="30"/>
      <c r="C1003" s="70"/>
      <c r="G1003" s="30"/>
      <c r="H1003" s="77"/>
      <c r="I1003" s="77"/>
      <c r="J1003" s="58"/>
      <c r="K1003" s="58"/>
      <c r="L1003" s="3"/>
    </row>
    <row r="1004" spans="1:12" s="71" customFormat="1">
      <c r="A1004" s="87"/>
      <c r="B1004" s="30"/>
      <c r="C1004" s="70"/>
      <c r="G1004" s="30"/>
      <c r="H1004" s="77"/>
      <c r="I1004" s="77"/>
      <c r="J1004" s="58"/>
      <c r="K1004" s="58"/>
      <c r="L1004" s="3"/>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L1005"/>
  <sheetViews>
    <sheetView showZeros="0" topLeftCell="A60" zoomScale="80" zoomScaleNormal="80" workbookViewId="0">
      <selection activeCell="D27" sqref="D27:D113"/>
    </sheetView>
  </sheetViews>
  <sheetFormatPr defaultColWidth="8.85546875" defaultRowHeight="14.25"/>
  <cols>
    <col min="1" max="1" width="8.85546875" style="36"/>
    <col min="2" max="2" width="7.7109375" style="30" customWidth="1"/>
    <col min="3" max="3" width="45.7109375" style="30" customWidth="1"/>
    <col min="4" max="6" width="10.7109375" style="71" customWidth="1"/>
    <col min="7" max="7" width="6.7109375" style="30" customWidth="1"/>
    <col min="8" max="8" width="12.7109375" style="77" customWidth="1"/>
    <col min="9" max="9" width="16.28515625" style="77" customWidth="1"/>
    <col min="10" max="10" width="43.5703125" style="58" customWidth="1"/>
    <col min="11" max="11" width="9.140625" style="58" customWidth="1"/>
    <col min="12" max="16384" width="8.85546875" style="3"/>
  </cols>
  <sheetData>
    <row r="1" spans="2:12" ht="15.75">
      <c r="B1" s="1" t="str">
        <f>'Drawings &amp; Data'!A1</f>
        <v>ESTATE NAME</v>
      </c>
      <c r="C1" s="1"/>
      <c r="D1" s="1"/>
      <c r="E1" s="1"/>
      <c r="F1" s="1"/>
      <c r="G1" s="1"/>
      <c r="H1" s="1"/>
      <c r="I1" s="1"/>
      <c r="J1" s="3"/>
      <c r="K1" s="3"/>
    </row>
    <row r="2" spans="2:12" ht="15.75">
      <c r="B2" s="4" t="str">
        <f>'Drawings &amp; Data'!A2</f>
        <v>STAGE X</v>
      </c>
      <c r="C2" s="1"/>
      <c r="D2" s="1"/>
      <c r="E2" s="1"/>
      <c r="F2" s="1"/>
      <c r="G2" s="1"/>
      <c r="H2" s="1"/>
      <c r="I2" s="1"/>
      <c r="J2" s="3"/>
      <c r="K2" s="3"/>
    </row>
    <row r="3" spans="2:12" ht="15.75">
      <c r="B3" s="1"/>
      <c r="C3" s="1"/>
      <c r="D3" s="1"/>
      <c r="E3" s="1"/>
      <c r="F3" s="1"/>
      <c r="G3" s="1"/>
      <c r="H3" s="1"/>
      <c r="I3" s="1"/>
      <c r="J3" s="3"/>
      <c r="K3" s="3"/>
    </row>
    <row r="4" spans="2:12" ht="15.75">
      <c r="B4" s="5" t="s">
        <v>9</v>
      </c>
      <c r="C4" s="1"/>
      <c r="D4" s="1"/>
      <c r="E4" s="1"/>
      <c r="F4" s="1"/>
      <c r="G4" s="1"/>
      <c r="H4" s="1"/>
      <c r="I4" s="1"/>
      <c r="J4" s="3"/>
      <c r="K4" s="3"/>
    </row>
    <row r="5" spans="2:12" ht="15.75">
      <c r="B5" s="6" t="str">
        <f>'Drawings &amp; Data'!A5</f>
        <v>Name and/or entity</v>
      </c>
      <c r="C5" s="1"/>
      <c r="D5" s="1"/>
      <c r="E5" s="1"/>
      <c r="F5" s="1"/>
      <c r="G5" s="1"/>
      <c r="H5" s="1"/>
      <c r="I5" s="1"/>
      <c r="J5" s="3"/>
      <c r="K5" s="3"/>
    </row>
    <row r="6" spans="2:12" ht="15.75">
      <c r="B6" s="6" t="str">
        <f>'Drawings &amp; Data'!A6</f>
        <v>Address 1</v>
      </c>
      <c r="C6" s="1"/>
      <c r="D6" s="1"/>
      <c r="E6" s="1"/>
      <c r="F6" s="1"/>
      <c r="G6" s="1"/>
      <c r="H6" s="1"/>
      <c r="I6" s="1"/>
      <c r="J6" s="3"/>
      <c r="K6" s="3"/>
    </row>
    <row r="7" spans="2:12" ht="15.75">
      <c r="B7" s="6" t="str">
        <f>'Drawings &amp; Data'!A7</f>
        <v>Address 2</v>
      </c>
      <c r="C7" s="1"/>
      <c r="D7" s="1"/>
      <c r="E7" s="1"/>
      <c r="F7" s="1"/>
      <c r="G7" s="1"/>
      <c r="H7" s="1"/>
      <c r="I7" s="1"/>
      <c r="J7" s="3"/>
      <c r="K7" s="3"/>
    </row>
    <row r="8" spans="2:12">
      <c r="B8" s="6"/>
      <c r="C8" s="6"/>
      <c r="D8" s="6"/>
      <c r="E8" s="6"/>
      <c r="F8" s="6"/>
      <c r="G8" s="6"/>
      <c r="H8" s="6"/>
      <c r="I8" s="6"/>
    </row>
    <row r="9" spans="2:12" ht="15">
      <c r="B9" s="5" t="s">
        <v>10</v>
      </c>
      <c r="C9" s="6"/>
      <c r="D9" s="6"/>
      <c r="E9" s="6"/>
      <c r="F9" s="6"/>
      <c r="G9" s="6"/>
      <c r="H9" s="6"/>
      <c r="I9" s="6"/>
    </row>
    <row r="10" spans="2:12">
      <c r="B10" s="6" t="s">
        <v>282</v>
      </c>
      <c r="C10" s="6"/>
      <c r="D10" s="6"/>
      <c r="E10" s="6"/>
      <c r="F10" s="6"/>
      <c r="G10" s="6"/>
      <c r="H10" s="6"/>
      <c r="I10" s="6"/>
      <c r="L10" s="58"/>
    </row>
    <row r="11" spans="2:12">
      <c r="B11" s="6" t="s">
        <v>530</v>
      </c>
      <c r="C11" s="6"/>
      <c r="D11" s="6"/>
      <c r="E11" s="6"/>
      <c r="F11" s="6"/>
      <c r="G11" s="6"/>
      <c r="H11" s="6"/>
      <c r="I11" s="6"/>
    </row>
    <row r="12" spans="2:12">
      <c r="B12" s="6" t="s">
        <v>529</v>
      </c>
      <c r="C12" s="6"/>
      <c r="D12" s="6"/>
      <c r="E12" s="6"/>
      <c r="F12" s="6"/>
      <c r="G12" s="6"/>
      <c r="H12" s="6"/>
      <c r="I12" s="6"/>
    </row>
    <row r="13" spans="2:12">
      <c r="B13" s="6"/>
      <c r="C13" s="6"/>
      <c r="D13" s="6"/>
      <c r="E13" s="6"/>
      <c r="F13" s="6"/>
      <c r="G13" s="6"/>
      <c r="H13" s="6"/>
      <c r="I13" s="6"/>
    </row>
    <row r="14" spans="2:12" ht="15.75">
      <c r="B14" s="4" t="s">
        <v>377</v>
      </c>
      <c r="C14" s="6"/>
      <c r="D14" s="6"/>
      <c r="E14" s="6"/>
      <c r="F14" s="6"/>
      <c r="G14" s="6"/>
      <c r="H14" s="6"/>
      <c r="I14" s="6"/>
    </row>
    <row r="15" spans="2:12" ht="15.75">
      <c r="B15" s="1" t="s">
        <v>30</v>
      </c>
      <c r="C15" s="6"/>
      <c r="D15" s="6"/>
      <c r="E15" s="6"/>
      <c r="F15" s="6"/>
      <c r="G15" s="6"/>
      <c r="H15" s="6"/>
      <c r="I15" s="6"/>
    </row>
    <row r="16" spans="2:12">
      <c r="B16" s="6"/>
      <c r="C16" s="6"/>
      <c r="D16" s="6"/>
      <c r="E16" s="6"/>
      <c r="F16" s="6"/>
      <c r="G16" s="6"/>
      <c r="H16" s="6"/>
      <c r="I16" s="6"/>
    </row>
    <row r="17" spans="1:11" ht="72" customHeight="1">
      <c r="B17" s="110" t="s">
        <v>182</v>
      </c>
      <c r="C17" s="110"/>
      <c r="D17" s="38"/>
      <c r="E17" s="38"/>
      <c r="F17" s="38"/>
      <c r="G17" s="39"/>
      <c r="H17" s="40"/>
      <c r="I17" s="40"/>
    </row>
    <row r="18" spans="1:11" ht="8.4499999999999993" customHeight="1">
      <c r="B18" s="42"/>
      <c r="C18" s="42"/>
      <c r="D18" s="38"/>
      <c r="E18" s="38"/>
      <c r="F18" s="38"/>
      <c r="G18" s="39"/>
      <c r="H18" s="40"/>
      <c r="I18" s="40"/>
    </row>
    <row r="19" spans="1:11" ht="72.599999999999994" customHeight="1">
      <c r="B19" s="110" t="s">
        <v>532</v>
      </c>
      <c r="C19" s="110"/>
      <c r="D19" s="38"/>
      <c r="E19" s="38"/>
      <c r="F19" s="38"/>
      <c r="G19" s="39"/>
      <c r="H19" s="40"/>
      <c r="I19" s="40"/>
    </row>
    <row r="20" spans="1:11" ht="8.4499999999999993" customHeight="1">
      <c r="B20" s="42"/>
      <c r="C20" s="42"/>
      <c r="D20" s="38"/>
      <c r="E20" s="38"/>
      <c r="F20" s="38"/>
      <c r="G20" s="39"/>
      <c r="H20" s="40"/>
      <c r="I20" s="40"/>
    </row>
    <row r="21" spans="1:11" ht="60.6" customHeight="1">
      <c r="B21" s="110" t="s">
        <v>183</v>
      </c>
      <c r="C21" s="110"/>
      <c r="D21" s="38"/>
      <c r="E21" s="38"/>
      <c r="F21" s="38"/>
      <c r="G21" s="39"/>
      <c r="H21" s="40"/>
      <c r="I21" s="40"/>
    </row>
    <row r="22" spans="1:11" s="41" customFormat="1" ht="15">
      <c r="A22" s="43" t="s">
        <v>513</v>
      </c>
      <c r="B22" s="94"/>
      <c r="C22" s="30"/>
      <c r="D22" s="38"/>
      <c r="E22" s="38"/>
      <c r="F22" s="38"/>
      <c r="G22" s="39"/>
      <c r="H22" s="40"/>
      <c r="I22" s="40"/>
      <c r="J22" s="58"/>
      <c r="K22" s="58"/>
    </row>
    <row r="23" spans="1:11" s="41" customFormat="1" ht="15">
      <c r="A23" s="43" t="s">
        <v>514</v>
      </c>
      <c r="B23" s="46" t="s">
        <v>0</v>
      </c>
      <c r="C23" s="47" t="s">
        <v>1</v>
      </c>
      <c r="D23" s="48" t="s">
        <v>71</v>
      </c>
      <c r="E23" s="48" t="s">
        <v>72</v>
      </c>
      <c r="F23" s="48" t="s">
        <v>3</v>
      </c>
      <c r="G23" s="46" t="s">
        <v>2</v>
      </c>
      <c r="H23" s="49" t="s">
        <v>4</v>
      </c>
      <c r="I23" s="49" t="s">
        <v>5</v>
      </c>
    </row>
    <row r="24" spans="1:11" s="41" customFormat="1" ht="15">
      <c r="A24" s="43" t="s">
        <v>515</v>
      </c>
      <c r="B24" s="46"/>
      <c r="C24" s="47"/>
      <c r="D24" s="48"/>
      <c r="E24" s="48"/>
      <c r="F24" s="48"/>
      <c r="G24" s="46"/>
      <c r="H24" s="49"/>
      <c r="I24" s="49"/>
    </row>
    <row r="25" spans="1:11" s="41" customFormat="1" ht="15">
      <c r="A25" s="50">
        <v>1</v>
      </c>
      <c r="B25" s="51">
        <f ca="1">IF($A25="","",NumList())</f>
        <v>1</v>
      </c>
      <c r="C25" s="52" t="s">
        <v>75</v>
      </c>
      <c r="D25" s="48"/>
      <c r="E25" s="46"/>
      <c r="F25" s="46"/>
      <c r="G25" s="46"/>
      <c r="H25" s="49"/>
      <c r="I25" s="53">
        <f t="shared" ref="I25:I93" si="0">F25*H25</f>
        <v>0</v>
      </c>
    </row>
    <row r="26" spans="1:11" s="41" customFormat="1" ht="15">
      <c r="A26" s="50">
        <v>2</v>
      </c>
      <c r="B26" s="51" t="str">
        <f ca="1">IF($A26="","",NumList())</f>
        <v>1.1</v>
      </c>
      <c r="C26" s="54" t="s">
        <v>76</v>
      </c>
      <c r="D26" s="55"/>
      <c r="E26" s="51"/>
      <c r="F26" s="51"/>
      <c r="G26" s="46"/>
      <c r="H26" s="49"/>
      <c r="I26" s="53">
        <f t="shared" si="0"/>
        <v>0</v>
      </c>
    </row>
    <row r="27" spans="1:11" s="41" customFormat="1" ht="99.75">
      <c r="A27" s="50">
        <v>3</v>
      </c>
      <c r="B27" s="51" t="str">
        <f ca="1">IF($A27="","",NumList())</f>
        <v>1.1.1</v>
      </c>
      <c r="C27" s="54" t="s">
        <v>349</v>
      </c>
      <c r="D27" s="55">
        <f ca="1">IF(ISTEXT(G27),RANDBETWEEN(1,1),0)</f>
        <v>1</v>
      </c>
      <c r="E27" s="51"/>
      <c r="F27" s="89">
        <f ca="1">IF(ISTEXT(G27),RANDBETWEEN(1,100),0)</f>
        <v>64</v>
      </c>
      <c r="G27" s="51" t="s">
        <v>0</v>
      </c>
      <c r="H27" s="49">
        <f ca="1">IF(ISTEXT(G27),RANDBETWEEN(1,100),0)</f>
        <v>82</v>
      </c>
      <c r="I27" s="53">
        <f t="shared" ca="1" si="0"/>
        <v>5248</v>
      </c>
    </row>
    <row r="28" spans="1:11" s="41" customFormat="1" ht="85.5">
      <c r="A28" s="50">
        <v>3</v>
      </c>
      <c r="B28" s="51" t="str">
        <f ca="1">IF($A28="","",NumList())</f>
        <v>1.1.2</v>
      </c>
      <c r="C28" s="54" t="s">
        <v>350</v>
      </c>
      <c r="D28" s="55">
        <f t="shared" ref="D28:D91" ca="1" si="1">IF(ISTEXT(G28),RANDBETWEEN(1,1),0)</f>
        <v>1</v>
      </c>
      <c r="E28" s="51"/>
      <c r="F28" s="89">
        <f t="shared" ref="F28:F91" ca="1" si="2">IF(ISTEXT(G28),RANDBETWEEN(1,100),0)</f>
        <v>37</v>
      </c>
      <c r="G28" s="51" t="s">
        <v>0</v>
      </c>
      <c r="H28" s="49">
        <f t="shared" ref="H28:H91" ca="1" si="3">IF(ISTEXT(G28),RANDBETWEEN(1,100),0)</f>
        <v>66</v>
      </c>
      <c r="I28" s="53">
        <f t="shared" ca="1" si="0"/>
        <v>2442</v>
      </c>
    </row>
    <row r="29" spans="1:11" s="41" customFormat="1" ht="15">
      <c r="A29" s="50">
        <v>3</v>
      </c>
      <c r="B29" s="51" t="str">
        <f ca="1">IF($A29="","",NumList())</f>
        <v>1.1.3</v>
      </c>
      <c r="C29" s="96" t="s">
        <v>351</v>
      </c>
      <c r="D29" s="55">
        <f t="shared" ca="1" si="1"/>
        <v>1</v>
      </c>
      <c r="E29" s="51"/>
      <c r="F29" s="89">
        <f t="shared" ca="1" si="2"/>
        <v>39</v>
      </c>
      <c r="G29" s="51" t="s">
        <v>0</v>
      </c>
      <c r="H29" s="49">
        <f t="shared" ca="1" si="3"/>
        <v>41</v>
      </c>
      <c r="I29" s="53">
        <f t="shared" ca="1" si="0"/>
        <v>1599</v>
      </c>
    </row>
    <row r="30" spans="1:11" s="41" customFormat="1" ht="15">
      <c r="A30" s="50">
        <v>3</v>
      </c>
      <c r="B30" s="51" t="str">
        <f ca="1">IF($A30="","",NumList())</f>
        <v>1.1.4</v>
      </c>
      <c r="C30" s="96" t="s">
        <v>352</v>
      </c>
      <c r="D30" s="55">
        <f t="shared" ca="1" si="1"/>
        <v>1</v>
      </c>
      <c r="E30" s="51"/>
      <c r="F30" s="89">
        <f t="shared" ca="1" si="2"/>
        <v>53</v>
      </c>
      <c r="G30" s="51" t="s">
        <v>0</v>
      </c>
      <c r="H30" s="49">
        <f t="shared" ca="1" si="3"/>
        <v>84</v>
      </c>
      <c r="I30" s="53">
        <f t="shared" ca="1" si="0"/>
        <v>4452</v>
      </c>
    </row>
    <row r="31" spans="1:11" s="41" customFormat="1" ht="15">
      <c r="A31" s="50">
        <v>3</v>
      </c>
      <c r="B31" s="51" t="str">
        <f ca="1">IF($A31="","",NumList())</f>
        <v>1.1.5</v>
      </c>
      <c r="C31" s="96" t="s">
        <v>353</v>
      </c>
      <c r="D31" s="55">
        <f t="shared" ca="1" si="1"/>
        <v>1</v>
      </c>
      <c r="E31" s="51"/>
      <c r="F31" s="89">
        <f t="shared" ca="1" si="2"/>
        <v>61</v>
      </c>
      <c r="G31" s="51" t="s">
        <v>0</v>
      </c>
      <c r="H31" s="49">
        <f t="shared" ca="1" si="3"/>
        <v>55</v>
      </c>
      <c r="I31" s="53">
        <f t="shared" ca="1" si="0"/>
        <v>3355</v>
      </c>
    </row>
    <row r="32" spans="1:11" s="41" customFormat="1" ht="15">
      <c r="A32" s="50">
        <v>3</v>
      </c>
      <c r="B32" s="51" t="str">
        <f ca="1">IF($A32="","",NumList())</f>
        <v>1.1.6</v>
      </c>
      <c r="C32" s="96" t="s">
        <v>354</v>
      </c>
      <c r="D32" s="55">
        <f t="shared" ca="1" si="1"/>
        <v>1</v>
      </c>
      <c r="E32" s="51"/>
      <c r="F32" s="89">
        <f t="shared" ca="1" si="2"/>
        <v>88</v>
      </c>
      <c r="G32" s="51" t="s">
        <v>0</v>
      </c>
      <c r="H32" s="49">
        <f t="shared" ca="1" si="3"/>
        <v>66</v>
      </c>
      <c r="I32" s="53">
        <f t="shared" ca="1" si="0"/>
        <v>5808</v>
      </c>
    </row>
    <row r="33" spans="1:10" s="41" customFormat="1" ht="15">
      <c r="A33" s="50" t="s">
        <v>516</v>
      </c>
      <c r="B33" s="51" t="str">
        <f>IF($A33="","",NumList())</f>
        <v/>
      </c>
      <c r="C33" s="47"/>
      <c r="D33" s="55">
        <f t="shared" ca="1" si="1"/>
        <v>0</v>
      </c>
      <c r="E33" s="48"/>
      <c r="F33" s="89">
        <f t="shared" ca="1" si="2"/>
        <v>0</v>
      </c>
      <c r="G33" s="46"/>
      <c r="H33" s="49">
        <f t="shared" ca="1" si="3"/>
        <v>0</v>
      </c>
      <c r="I33" s="53">
        <f t="shared" ca="1" si="0"/>
        <v>0</v>
      </c>
    </row>
    <row r="34" spans="1:10" s="41" customFormat="1" ht="45">
      <c r="A34" s="50">
        <v>1</v>
      </c>
      <c r="B34" s="51">
        <f ca="1">IF($A34="","",NumList())</f>
        <v>2</v>
      </c>
      <c r="C34" s="63" t="s">
        <v>618</v>
      </c>
      <c r="D34" s="55">
        <f t="shared" ca="1" si="1"/>
        <v>0</v>
      </c>
      <c r="E34" s="48"/>
      <c r="F34" s="89">
        <f t="shared" ca="1" si="2"/>
        <v>0</v>
      </c>
      <c r="G34" s="46"/>
      <c r="H34" s="49">
        <f t="shared" ca="1" si="3"/>
        <v>0</v>
      </c>
      <c r="I34" s="53">
        <f t="shared" ca="1" si="0"/>
        <v>0</v>
      </c>
    </row>
    <row r="35" spans="1:10" s="41" customFormat="1" ht="34.5" customHeight="1">
      <c r="A35" s="50" t="s">
        <v>516</v>
      </c>
      <c r="B35" s="51" t="str">
        <f>IF($A35="","",NumList())</f>
        <v/>
      </c>
      <c r="C35" s="63" t="s">
        <v>288</v>
      </c>
      <c r="D35" s="55">
        <f t="shared" ca="1" si="1"/>
        <v>0</v>
      </c>
      <c r="E35" s="48"/>
      <c r="F35" s="89">
        <f t="shared" ca="1" si="2"/>
        <v>0</v>
      </c>
      <c r="G35" s="46"/>
      <c r="H35" s="49">
        <f t="shared" ca="1" si="3"/>
        <v>0</v>
      </c>
      <c r="I35" s="53">
        <f t="shared" ca="1" si="0"/>
        <v>0</v>
      </c>
    </row>
    <row r="36" spans="1:10" s="41" customFormat="1" ht="15">
      <c r="A36" s="50">
        <v>2</v>
      </c>
      <c r="B36" s="51" t="str">
        <f ca="1">IF($A36="","",NumList())</f>
        <v>2.1</v>
      </c>
      <c r="C36" s="61" t="s">
        <v>43</v>
      </c>
      <c r="D36" s="55">
        <f t="shared" ca="1" si="1"/>
        <v>1</v>
      </c>
      <c r="E36" s="55"/>
      <c r="F36" s="89">
        <f t="shared" ca="1" si="2"/>
        <v>50</v>
      </c>
      <c r="G36" s="51" t="s">
        <v>6</v>
      </c>
      <c r="H36" s="49">
        <f t="shared" ca="1" si="3"/>
        <v>38</v>
      </c>
      <c r="I36" s="53">
        <f t="shared" ca="1" si="0"/>
        <v>1900</v>
      </c>
      <c r="J36" s="58"/>
    </row>
    <row r="37" spans="1:10" s="41" customFormat="1" ht="15">
      <c r="A37" s="50">
        <v>2</v>
      </c>
      <c r="B37" s="51" t="str">
        <f ca="1">IF($A37="","",NumList())</f>
        <v>2.2</v>
      </c>
      <c r="C37" s="61" t="s">
        <v>267</v>
      </c>
      <c r="D37" s="55">
        <f t="shared" ca="1" si="1"/>
        <v>1</v>
      </c>
      <c r="E37" s="55"/>
      <c r="F37" s="89">
        <f t="shared" ca="1" si="2"/>
        <v>20</v>
      </c>
      <c r="G37" s="51" t="s">
        <v>6</v>
      </c>
      <c r="H37" s="49">
        <f t="shared" ca="1" si="3"/>
        <v>95</v>
      </c>
      <c r="I37" s="53">
        <f t="shared" ca="1" si="0"/>
        <v>1900</v>
      </c>
      <c r="J37" s="58"/>
    </row>
    <row r="38" spans="1:10" s="41" customFormat="1" ht="15">
      <c r="A38" s="50">
        <v>2</v>
      </c>
      <c r="B38" s="51" t="str">
        <f ca="1">IF($A38="","",NumList())</f>
        <v>2.3</v>
      </c>
      <c r="C38" s="61" t="s">
        <v>268</v>
      </c>
      <c r="D38" s="55">
        <f t="shared" ca="1" si="1"/>
        <v>1</v>
      </c>
      <c r="E38" s="55"/>
      <c r="F38" s="89">
        <f t="shared" ca="1" si="2"/>
        <v>52</v>
      </c>
      <c r="G38" s="51" t="s">
        <v>6</v>
      </c>
      <c r="H38" s="49">
        <f t="shared" ca="1" si="3"/>
        <v>43</v>
      </c>
      <c r="I38" s="53">
        <f t="shared" ca="1" si="0"/>
        <v>2236</v>
      </c>
      <c r="J38" s="58"/>
    </row>
    <row r="39" spans="1:10" s="41" customFormat="1" ht="15">
      <c r="A39" s="50">
        <v>2</v>
      </c>
      <c r="B39" s="51" t="str">
        <f ca="1">IF($A39="","",NumList())</f>
        <v>2.4</v>
      </c>
      <c r="C39" s="61" t="s">
        <v>355</v>
      </c>
      <c r="D39" s="55">
        <f t="shared" ca="1" si="1"/>
        <v>1</v>
      </c>
      <c r="E39" s="55"/>
      <c r="F39" s="89">
        <f t="shared" ca="1" si="2"/>
        <v>60</v>
      </c>
      <c r="G39" s="51" t="s">
        <v>6</v>
      </c>
      <c r="H39" s="49">
        <f t="shared" ca="1" si="3"/>
        <v>27</v>
      </c>
      <c r="I39" s="53">
        <f t="shared" ca="1" si="0"/>
        <v>1620</v>
      </c>
      <c r="J39" s="58"/>
    </row>
    <row r="40" spans="1:10" s="41" customFormat="1" ht="15">
      <c r="A40" s="50">
        <v>2</v>
      </c>
      <c r="B40" s="51" t="str">
        <f ca="1">IF($A40="","",NumList())</f>
        <v>2.5</v>
      </c>
      <c r="C40" s="61" t="s">
        <v>502</v>
      </c>
      <c r="D40" s="55">
        <f t="shared" ca="1" si="1"/>
        <v>1</v>
      </c>
      <c r="E40" s="55"/>
      <c r="F40" s="89">
        <f t="shared" ca="1" si="2"/>
        <v>58</v>
      </c>
      <c r="G40" s="51" t="s">
        <v>6</v>
      </c>
      <c r="H40" s="49">
        <f t="shared" ca="1" si="3"/>
        <v>86</v>
      </c>
      <c r="I40" s="53">
        <f t="shared" ca="1" si="0"/>
        <v>4988</v>
      </c>
      <c r="J40" s="58"/>
    </row>
    <row r="41" spans="1:10" s="41" customFormat="1" ht="15">
      <c r="A41" s="50">
        <v>2</v>
      </c>
      <c r="B41" s="51" t="str">
        <f ca="1">IF($A41="","",NumList())</f>
        <v>2.6</v>
      </c>
      <c r="C41" s="61" t="s">
        <v>356</v>
      </c>
      <c r="D41" s="55">
        <f t="shared" ca="1" si="1"/>
        <v>1</v>
      </c>
      <c r="E41" s="55"/>
      <c r="F41" s="89">
        <f t="shared" ca="1" si="2"/>
        <v>3</v>
      </c>
      <c r="G41" s="51" t="s">
        <v>6</v>
      </c>
      <c r="H41" s="49">
        <f t="shared" ca="1" si="3"/>
        <v>51</v>
      </c>
      <c r="I41" s="53">
        <f t="shared" ca="1" si="0"/>
        <v>153</v>
      </c>
      <c r="J41" s="58"/>
    </row>
    <row r="42" spans="1:10" s="41" customFormat="1" ht="15">
      <c r="A42" s="50">
        <v>2</v>
      </c>
      <c r="B42" s="51" t="str">
        <f ca="1">IF($A42="","",NumList())</f>
        <v>2.7</v>
      </c>
      <c r="C42" s="61" t="s">
        <v>357</v>
      </c>
      <c r="D42" s="55">
        <f t="shared" ca="1" si="1"/>
        <v>1</v>
      </c>
      <c r="E42" s="55"/>
      <c r="F42" s="89">
        <f t="shared" ca="1" si="2"/>
        <v>97</v>
      </c>
      <c r="G42" s="51" t="s">
        <v>6</v>
      </c>
      <c r="H42" s="49">
        <f t="shared" ca="1" si="3"/>
        <v>90</v>
      </c>
      <c r="I42" s="53">
        <f t="shared" ca="1" si="0"/>
        <v>8730</v>
      </c>
      <c r="J42" s="58"/>
    </row>
    <row r="43" spans="1:10" s="41" customFormat="1" ht="15">
      <c r="A43" s="50">
        <v>2</v>
      </c>
      <c r="B43" s="51" t="str">
        <f ca="1">IF($A43="","",NumList())</f>
        <v>2.8</v>
      </c>
      <c r="C43" s="61" t="s">
        <v>358</v>
      </c>
      <c r="D43" s="55">
        <f t="shared" ca="1" si="1"/>
        <v>1</v>
      </c>
      <c r="E43" s="55"/>
      <c r="F43" s="89">
        <f t="shared" ca="1" si="2"/>
        <v>66</v>
      </c>
      <c r="G43" s="51" t="s">
        <v>6</v>
      </c>
      <c r="H43" s="49">
        <f t="shared" ca="1" si="3"/>
        <v>37</v>
      </c>
      <c r="I43" s="53">
        <f t="shared" ca="1" si="0"/>
        <v>2442</v>
      </c>
      <c r="J43" s="58"/>
    </row>
    <row r="44" spans="1:10" s="41" customFormat="1" ht="15">
      <c r="A44" s="50">
        <v>2</v>
      </c>
      <c r="B44" s="51" t="str">
        <f ca="1">IF($A44="","",NumList())</f>
        <v>2.9</v>
      </c>
      <c r="C44" s="61" t="s">
        <v>503</v>
      </c>
      <c r="D44" s="55">
        <f t="shared" ca="1" si="1"/>
        <v>1</v>
      </c>
      <c r="E44" s="55"/>
      <c r="F44" s="89">
        <f t="shared" ca="1" si="2"/>
        <v>58</v>
      </c>
      <c r="G44" s="51" t="s">
        <v>6</v>
      </c>
      <c r="H44" s="49">
        <f t="shared" ca="1" si="3"/>
        <v>3</v>
      </c>
      <c r="I44" s="53">
        <f t="shared" ca="1" si="0"/>
        <v>174</v>
      </c>
      <c r="J44" s="58"/>
    </row>
    <row r="45" spans="1:10" s="41" customFormat="1" ht="15">
      <c r="A45" s="50">
        <v>2</v>
      </c>
      <c r="B45" s="51" t="str">
        <f ca="1">IF($A45="","",NumList())</f>
        <v>2.10</v>
      </c>
      <c r="C45" s="61" t="s">
        <v>344</v>
      </c>
      <c r="D45" s="55">
        <f t="shared" ca="1" si="1"/>
        <v>1</v>
      </c>
      <c r="E45" s="55"/>
      <c r="F45" s="89">
        <f t="shared" ca="1" si="2"/>
        <v>51</v>
      </c>
      <c r="G45" s="51" t="s">
        <v>6</v>
      </c>
      <c r="H45" s="49">
        <f t="shared" ca="1" si="3"/>
        <v>28</v>
      </c>
      <c r="I45" s="53">
        <f t="shared" ca="1" si="0"/>
        <v>1428</v>
      </c>
      <c r="J45" s="58"/>
    </row>
    <row r="46" spans="1:10" s="41" customFormat="1" ht="15">
      <c r="A46" s="50">
        <v>2</v>
      </c>
      <c r="B46" s="51" t="str">
        <f ca="1">IF($A46="","",NumList())</f>
        <v>2.11</v>
      </c>
      <c r="C46" s="61" t="s">
        <v>345</v>
      </c>
      <c r="D46" s="55">
        <f t="shared" ca="1" si="1"/>
        <v>1</v>
      </c>
      <c r="E46" s="55"/>
      <c r="F46" s="89">
        <f t="shared" ca="1" si="2"/>
        <v>8</v>
      </c>
      <c r="G46" s="51" t="s">
        <v>6</v>
      </c>
      <c r="H46" s="49">
        <f t="shared" ca="1" si="3"/>
        <v>34</v>
      </c>
      <c r="I46" s="53">
        <f t="shared" ca="1" si="0"/>
        <v>272</v>
      </c>
      <c r="J46" s="58"/>
    </row>
    <row r="47" spans="1:10" s="41" customFormat="1" ht="15">
      <c r="A47" s="50">
        <v>2</v>
      </c>
      <c r="B47" s="51" t="str">
        <f ca="1">IF($A47="","",NumList())</f>
        <v>2.12</v>
      </c>
      <c r="C47" s="61" t="s">
        <v>363</v>
      </c>
      <c r="D47" s="55">
        <f t="shared" ca="1" si="1"/>
        <v>1</v>
      </c>
      <c r="E47" s="55"/>
      <c r="F47" s="89">
        <f t="shared" ca="1" si="2"/>
        <v>92</v>
      </c>
      <c r="G47" s="51" t="s">
        <v>6</v>
      </c>
      <c r="H47" s="49">
        <f t="shared" ca="1" si="3"/>
        <v>91</v>
      </c>
      <c r="I47" s="53">
        <f t="shared" ca="1" si="0"/>
        <v>8372</v>
      </c>
      <c r="J47" s="58"/>
    </row>
    <row r="48" spans="1:10" s="41" customFormat="1" ht="15">
      <c r="A48" s="50">
        <v>2</v>
      </c>
      <c r="B48" s="51" t="str">
        <f ca="1">IF($A48="","",NumList())</f>
        <v>2.13</v>
      </c>
      <c r="C48" s="61" t="s">
        <v>504</v>
      </c>
      <c r="D48" s="55">
        <f t="shared" ca="1" si="1"/>
        <v>1</v>
      </c>
      <c r="E48" s="55"/>
      <c r="F48" s="89">
        <f t="shared" ca="1" si="2"/>
        <v>5</v>
      </c>
      <c r="G48" s="51" t="s">
        <v>6</v>
      </c>
      <c r="H48" s="49">
        <f t="shared" ca="1" si="3"/>
        <v>20</v>
      </c>
      <c r="I48" s="53">
        <f t="shared" ca="1" si="0"/>
        <v>100</v>
      </c>
      <c r="J48" s="58"/>
    </row>
    <row r="49" spans="1:10" s="41" customFormat="1" ht="15">
      <c r="A49" s="50">
        <v>2</v>
      </c>
      <c r="B49" s="51" t="str">
        <f ca="1">IF($A49="","",NumList())</f>
        <v>2.14</v>
      </c>
      <c r="C49" s="61" t="s">
        <v>346</v>
      </c>
      <c r="D49" s="55">
        <f t="shared" ca="1" si="1"/>
        <v>1</v>
      </c>
      <c r="E49" s="55"/>
      <c r="F49" s="89">
        <f t="shared" ca="1" si="2"/>
        <v>50</v>
      </c>
      <c r="G49" s="51" t="s">
        <v>6</v>
      </c>
      <c r="H49" s="49">
        <f t="shared" ca="1" si="3"/>
        <v>35</v>
      </c>
      <c r="I49" s="53">
        <f t="shared" ca="1" si="0"/>
        <v>1750</v>
      </c>
      <c r="J49" s="58"/>
    </row>
    <row r="50" spans="1:10" s="41" customFormat="1" ht="15">
      <c r="A50" s="50">
        <v>2</v>
      </c>
      <c r="B50" s="51" t="str">
        <f ca="1">IF($A50="","",NumList())</f>
        <v>2.15</v>
      </c>
      <c r="C50" s="61" t="s">
        <v>347</v>
      </c>
      <c r="D50" s="55">
        <f t="shared" ca="1" si="1"/>
        <v>1</v>
      </c>
      <c r="E50" s="55"/>
      <c r="F50" s="89">
        <f t="shared" ca="1" si="2"/>
        <v>23</v>
      </c>
      <c r="G50" s="51" t="s">
        <v>6</v>
      </c>
      <c r="H50" s="49">
        <f t="shared" ca="1" si="3"/>
        <v>42</v>
      </c>
      <c r="I50" s="53">
        <f t="shared" ca="1" si="0"/>
        <v>966</v>
      </c>
      <c r="J50" s="58"/>
    </row>
    <row r="51" spans="1:10" s="41" customFormat="1" ht="15">
      <c r="A51" s="50">
        <v>2</v>
      </c>
      <c r="B51" s="51" t="str">
        <f ca="1">IF($A51="","",NumList())</f>
        <v>2.16</v>
      </c>
      <c r="C51" s="61" t="s">
        <v>359</v>
      </c>
      <c r="D51" s="55">
        <f t="shared" ca="1" si="1"/>
        <v>1</v>
      </c>
      <c r="E51" s="55"/>
      <c r="F51" s="89">
        <f t="shared" ca="1" si="2"/>
        <v>43</v>
      </c>
      <c r="G51" s="51" t="s">
        <v>6</v>
      </c>
      <c r="H51" s="49">
        <f t="shared" ca="1" si="3"/>
        <v>9</v>
      </c>
      <c r="I51" s="53">
        <f t="shared" ca="1" si="0"/>
        <v>387</v>
      </c>
      <c r="J51" s="58"/>
    </row>
    <row r="52" spans="1:10" s="41" customFormat="1" ht="15">
      <c r="A52" s="50">
        <v>2</v>
      </c>
      <c r="B52" s="51" t="str">
        <f ca="1">IF($A52="","",NumList())</f>
        <v>2.17</v>
      </c>
      <c r="C52" s="61" t="s">
        <v>295</v>
      </c>
      <c r="D52" s="55">
        <f t="shared" ca="1" si="1"/>
        <v>1</v>
      </c>
      <c r="E52" s="55"/>
      <c r="F52" s="89">
        <f t="shared" ca="1" si="2"/>
        <v>93</v>
      </c>
      <c r="G52" s="51" t="s">
        <v>6</v>
      </c>
      <c r="H52" s="49">
        <f t="shared" ca="1" si="3"/>
        <v>4</v>
      </c>
      <c r="I52" s="53">
        <f t="shared" ca="1" si="0"/>
        <v>372</v>
      </c>
      <c r="J52" s="58"/>
    </row>
    <row r="53" spans="1:10" s="41" customFormat="1" ht="15">
      <c r="A53" s="50">
        <v>2</v>
      </c>
      <c r="B53" s="51" t="str">
        <f ca="1">IF($A53="","",NumList())</f>
        <v>2.18</v>
      </c>
      <c r="C53" s="61" t="s">
        <v>360</v>
      </c>
      <c r="D53" s="55">
        <f t="shared" ca="1" si="1"/>
        <v>1</v>
      </c>
      <c r="E53" s="55"/>
      <c r="F53" s="89">
        <f t="shared" ca="1" si="2"/>
        <v>60</v>
      </c>
      <c r="G53" s="51" t="s">
        <v>6</v>
      </c>
      <c r="H53" s="49">
        <f t="shared" ca="1" si="3"/>
        <v>42</v>
      </c>
      <c r="I53" s="53">
        <f t="shared" ca="1" si="0"/>
        <v>2520</v>
      </c>
      <c r="J53" s="58"/>
    </row>
    <row r="54" spans="1:10" s="41" customFormat="1" ht="15">
      <c r="A54" s="50">
        <v>2</v>
      </c>
      <c r="B54" s="51" t="str">
        <f ca="1">IF($A54="","",NumList())</f>
        <v>2.19</v>
      </c>
      <c r="C54" s="61" t="s">
        <v>361</v>
      </c>
      <c r="D54" s="55">
        <f t="shared" ca="1" si="1"/>
        <v>1</v>
      </c>
      <c r="E54" s="55"/>
      <c r="F54" s="89">
        <f t="shared" ca="1" si="2"/>
        <v>17</v>
      </c>
      <c r="G54" s="51" t="s">
        <v>6</v>
      </c>
      <c r="H54" s="49">
        <f t="shared" ca="1" si="3"/>
        <v>89</v>
      </c>
      <c r="I54" s="53">
        <f t="shared" ca="1" si="0"/>
        <v>1513</v>
      </c>
      <c r="J54" s="58"/>
    </row>
    <row r="55" spans="1:10" s="41" customFormat="1" ht="15">
      <c r="A55" s="50">
        <v>2</v>
      </c>
      <c r="B55" s="51" t="str">
        <f ca="1">IF($A55="","",NumList())</f>
        <v>2.20</v>
      </c>
      <c r="C55" s="61" t="s">
        <v>362</v>
      </c>
      <c r="D55" s="55">
        <f t="shared" ca="1" si="1"/>
        <v>0</v>
      </c>
      <c r="E55" s="55"/>
      <c r="F55" s="89">
        <f t="shared" ca="1" si="2"/>
        <v>0</v>
      </c>
      <c r="G55" s="51"/>
      <c r="H55" s="49">
        <f t="shared" ca="1" si="3"/>
        <v>0</v>
      </c>
      <c r="I55" s="53">
        <f t="shared" ca="1" si="0"/>
        <v>0</v>
      </c>
      <c r="J55" s="58"/>
    </row>
    <row r="56" spans="1:10" s="41" customFormat="1" ht="15">
      <c r="A56" s="50" t="s">
        <v>516</v>
      </c>
      <c r="B56" s="51" t="str">
        <f>IF($A56="","",NumList())</f>
        <v/>
      </c>
      <c r="C56" s="61"/>
      <c r="D56" s="55">
        <f t="shared" ca="1" si="1"/>
        <v>0</v>
      </c>
      <c r="E56" s="55"/>
      <c r="F56" s="89">
        <f t="shared" ca="1" si="2"/>
        <v>0</v>
      </c>
      <c r="G56" s="51"/>
      <c r="H56" s="49">
        <f t="shared" ca="1" si="3"/>
        <v>0</v>
      </c>
      <c r="I56" s="53">
        <f t="shared" ca="1" si="0"/>
        <v>0</v>
      </c>
      <c r="J56" s="58"/>
    </row>
    <row r="57" spans="1:10" s="41" customFormat="1" ht="29.25" customHeight="1">
      <c r="A57" s="50">
        <v>1</v>
      </c>
      <c r="B57" s="51">
        <f ca="1">IF($A57="","",NumList())</f>
        <v>3</v>
      </c>
      <c r="C57" s="52" t="s">
        <v>619</v>
      </c>
      <c r="D57" s="55">
        <f t="shared" ca="1" si="1"/>
        <v>0</v>
      </c>
      <c r="E57" s="48"/>
      <c r="F57" s="89">
        <f t="shared" ca="1" si="2"/>
        <v>0</v>
      </c>
      <c r="G57" s="46"/>
      <c r="H57" s="49">
        <f t="shared" ca="1" si="3"/>
        <v>0</v>
      </c>
      <c r="I57" s="53">
        <f t="shared" ca="1" si="0"/>
        <v>0</v>
      </c>
      <c r="J57" s="95" t="s">
        <v>495</v>
      </c>
    </row>
    <row r="58" spans="1:10" s="58" customFormat="1" ht="28.5">
      <c r="A58" s="50">
        <v>2</v>
      </c>
      <c r="B58" s="51" t="str">
        <f ca="1">IF($A58="","",NumList())</f>
        <v>3.1</v>
      </c>
      <c r="C58" s="61" t="s">
        <v>501</v>
      </c>
      <c r="D58" s="55">
        <f t="shared" ca="1" si="1"/>
        <v>0</v>
      </c>
      <c r="E58" s="55"/>
      <c r="F58" s="89">
        <f t="shared" ca="1" si="2"/>
        <v>0</v>
      </c>
      <c r="G58" s="51"/>
      <c r="H58" s="49">
        <f t="shared" ca="1" si="3"/>
        <v>0</v>
      </c>
      <c r="I58" s="53">
        <f t="shared" ca="1" si="0"/>
        <v>0</v>
      </c>
    </row>
    <row r="59" spans="1:10" s="58" customFormat="1" ht="15" customHeight="1">
      <c r="A59" s="50">
        <v>3</v>
      </c>
      <c r="B59" s="51" t="str">
        <f ca="1">IF($A59="","",NumList())</f>
        <v>3.1.1</v>
      </c>
      <c r="C59" s="61" t="s">
        <v>620</v>
      </c>
      <c r="D59" s="55">
        <f t="shared" ca="1" si="1"/>
        <v>1</v>
      </c>
      <c r="E59" s="55"/>
      <c r="F59" s="89">
        <f t="shared" ca="1" si="2"/>
        <v>96</v>
      </c>
      <c r="G59" s="51" t="s">
        <v>8</v>
      </c>
      <c r="H59" s="49">
        <f t="shared" ca="1" si="3"/>
        <v>100</v>
      </c>
      <c r="I59" s="53">
        <f ca="1">F59*H59</f>
        <v>9600</v>
      </c>
    </row>
    <row r="60" spans="1:10" s="58" customFormat="1" ht="15" customHeight="1">
      <c r="A60" s="50">
        <v>3</v>
      </c>
      <c r="B60" s="51" t="str">
        <f ca="1">IF($A60="","",NumList())</f>
        <v>3.1.2</v>
      </c>
      <c r="C60" s="61" t="s">
        <v>621</v>
      </c>
      <c r="D60" s="55">
        <f t="shared" ca="1" si="1"/>
        <v>1</v>
      </c>
      <c r="E60" s="55"/>
      <c r="F60" s="89">
        <f t="shared" ca="1" si="2"/>
        <v>25</v>
      </c>
      <c r="G60" s="51" t="s">
        <v>8</v>
      </c>
      <c r="H60" s="49">
        <f t="shared" ca="1" si="3"/>
        <v>25</v>
      </c>
      <c r="I60" s="53">
        <f t="shared" ca="1" si="0"/>
        <v>625</v>
      </c>
    </row>
    <row r="61" spans="1:10" s="58" customFormat="1" ht="15" customHeight="1">
      <c r="A61" s="50">
        <v>3</v>
      </c>
      <c r="B61" s="51" t="str">
        <f ca="1">IF($A61="","",NumList())</f>
        <v>3.1.3</v>
      </c>
      <c r="C61" s="61" t="s">
        <v>622</v>
      </c>
      <c r="D61" s="55">
        <f t="shared" ca="1" si="1"/>
        <v>1</v>
      </c>
      <c r="E61" s="55"/>
      <c r="F61" s="89">
        <f t="shared" ca="1" si="2"/>
        <v>56</v>
      </c>
      <c r="G61" s="51" t="s">
        <v>8</v>
      </c>
      <c r="H61" s="49">
        <f t="shared" ca="1" si="3"/>
        <v>79</v>
      </c>
      <c r="I61" s="53">
        <f t="shared" ca="1" si="0"/>
        <v>4424</v>
      </c>
    </row>
    <row r="62" spans="1:10" s="58" customFormat="1" ht="15" customHeight="1">
      <c r="A62" s="50">
        <v>3</v>
      </c>
      <c r="B62" s="51" t="str">
        <f ca="1">IF($A62="","",NumList())</f>
        <v>3.1.4</v>
      </c>
      <c r="C62" s="61" t="s">
        <v>623</v>
      </c>
      <c r="D62" s="55">
        <f t="shared" ca="1" si="1"/>
        <v>1</v>
      </c>
      <c r="E62" s="55"/>
      <c r="F62" s="89">
        <f t="shared" ca="1" si="2"/>
        <v>76</v>
      </c>
      <c r="G62" s="51" t="s">
        <v>8</v>
      </c>
      <c r="H62" s="49">
        <f t="shared" ca="1" si="3"/>
        <v>62</v>
      </c>
      <c r="I62" s="53">
        <f t="shared" ca="1" si="0"/>
        <v>4712</v>
      </c>
    </row>
    <row r="63" spans="1:10" s="58" customFormat="1" ht="15" customHeight="1">
      <c r="A63" s="50">
        <v>3</v>
      </c>
      <c r="B63" s="51" t="str">
        <f ca="1">IF($A63="","",NumList())</f>
        <v>3.1.5</v>
      </c>
      <c r="C63" s="62" t="s">
        <v>500</v>
      </c>
      <c r="D63" s="55">
        <f t="shared" ca="1" si="1"/>
        <v>1</v>
      </c>
      <c r="E63" s="55"/>
      <c r="F63" s="89">
        <f t="shared" ca="1" si="2"/>
        <v>65</v>
      </c>
      <c r="G63" s="51" t="s">
        <v>8</v>
      </c>
      <c r="H63" s="49">
        <f t="shared" ca="1" si="3"/>
        <v>50</v>
      </c>
      <c r="I63" s="53">
        <f t="shared" ca="1" si="0"/>
        <v>3250</v>
      </c>
    </row>
    <row r="64" spans="1:10" s="58" customFormat="1" ht="42.75">
      <c r="A64" s="50">
        <v>2</v>
      </c>
      <c r="B64" s="51" t="str">
        <f ca="1">IF($A64="","",NumList())</f>
        <v>3.2</v>
      </c>
      <c r="C64" s="62" t="s">
        <v>509</v>
      </c>
      <c r="D64" s="55">
        <f t="shared" ca="1" si="1"/>
        <v>0</v>
      </c>
      <c r="E64" s="55"/>
      <c r="F64" s="89">
        <f t="shared" ca="1" si="2"/>
        <v>0</v>
      </c>
      <c r="G64" s="51"/>
      <c r="H64" s="49">
        <f t="shared" ca="1" si="3"/>
        <v>0</v>
      </c>
      <c r="I64" s="53">
        <f t="shared" ca="1" si="0"/>
        <v>0</v>
      </c>
    </row>
    <row r="65" spans="1:10" s="58" customFormat="1" ht="15" customHeight="1">
      <c r="A65" s="50">
        <v>3</v>
      </c>
      <c r="B65" s="51" t="str">
        <f ca="1">IF($A65="","",NumList())</f>
        <v>3.2.1</v>
      </c>
      <c r="C65" s="62" t="s">
        <v>505</v>
      </c>
      <c r="D65" s="55">
        <f t="shared" ca="1" si="1"/>
        <v>1</v>
      </c>
      <c r="E65" s="55"/>
      <c r="F65" s="89">
        <f t="shared" ca="1" si="2"/>
        <v>54</v>
      </c>
      <c r="G65" s="51" t="s">
        <v>8</v>
      </c>
      <c r="H65" s="49">
        <f t="shared" ca="1" si="3"/>
        <v>56</v>
      </c>
      <c r="I65" s="53">
        <f ca="1">F65*H65</f>
        <v>3024</v>
      </c>
      <c r="J65" s="97"/>
    </row>
    <row r="66" spans="1:10" s="58" customFormat="1" ht="15" customHeight="1">
      <c r="A66" s="50">
        <v>3</v>
      </c>
      <c r="B66" s="51" t="str">
        <f ca="1">IF($A66="","",NumList())</f>
        <v>3.2.2</v>
      </c>
      <c r="C66" s="62" t="s">
        <v>364</v>
      </c>
      <c r="D66" s="55">
        <f t="shared" ca="1" si="1"/>
        <v>1</v>
      </c>
      <c r="E66" s="55"/>
      <c r="F66" s="89">
        <f t="shared" ca="1" si="2"/>
        <v>26</v>
      </c>
      <c r="G66" s="51" t="s">
        <v>8</v>
      </c>
      <c r="H66" s="49">
        <f t="shared" ca="1" si="3"/>
        <v>64</v>
      </c>
      <c r="I66" s="53">
        <f t="shared" ca="1" si="0"/>
        <v>1664</v>
      </c>
      <c r="J66" s="97"/>
    </row>
    <row r="67" spans="1:10" s="58" customFormat="1" ht="15" customHeight="1">
      <c r="A67" s="50">
        <v>3</v>
      </c>
      <c r="B67" s="51" t="str">
        <f ca="1">IF($A67="","",NumList())</f>
        <v>3.2.3</v>
      </c>
      <c r="C67" s="62" t="s">
        <v>365</v>
      </c>
      <c r="D67" s="55">
        <f t="shared" ca="1" si="1"/>
        <v>1</v>
      </c>
      <c r="E67" s="55"/>
      <c r="F67" s="89">
        <f t="shared" ca="1" si="2"/>
        <v>19</v>
      </c>
      <c r="G67" s="51" t="s">
        <v>8</v>
      </c>
      <c r="H67" s="49">
        <f t="shared" ca="1" si="3"/>
        <v>21</v>
      </c>
      <c r="I67" s="53">
        <f t="shared" ca="1" si="0"/>
        <v>399</v>
      </c>
    </row>
    <row r="68" spans="1:10" s="58" customFormat="1" ht="15" customHeight="1">
      <c r="A68" s="50">
        <v>3</v>
      </c>
      <c r="B68" s="51" t="str">
        <f ca="1">IF($A68="","",NumList())</f>
        <v>3.2.4</v>
      </c>
      <c r="C68" s="62" t="s">
        <v>366</v>
      </c>
      <c r="D68" s="55">
        <f t="shared" ca="1" si="1"/>
        <v>1</v>
      </c>
      <c r="E68" s="55"/>
      <c r="F68" s="89">
        <f t="shared" ca="1" si="2"/>
        <v>68</v>
      </c>
      <c r="G68" s="51" t="s">
        <v>8</v>
      </c>
      <c r="H68" s="49">
        <f t="shared" ca="1" si="3"/>
        <v>12</v>
      </c>
      <c r="I68" s="53">
        <f t="shared" ca="1" si="0"/>
        <v>816</v>
      </c>
    </row>
    <row r="69" spans="1:10" s="58" customFormat="1" ht="15" customHeight="1">
      <c r="A69" s="50">
        <v>2</v>
      </c>
      <c r="B69" s="51" t="str">
        <f ca="1">IF($A69="","",NumList())</f>
        <v>3.3</v>
      </c>
      <c r="C69" s="62" t="s">
        <v>508</v>
      </c>
      <c r="D69" s="55">
        <f t="shared" ca="1" si="1"/>
        <v>0</v>
      </c>
      <c r="E69" s="55"/>
      <c r="F69" s="89">
        <f t="shared" ca="1" si="2"/>
        <v>0</v>
      </c>
      <c r="G69" s="51"/>
      <c r="H69" s="49">
        <f t="shared" ca="1" si="3"/>
        <v>0</v>
      </c>
      <c r="I69" s="53">
        <f t="shared" ca="1" si="0"/>
        <v>0</v>
      </c>
    </row>
    <row r="70" spans="1:10" s="58" customFormat="1" ht="15" customHeight="1">
      <c r="A70" s="50">
        <v>3</v>
      </c>
      <c r="B70" s="51" t="str">
        <f ca="1">IF($A70="","",NumList())</f>
        <v>3.3.1</v>
      </c>
      <c r="C70" s="62" t="s">
        <v>505</v>
      </c>
      <c r="D70" s="55">
        <f t="shared" ca="1" si="1"/>
        <v>1</v>
      </c>
      <c r="E70" s="55"/>
      <c r="F70" s="89">
        <f t="shared" ca="1" si="2"/>
        <v>25</v>
      </c>
      <c r="G70" s="51" t="s">
        <v>8</v>
      </c>
      <c r="H70" s="49">
        <f t="shared" ca="1" si="3"/>
        <v>20</v>
      </c>
      <c r="I70" s="53">
        <f ca="1">F70*H70</f>
        <v>500</v>
      </c>
    </row>
    <row r="71" spans="1:10" s="58" customFormat="1" ht="15" customHeight="1">
      <c r="A71" s="50">
        <v>3</v>
      </c>
      <c r="B71" s="51" t="str">
        <f ca="1">IF($A71="","",NumList())</f>
        <v>3.3.2</v>
      </c>
      <c r="C71" s="62" t="s">
        <v>364</v>
      </c>
      <c r="D71" s="55">
        <f t="shared" ca="1" si="1"/>
        <v>1</v>
      </c>
      <c r="E71" s="55"/>
      <c r="F71" s="89">
        <f t="shared" ca="1" si="2"/>
        <v>100</v>
      </c>
      <c r="G71" s="51" t="s">
        <v>8</v>
      </c>
      <c r="H71" s="49">
        <f t="shared" ca="1" si="3"/>
        <v>67</v>
      </c>
      <c r="I71" s="53">
        <f t="shared" ca="1" si="0"/>
        <v>6700</v>
      </c>
    </row>
    <row r="72" spans="1:10" s="58" customFormat="1" ht="15" customHeight="1">
      <c r="A72" s="50">
        <v>3</v>
      </c>
      <c r="B72" s="51" t="str">
        <f ca="1">IF($A72="","",NumList())</f>
        <v>3.3.3</v>
      </c>
      <c r="C72" s="62" t="s">
        <v>365</v>
      </c>
      <c r="D72" s="55">
        <f t="shared" ca="1" si="1"/>
        <v>1</v>
      </c>
      <c r="E72" s="55"/>
      <c r="F72" s="89">
        <f t="shared" ca="1" si="2"/>
        <v>16</v>
      </c>
      <c r="G72" s="51" t="s">
        <v>8</v>
      </c>
      <c r="H72" s="49">
        <f t="shared" ca="1" si="3"/>
        <v>83</v>
      </c>
      <c r="I72" s="53">
        <f t="shared" ca="1" si="0"/>
        <v>1328</v>
      </c>
    </row>
    <row r="73" spans="1:10" s="58" customFormat="1" ht="15" customHeight="1">
      <c r="A73" s="50">
        <v>3</v>
      </c>
      <c r="B73" s="51" t="str">
        <f ca="1">IF($A73="","",NumList())</f>
        <v>3.3.4</v>
      </c>
      <c r="C73" s="62" t="s">
        <v>366</v>
      </c>
      <c r="D73" s="55">
        <f t="shared" ca="1" si="1"/>
        <v>1</v>
      </c>
      <c r="E73" s="55"/>
      <c r="F73" s="89">
        <f t="shared" ca="1" si="2"/>
        <v>29</v>
      </c>
      <c r="G73" s="51" t="s">
        <v>8</v>
      </c>
      <c r="H73" s="49">
        <f t="shared" ca="1" si="3"/>
        <v>81</v>
      </c>
      <c r="I73" s="53">
        <f t="shared" ca="1" si="0"/>
        <v>2349</v>
      </c>
    </row>
    <row r="74" spans="1:10" s="58" customFormat="1" ht="15" customHeight="1">
      <c r="A74" s="50">
        <v>2</v>
      </c>
      <c r="B74" s="51" t="str">
        <f ca="1">IF($A74="","",NumList())</f>
        <v>3.4</v>
      </c>
      <c r="C74" s="62" t="s">
        <v>507</v>
      </c>
      <c r="D74" s="55">
        <f t="shared" ca="1" si="1"/>
        <v>0</v>
      </c>
      <c r="E74" s="55"/>
      <c r="F74" s="89">
        <f t="shared" ca="1" si="2"/>
        <v>0</v>
      </c>
      <c r="G74" s="51"/>
      <c r="H74" s="49">
        <f t="shared" ca="1" si="3"/>
        <v>0</v>
      </c>
      <c r="I74" s="53">
        <f t="shared" ca="1" si="0"/>
        <v>0</v>
      </c>
    </row>
    <row r="75" spans="1:10" s="58" customFormat="1" ht="15" customHeight="1">
      <c r="A75" s="50">
        <v>3</v>
      </c>
      <c r="B75" s="51" t="str">
        <f ca="1">IF($A75="","",NumList())</f>
        <v>3.4.1</v>
      </c>
      <c r="C75" s="62" t="s">
        <v>505</v>
      </c>
      <c r="D75" s="55">
        <f t="shared" ca="1" si="1"/>
        <v>1</v>
      </c>
      <c r="E75" s="55"/>
      <c r="F75" s="89">
        <f t="shared" ca="1" si="2"/>
        <v>64</v>
      </c>
      <c r="G75" s="51" t="s">
        <v>8</v>
      </c>
      <c r="H75" s="49">
        <f t="shared" ca="1" si="3"/>
        <v>94</v>
      </c>
      <c r="I75" s="53">
        <f t="shared" ca="1" si="0"/>
        <v>6016</v>
      </c>
    </row>
    <row r="76" spans="1:10" s="58" customFormat="1" ht="15" customHeight="1">
      <c r="A76" s="50">
        <v>3</v>
      </c>
      <c r="B76" s="51" t="str">
        <f ca="1">IF($A76="","",NumList())</f>
        <v>3.4.2</v>
      </c>
      <c r="C76" s="62" t="s">
        <v>364</v>
      </c>
      <c r="D76" s="55">
        <f t="shared" ca="1" si="1"/>
        <v>1</v>
      </c>
      <c r="E76" s="55"/>
      <c r="F76" s="89">
        <f t="shared" ca="1" si="2"/>
        <v>9</v>
      </c>
      <c r="G76" s="51" t="s">
        <v>8</v>
      </c>
      <c r="H76" s="49">
        <f t="shared" ca="1" si="3"/>
        <v>56</v>
      </c>
      <c r="I76" s="53">
        <f t="shared" ca="1" si="0"/>
        <v>504</v>
      </c>
    </row>
    <row r="77" spans="1:10" s="58" customFormat="1" ht="15" customHeight="1">
      <c r="A77" s="50">
        <v>3</v>
      </c>
      <c r="B77" s="51" t="str">
        <f ca="1">IF($A77="","",NumList())</f>
        <v>3.4.3</v>
      </c>
      <c r="C77" s="62" t="s">
        <v>365</v>
      </c>
      <c r="D77" s="55">
        <f t="shared" ca="1" si="1"/>
        <v>1</v>
      </c>
      <c r="E77" s="55"/>
      <c r="F77" s="89">
        <f t="shared" ca="1" si="2"/>
        <v>3</v>
      </c>
      <c r="G77" s="51" t="s">
        <v>8</v>
      </c>
      <c r="H77" s="49">
        <f t="shared" ca="1" si="3"/>
        <v>9</v>
      </c>
      <c r="I77" s="53">
        <f t="shared" ca="1" si="0"/>
        <v>27</v>
      </c>
    </row>
    <row r="78" spans="1:10" s="58" customFormat="1" ht="15" customHeight="1">
      <c r="A78" s="50">
        <v>3</v>
      </c>
      <c r="B78" s="51" t="str">
        <f ca="1">IF($A78="","",NumList())</f>
        <v>3.4.4</v>
      </c>
      <c r="C78" s="62" t="s">
        <v>366</v>
      </c>
      <c r="D78" s="55">
        <f t="shared" ca="1" si="1"/>
        <v>1</v>
      </c>
      <c r="E78" s="55"/>
      <c r="F78" s="89">
        <f t="shared" ca="1" si="2"/>
        <v>64</v>
      </c>
      <c r="G78" s="51" t="s">
        <v>8</v>
      </c>
      <c r="H78" s="49">
        <f t="shared" ca="1" si="3"/>
        <v>54</v>
      </c>
      <c r="I78" s="53">
        <f t="shared" ca="1" si="0"/>
        <v>3456</v>
      </c>
    </row>
    <row r="79" spans="1:10" s="58" customFormat="1" ht="15" customHeight="1">
      <c r="A79" s="50">
        <v>2</v>
      </c>
      <c r="B79" s="51" t="str">
        <f ca="1">IF($A79="","",NumList())</f>
        <v>3.5</v>
      </c>
      <c r="C79" s="62" t="s">
        <v>506</v>
      </c>
      <c r="D79" s="55">
        <f t="shared" ca="1" si="1"/>
        <v>0</v>
      </c>
      <c r="E79" s="55"/>
      <c r="F79" s="89">
        <f t="shared" ca="1" si="2"/>
        <v>0</v>
      </c>
      <c r="G79" s="51"/>
      <c r="H79" s="49">
        <f t="shared" ca="1" si="3"/>
        <v>0</v>
      </c>
      <c r="I79" s="53">
        <f t="shared" ca="1" si="0"/>
        <v>0</v>
      </c>
    </row>
    <row r="80" spans="1:10" s="58" customFormat="1" ht="15" customHeight="1">
      <c r="A80" s="50">
        <v>3</v>
      </c>
      <c r="B80" s="51" t="str">
        <f ca="1">IF($A80="","",NumList())</f>
        <v>3.5.1</v>
      </c>
      <c r="C80" s="62" t="s">
        <v>505</v>
      </c>
      <c r="D80" s="55">
        <f t="shared" ca="1" si="1"/>
        <v>1</v>
      </c>
      <c r="E80" s="55"/>
      <c r="F80" s="89">
        <f t="shared" ca="1" si="2"/>
        <v>17</v>
      </c>
      <c r="G80" s="51" t="s">
        <v>8</v>
      </c>
      <c r="H80" s="49">
        <f t="shared" ca="1" si="3"/>
        <v>7</v>
      </c>
      <c r="I80" s="53">
        <f ca="1">F80*H80</f>
        <v>119</v>
      </c>
    </row>
    <row r="81" spans="1:10" s="58" customFormat="1" ht="15" customHeight="1">
      <c r="A81" s="50">
        <v>3</v>
      </c>
      <c r="B81" s="51" t="str">
        <f ca="1">IF($A81="","",NumList())</f>
        <v>3.5.2</v>
      </c>
      <c r="C81" s="62" t="s">
        <v>364</v>
      </c>
      <c r="D81" s="55">
        <f t="shared" ca="1" si="1"/>
        <v>1</v>
      </c>
      <c r="E81" s="55"/>
      <c r="F81" s="89">
        <f t="shared" ca="1" si="2"/>
        <v>23</v>
      </c>
      <c r="G81" s="51" t="s">
        <v>8</v>
      </c>
      <c r="H81" s="49">
        <f t="shared" ca="1" si="3"/>
        <v>80</v>
      </c>
      <c r="I81" s="53">
        <f t="shared" ca="1" si="0"/>
        <v>1840</v>
      </c>
    </row>
    <row r="82" spans="1:10" s="58" customFormat="1" ht="15" customHeight="1">
      <c r="A82" s="50">
        <v>3</v>
      </c>
      <c r="B82" s="51" t="str">
        <f ca="1">IF($A82="","",NumList())</f>
        <v>3.5.3</v>
      </c>
      <c r="C82" s="62" t="s">
        <v>365</v>
      </c>
      <c r="D82" s="55">
        <f t="shared" ca="1" si="1"/>
        <v>1</v>
      </c>
      <c r="E82" s="55"/>
      <c r="F82" s="89">
        <f t="shared" ca="1" si="2"/>
        <v>60</v>
      </c>
      <c r="G82" s="51" t="s">
        <v>8</v>
      </c>
      <c r="H82" s="49">
        <f t="shared" ca="1" si="3"/>
        <v>58</v>
      </c>
      <c r="I82" s="53">
        <f t="shared" ca="1" si="0"/>
        <v>3480</v>
      </c>
    </row>
    <row r="83" spans="1:10" s="58" customFormat="1" ht="30.75" customHeight="1">
      <c r="A83" s="50">
        <v>2</v>
      </c>
      <c r="B83" s="51" t="str">
        <f ca="1">IF($A83="","",NumList())</f>
        <v>3.6</v>
      </c>
      <c r="C83" s="62" t="s">
        <v>367</v>
      </c>
      <c r="D83" s="55">
        <f t="shared" ca="1" si="1"/>
        <v>1</v>
      </c>
      <c r="E83" s="55"/>
      <c r="F83" s="89">
        <f t="shared" ca="1" si="2"/>
        <v>4</v>
      </c>
      <c r="G83" s="51" t="s">
        <v>8</v>
      </c>
      <c r="H83" s="49">
        <f t="shared" ca="1" si="3"/>
        <v>5</v>
      </c>
      <c r="I83" s="53">
        <f t="shared" ca="1" si="0"/>
        <v>20</v>
      </c>
    </row>
    <row r="84" spans="1:10" s="58" customFormat="1" ht="15" customHeight="1">
      <c r="A84" s="50" t="s">
        <v>516</v>
      </c>
      <c r="B84" s="51" t="str">
        <f>IF($A84="","",NumList())</f>
        <v/>
      </c>
      <c r="C84" s="61"/>
      <c r="D84" s="55">
        <f t="shared" ca="1" si="1"/>
        <v>0</v>
      </c>
      <c r="E84" s="55"/>
      <c r="F84" s="89">
        <f t="shared" ca="1" si="2"/>
        <v>0</v>
      </c>
      <c r="G84" s="51"/>
      <c r="H84" s="49">
        <f t="shared" ca="1" si="3"/>
        <v>0</v>
      </c>
      <c r="I84" s="53">
        <f t="shared" ca="1" si="0"/>
        <v>0</v>
      </c>
    </row>
    <row r="85" spans="1:10" s="41" customFormat="1" ht="43.5">
      <c r="A85" s="50">
        <v>1</v>
      </c>
      <c r="B85" s="51">
        <f ca="1">IF($A85="","",NumList())</f>
        <v>4</v>
      </c>
      <c r="C85" s="63" t="s">
        <v>617</v>
      </c>
      <c r="D85" s="55">
        <f t="shared" ca="1" si="1"/>
        <v>0</v>
      </c>
      <c r="E85" s="48"/>
      <c r="F85" s="89">
        <f t="shared" ca="1" si="2"/>
        <v>0</v>
      </c>
      <c r="G85" s="46"/>
      <c r="H85" s="49">
        <f t="shared" ca="1" si="3"/>
        <v>0</v>
      </c>
      <c r="I85" s="53">
        <f t="shared" ca="1" si="0"/>
        <v>0</v>
      </c>
    </row>
    <row r="86" spans="1:10" s="58" customFormat="1" ht="28.5">
      <c r="A86" s="50">
        <v>2</v>
      </c>
      <c r="B86" s="51" t="str">
        <f ca="1">IF($A86="","",NumList())</f>
        <v>4.1</v>
      </c>
      <c r="C86" s="62" t="s">
        <v>499</v>
      </c>
      <c r="D86" s="55">
        <f t="shared" ca="1" si="1"/>
        <v>0</v>
      </c>
      <c r="E86" s="55"/>
      <c r="F86" s="89">
        <f t="shared" ca="1" si="2"/>
        <v>0</v>
      </c>
      <c r="G86" s="51"/>
      <c r="H86" s="49">
        <f t="shared" ca="1" si="3"/>
        <v>0</v>
      </c>
      <c r="I86" s="53">
        <f t="shared" ca="1" si="0"/>
        <v>0</v>
      </c>
      <c r="J86" s="95" t="s">
        <v>494</v>
      </c>
    </row>
    <row r="87" spans="1:10" s="58" customFormat="1" ht="15" customHeight="1">
      <c r="A87" s="50">
        <v>3</v>
      </c>
      <c r="B87" s="51" t="str">
        <f ca="1">IF($A87="","",NumList())</f>
        <v>4.1.1</v>
      </c>
      <c r="C87" s="62" t="s">
        <v>613</v>
      </c>
      <c r="D87" s="55">
        <f t="shared" ca="1" si="1"/>
        <v>1</v>
      </c>
      <c r="E87" s="55"/>
      <c r="F87" s="89">
        <f t="shared" ca="1" si="2"/>
        <v>27</v>
      </c>
      <c r="G87" s="51" t="s">
        <v>8</v>
      </c>
      <c r="H87" s="49">
        <f t="shared" ca="1" si="3"/>
        <v>86</v>
      </c>
      <c r="I87" s="53">
        <f t="shared" ca="1" si="0"/>
        <v>2322</v>
      </c>
    </row>
    <row r="88" spans="1:10" s="58" customFormat="1" ht="15" customHeight="1">
      <c r="A88" s="50">
        <v>3</v>
      </c>
      <c r="B88" s="51" t="str">
        <f ca="1">IF($A88="","",NumList())</f>
        <v>4.1.2</v>
      </c>
      <c r="C88" s="62" t="s">
        <v>614</v>
      </c>
      <c r="D88" s="55">
        <f t="shared" ca="1" si="1"/>
        <v>1</v>
      </c>
      <c r="E88" s="55"/>
      <c r="F88" s="89">
        <f t="shared" ca="1" si="2"/>
        <v>57</v>
      </c>
      <c r="G88" s="51" t="s">
        <v>8</v>
      </c>
      <c r="H88" s="49">
        <f t="shared" ca="1" si="3"/>
        <v>10</v>
      </c>
      <c r="I88" s="53">
        <f t="shared" ca="1" si="0"/>
        <v>570</v>
      </c>
    </row>
    <row r="89" spans="1:10" s="58" customFormat="1" ht="15" customHeight="1">
      <c r="A89" s="50">
        <v>3</v>
      </c>
      <c r="B89" s="51" t="str">
        <f ca="1">IF($A89="","",NumList())</f>
        <v>4.1.3</v>
      </c>
      <c r="C89" s="62" t="s">
        <v>615</v>
      </c>
      <c r="D89" s="55">
        <f t="shared" ca="1" si="1"/>
        <v>1</v>
      </c>
      <c r="E89" s="55"/>
      <c r="F89" s="89">
        <f t="shared" ca="1" si="2"/>
        <v>33</v>
      </c>
      <c r="G89" s="51" t="s">
        <v>8</v>
      </c>
      <c r="H89" s="49">
        <f t="shared" ca="1" si="3"/>
        <v>23</v>
      </c>
      <c r="I89" s="53">
        <f t="shared" ca="1" si="0"/>
        <v>759</v>
      </c>
    </row>
    <row r="90" spans="1:10" s="58" customFormat="1" ht="15" customHeight="1">
      <c r="A90" s="50" t="s">
        <v>516</v>
      </c>
      <c r="B90" s="51" t="str">
        <f>IF($A90="","",NumList())</f>
        <v/>
      </c>
      <c r="C90" s="62"/>
      <c r="D90" s="55">
        <f t="shared" ca="1" si="1"/>
        <v>0</v>
      </c>
      <c r="E90" s="55"/>
      <c r="F90" s="89">
        <f t="shared" ca="1" si="2"/>
        <v>0</v>
      </c>
      <c r="G90" s="51"/>
      <c r="H90" s="49">
        <f t="shared" ca="1" si="3"/>
        <v>0</v>
      </c>
      <c r="I90" s="53">
        <f t="shared" ca="1" si="0"/>
        <v>0</v>
      </c>
    </row>
    <row r="91" spans="1:10" s="58" customFormat="1" ht="31.5" customHeight="1">
      <c r="A91" s="50">
        <v>2</v>
      </c>
      <c r="B91" s="51" t="str">
        <f ca="1">IF($A91="","",NumList())</f>
        <v>4.2</v>
      </c>
      <c r="C91" s="62" t="s">
        <v>498</v>
      </c>
      <c r="D91" s="55">
        <f t="shared" ca="1" si="1"/>
        <v>1</v>
      </c>
      <c r="E91" s="55"/>
      <c r="F91" s="89">
        <f t="shared" ca="1" si="2"/>
        <v>100</v>
      </c>
      <c r="G91" s="51" t="s">
        <v>8</v>
      </c>
      <c r="H91" s="49">
        <f t="shared" ca="1" si="3"/>
        <v>63</v>
      </c>
      <c r="I91" s="53">
        <f t="shared" ca="1" si="0"/>
        <v>6300</v>
      </c>
      <c r="J91" s="95" t="s">
        <v>494</v>
      </c>
    </row>
    <row r="92" spans="1:10" s="58" customFormat="1" ht="15" customHeight="1">
      <c r="A92" s="50">
        <v>3</v>
      </c>
      <c r="B92" s="51" t="str">
        <f ca="1">IF($A92="","",NumList())</f>
        <v>4.2.1</v>
      </c>
      <c r="C92" s="62" t="s">
        <v>613</v>
      </c>
      <c r="D92" s="55">
        <f t="shared" ref="D92:D113" ca="1" si="4">IF(ISTEXT(G92),RANDBETWEEN(1,1),0)</f>
        <v>1</v>
      </c>
      <c r="E92" s="55"/>
      <c r="F92" s="89">
        <f t="shared" ref="F92:F110" ca="1" si="5">IF(ISTEXT(G92),RANDBETWEEN(1,100),0)</f>
        <v>54</v>
      </c>
      <c r="G92" s="51" t="s">
        <v>8</v>
      </c>
      <c r="H92" s="49">
        <f t="shared" ref="H92:H110" ca="1" si="6">IF(ISTEXT(G92),RANDBETWEEN(1,100),0)</f>
        <v>48</v>
      </c>
      <c r="I92" s="53">
        <f t="shared" ca="1" si="0"/>
        <v>2592</v>
      </c>
    </row>
    <row r="93" spans="1:10" s="58" customFormat="1" ht="15" customHeight="1">
      <c r="A93" s="50">
        <v>3</v>
      </c>
      <c r="B93" s="51" t="str">
        <f ca="1">IF($A93="","",NumList())</f>
        <v>4.2.2</v>
      </c>
      <c r="C93" s="62" t="s">
        <v>614</v>
      </c>
      <c r="D93" s="55">
        <f t="shared" ca="1" si="4"/>
        <v>1</v>
      </c>
      <c r="E93" s="55"/>
      <c r="F93" s="89">
        <f t="shared" ca="1" si="5"/>
        <v>97</v>
      </c>
      <c r="G93" s="51" t="s">
        <v>8</v>
      </c>
      <c r="H93" s="49">
        <f t="shared" ca="1" si="6"/>
        <v>72</v>
      </c>
      <c r="I93" s="53">
        <f t="shared" ca="1" si="0"/>
        <v>6984</v>
      </c>
    </row>
    <row r="94" spans="1:10" s="58" customFormat="1" ht="15" customHeight="1">
      <c r="A94" s="50">
        <v>3</v>
      </c>
      <c r="B94" s="51" t="str">
        <f ca="1">IF($A94="","",NumList())</f>
        <v>4.2.3</v>
      </c>
      <c r="C94" s="62" t="s">
        <v>615</v>
      </c>
      <c r="D94" s="55">
        <f t="shared" ca="1" si="4"/>
        <v>1</v>
      </c>
      <c r="E94" s="55"/>
      <c r="F94" s="89">
        <f t="shared" ca="1" si="5"/>
        <v>84</v>
      </c>
      <c r="G94" s="51" t="s">
        <v>8</v>
      </c>
      <c r="H94" s="49">
        <f t="shared" ca="1" si="6"/>
        <v>49</v>
      </c>
      <c r="I94" s="53">
        <f t="shared" ref="I94:I112" ca="1" si="7">F94*H94</f>
        <v>4116</v>
      </c>
    </row>
    <row r="95" spans="1:10" s="58" customFormat="1" ht="15" customHeight="1">
      <c r="A95" s="50" t="s">
        <v>516</v>
      </c>
      <c r="B95" s="51" t="str">
        <f>IF($A95="","",NumList())</f>
        <v/>
      </c>
      <c r="C95" s="61"/>
      <c r="D95" s="55">
        <f t="shared" ca="1" si="4"/>
        <v>0</v>
      </c>
      <c r="E95" s="55"/>
      <c r="F95" s="89">
        <f t="shared" ca="1" si="5"/>
        <v>0</v>
      </c>
      <c r="G95" s="51"/>
      <c r="H95" s="49">
        <f t="shared" ca="1" si="6"/>
        <v>0</v>
      </c>
      <c r="I95" s="53">
        <f t="shared" ca="1" si="7"/>
        <v>0</v>
      </c>
    </row>
    <row r="96" spans="1:10" s="41" customFormat="1" ht="15">
      <c r="A96" s="50">
        <v>1</v>
      </c>
      <c r="B96" s="51">
        <f ca="1">IF($A96="","",NumList())</f>
        <v>5</v>
      </c>
      <c r="C96" s="63" t="s">
        <v>231</v>
      </c>
      <c r="D96" s="55">
        <f t="shared" ca="1" si="4"/>
        <v>0</v>
      </c>
      <c r="E96" s="48"/>
      <c r="F96" s="89">
        <f t="shared" ca="1" si="5"/>
        <v>0</v>
      </c>
      <c r="G96" s="46"/>
      <c r="H96" s="49">
        <f t="shared" ca="1" si="6"/>
        <v>0</v>
      </c>
      <c r="I96" s="53">
        <f t="shared" ca="1" si="7"/>
        <v>0</v>
      </c>
    </row>
    <row r="97" spans="1:11" s="58" customFormat="1" ht="30">
      <c r="A97" s="50">
        <v>2</v>
      </c>
      <c r="B97" s="51" t="str">
        <f ca="1">IF($A97="","",NumList())</f>
        <v>5.1</v>
      </c>
      <c r="C97" s="61" t="s">
        <v>624</v>
      </c>
      <c r="D97" s="55">
        <f t="shared" ca="1" si="4"/>
        <v>1</v>
      </c>
      <c r="E97" s="55"/>
      <c r="F97" s="89">
        <f t="shared" ca="1" si="5"/>
        <v>89</v>
      </c>
      <c r="G97" s="51" t="s">
        <v>8</v>
      </c>
      <c r="H97" s="49">
        <f t="shared" ca="1" si="6"/>
        <v>29</v>
      </c>
      <c r="I97" s="53">
        <f t="shared" ca="1" si="7"/>
        <v>2581</v>
      </c>
    </row>
    <row r="98" spans="1:11" s="41" customFormat="1" ht="15">
      <c r="A98" s="50">
        <v>2</v>
      </c>
      <c r="B98" s="51" t="str">
        <f ca="1">IF($A98="","",NumList())</f>
        <v>5.2</v>
      </c>
      <c r="C98" s="62" t="s">
        <v>47</v>
      </c>
      <c r="D98" s="55">
        <f t="shared" ca="1" si="4"/>
        <v>1</v>
      </c>
      <c r="E98" s="55"/>
      <c r="F98" s="89">
        <f t="shared" ca="1" si="5"/>
        <v>84</v>
      </c>
      <c r="G98" s="51" t="s">
        <v>0</v>
      </c>
      <c r="H98" s="49">
        <f t="shared" ca="1" si="6"/>
        <v>80</v>
      </c>
      <c r="I98" s="53">
        <f t="shared" ca="1" si="7"/>
        <v>6720</v>
      </c>
      <c r="K98" s="58"/>
    </row>
    <row r="99" spans="1:11" s="41" customFormat="1" ht="15">
      <c r="A99" s="50" t="s">
        <v>516</v>
      </c>
      <c r="B99" s="51" t="str">
        <f>IF($A99="","",NumList())</f>
        <v/>
      </c>
      <c r="C99" s="61"/>
      <c r="D99" s="55">
        <f t="shared" ca="1" si="4"/>
        <v>0</v>
      </c>
      <c r="E99" s="55"/>
      <c r="F99" s="89">
        <f t="shared" ca="1" si="5"/>
        <v>0</v>
      </c>
      <c r="G99" s="51"/>
      <c r="H99" s="49">
        <f t="shared" ca="1" si="6"/>
        <v>0</v>
      </c>
      <c r="I99" s="53">
        <f t="shared" ca="1" si="7"/>
        <v>0</v>
      </c>
      <c r="K99" s="58"/>
    </row>
    <row r="100" spans="1:11" s="41" customFormat="1" ht="15">
      <c r="A100" s="50">
        <v>1</v>
      </c>
      <c r="B100" s="51">
        <f ca="1">IF($A100="","",NumList())</f>
        <v>6</v>
      </c>
      <c r="C100" s="69" t="s">
        <v>7</v>
      </c>
      <c r="D100" s="55">
        <f t="shared" ca="1" si="4"/>
        <v>0</v>
      </c>
      <c r="E100" s="48"/>
      <c r="F100" s="89">
        <f t="shared" ca="1" si="5"/>
        <v>0</v>
      </c>
      <c r="G100" s="46"/>
      <c r="H100" s="49">
        <f t="shared" ca="1" si="6"/>
        <v>0</v>
      </c>
      <c r="I100" s="53">
        <f t="shared" ca="1" si="7"/>
        <v>0</v>
      </c>
    </row>
    <row r="101" spans="1:11" s="41" customFormat="1" ht="28.5">
      <c r="A101" s="50">
        <v>2</v>
      </c>
      <c r="B101" s="51" t="str">
        <f ca="1">IF($A101="","",NumList())</f>
        <v>6.1</v>
      </c>
      <c r="C101" s="62" t="s">
        <v>368</v>
      </c>
      <c r="D101" s="55">
        <f t="shared" ca="1" si="4"/>
        <v>1</v>
      </c>
      <c r="E101" s="55"/>
      <c r="F101" s="89">
        <f t="shared" ca="1" si="5"/>
        <v>62</v>
      </c>
      <c r="G101" s="51" t="s">
        <v>0</v>
      </c>
      <c r="H101" s="49">
        <f t="shared" ca="1" si="6"/>
        <v>86</v>
      </c>
      <c r="I101" s="53">
        <f t="shared" ca="1" si="7"/>
        <v>5332</v>
      </c>
      <c r="K101" s="58"/>
    </row>
    <row r="102" spans="1:11" s="41" customFormat="1" ht="15">
      <c r="A102" s="50" t="s">
        <v>516</v>
      </c>
      <c r="B102" s="51" t="str">
        <f>IF($A102="","",NumList())</f>
        <v/>
      </c>
      <c r="C102" s="62"/>
      <c r="D102" s="55">
        <f t="shared" ca="1" si="4"/>
        <v>0</v>
      </c>
      <c r="E102" s="55"/>
      <c r="F102" s="89">
        <f t="shared" ca="1" si="5"/>
        <v>0</v>
      </c>
      <c r="G102" s="51"/>
      <c r="H102" s="49">
        <f t="shared" ca="1" si="6"/>
        <v>0</v>
      </c>
      <c r="I102" s="53">
        <f t="shared" ca="1" si="7"/>
        <v>0</v>
      </c>
      <c r="K102" s="58"/>
    </row>
    <row r="103" spans="1:11" s="41" customFormat="1" ht="30">
      <c r="A103" s="50">
        <v>1</v>
      </c>
      <c r="B103" s="51">
        <f ca="1">IF($A103="","",NumList())</f>
        <v>7</v>
      </c>
      <c r="C103" s="69" t="s">
        <v>339</v>
      </c>
      <c r="D103" s="55">
        <f t="shared" ca="1" si="4"/>
        <v>0</v>
      </c>
      <c r="E103" s="55"/>
      <c r="F103" s="89">
        <f t="shared" ca="1" si="5"/>
        <v>0</v>
      </c>
      <c r="G103" s="51"/>
      <c r="H103" s="49">
        <f t="shared" ca="1" si="6"/>
        <v>0</v>
      </c>
      <c r="I103" s="53">
        <f t="shared" ca="1" si="7"/>
        <v>0</v>
      </c>
      <c r="K103" s="58"/>
    </row>
    <row r="104" spans="1:11" s="41" customFormat="1" ht="15">
      <c r="A104" s="50">
        <v>2</v>
      </c>
      <c r="B104" s="51" t="str">
        <f ca="1">IF($A104="","",NumList())</f>
        <v>7.1</v>
      </c>
      <c r="C104" s="62" t="s">
        <v>369</v>
      </c>
      <c r="D104" s="55">
        <f t="shared" ca="1" si="4"/>
        <v>1</v>
      </c>
      <c r="E104" s="55"/>
      <c r="F104" s="89">
        <f t="shared" ca="1" si="5"/>
        <v>85</v>
      </c>
      <c r="G104" s="51" t="s">
        <v>0</v>
      </c>
      <c r="H104" s="49">
        <f t="shared" ca="1" si="6"/>
        <v>27</v>
      </c>
      <c r="I104" s="53">
        <f t="shared" ca="1" si="7"/>
        <v>2295</v>
      </c>
      <c r="K104" s="58"/>
    </row>
    <row r="105" spans="1:11" s="41" customFormat="1" ht="15">
      <c r="A105" s="50">
        <v>2</v>
      </c>
      <c r="B105" s="51" t="str">
        <f ca="1">IF($A105="","",NumList())</f>
        <v>7.2</v>
      </c>
      <c r="C105" s="62" t="s">
        <v>370</v>
      </c>
      <c r="D105" s="55">
        <f t="shared" ca="1" si="4"/>
        <v>1</v>
      </c>
      <c r="E105" s="55"/>
      <c r="F105" s="89">
        <f t="shared" ca="1" si="5"/>
        <v>90</v>
      </c>
      <c r="G105" s="51" t="s">
        <v>0</v>
      </c>
      <c r="H105" s="49">
        <f t="shared" ca="1" si="6"/>
        <v>63</v>
      </c>
      <c r="I105" s="53">
        <f t="shared" ca="1" si="7"/>
        <v>5670</v>
      </c>
      <c r="K105" s="58"/>
    </row>
    <row r="106" spans="1:11" s="41" customFormat="1" ht="15">
      <c r="A106" s="50">
        <v>2</v>
      </c>
      <c r="B106" s="51" t="str">
        <f ca="1">IF($A106="","",NumList())</f>
        <v>7.3</v>
      </c>
      <c r="C106" s="62" t="s">
        <v>512</v>
      </c>
      <c r="D106" s="55">
        <f t="shared" ca="1" si="4"/>
        <v>1</v>
      </c>
      <c r="E106" s="55"/>
      <c r="F106" s="89">
        <f t="shared" ca="1" si="5"/>
        <v>44</v>
      </c>
      <c r="G106" s="51" t="str">
        <f>G105</f>
        <v>Item</v>
      </c>
      <c r="H106" s="49">
        <f t="shared" ca="1" si="6"/>
        <v>37</v>
      </c>
      <c r="I106" s="53"/>
      <c r="J106" s="58"/>
    </row>
    <row r="107" spans="1:11" s="41" customFormat="1" ht="15">
      <c r="A107" s="50" t="s">
        <v>516</v>
      </c>
      <c r="B107" s="51" t="str">
        <f>IF($A107="","",NumList())</f>
        <v/>
      </c>
      <c r="C107" s="54"/>
      <c r="D107" s="55">
        <f t="shared" ca="1" si="4"/>
        <v>0</v>
      </c>
      <c r="E107" s="55"/>
      <c r="F107" s="89">
        <f t="shared" ca="1" si="5"/>
        <v>0</v>
      </c>
      <c r="G107" s="51"/>
      <c r="H107" s="49">
        <f t="shared" ca="1" si="6"/>
        <v>0</v>
      </c>
      <c r="I107" s="53">
        <f t="shared" ca="1" si="7"/>
        <v>0</v>
      </c>
      <c r="K107" s="58"/>
    </row>
    <row r="108" spans="1:11" s="41" customFormat="1" ht="15">
      <c r="A108" s="50">
        <v>1</v>
      </c>
      <c r="B108" s="51">
        <f ca="1">IF($A108="","",NumList())</f>
        <v>8</v>
      </c>
      <c r="C108" s="52" t="s">
        <v>11</v>
      </c>
      <c r="D108" s="55">
        <f t="shared" ca="1" si="4"/>
        <v>0</v>
      </c>
      <c r="E108" s="48"/>
      <c r="F108" s="89">
        <f t="shared" ca="1" si="5"/>
        <v>0</v>
      </c>
      <c r="G108" s="46"/>
      <c r="H108" s="49">
        <f t="shared" ca="1" si="6"/>
        <v>0</v>
      </c>
      <c r="I108" s="53">
        <f t="shared" ca="1" si="7"/>
        <v>0</v>
      </c>
      <c r="K108" s="58"/>
    </row>
    <row r="109" spans="1:11" s="41" customFormat="1" ht="57">
      <c r="A109" s="50">
        <v>2</v>
      </c>
      <c r="B109" s="51" t="str">
        <f ca="1">IF($A109="","",NumList())</f>
        <v>8.1</v>
      </c>
      <c r="C109" s="62" t="s">
        <v>276</v>
      </c>
      <c r="D109" s="55">
        <f t="shared" ca="1" si="4"/>
        <v>1</v>
      </c>
      <c r="E109" s="55"/>
      <c r="F109" s="89">
        <f t="shared" ca="1" si="5"/>
        <v>50</v>
      </c>
      <c r="G109" s="51" t="s">
        <v>0</v>
      </c>
      <c r="H109" s="49">
        <f t="shared" ca="1" si="6"/>
        <v>69</v>
      </c>
      <c r="I109" s="53">
        <f t="shared" ca="1" si="7"/>
        <v>3450</v>
      </c>
      <c r="K109" s="58"/>
    </row>
    <row r="110" spans="1:11" s="41" customFormat="1" ht="28.5">
      <c r="A110" s="50">
        <v>2</v>
      </c>
      <c r="B110" s="51" t="str">
        <f ca="1">IF($A110="","",NumList())</f>
        <v>8.2</v>
      </c>
      <c r="C110" s="62" t="s">
        <v>48</v>
      </c>
      <c r="D110" s="55">
        <f t="shared" ca="1" si="4"/>
        <v>1</v>
      </c>
      <c r="E110" s="55"/>
      <c r="F110" s="89">
        <f t="shared" ca="1" si="5"/>
        <v>95</v>
      </c>
      <c r="G110" s="51" t="s">
        <v>0</v>
      </c>
      <c r="H110" s="49">
        <f t="shared" ca="1" si="6"/>
        <v>100</v>
      </c>
      <c r="I110" s="53">
        <f t="shared" ca="1" si="7"/>
        <v>9500</v>
      </c>
      <c r="K110" s="58"/>
    </row>
    <row r="111" spans="1:11" s="41" customFormat="1" ht="15">
      <c r="A111" s="50" t="s">
        <v>516</v>
      </c>
      <c r="B111" s="51" t="str">
        <f>IF($A111="","",NumList())</f>
        <v/>
      </c>
      <c r="C111" s="62"/>
      <c r="D111" s="55">
        <f t="shared" ca="1" si="4"/>
        <v>0</v>
      </c>
      <c r="E111" s="55"/>
      <c r="F111" s="55"/>
      <c r="G111" s="51"/>
      <c r="H111" s="78"/>
      <c r="I111" s="53">
        <f t="shared" si="7"/>
        <v>0</v>
      </c>
      <c r="K111" s="58"/>
    </row>
    <row r="112" spans="1:11" s="41" customFormat="1" ht="15">
      <c r="A112" s="50">
        <v>1</v>
      </c>
      <c r="B112" s="51">
        <f ca="1">IF($A112="","",NumList())</f>
        <v>9</v>
      </c>
      <c r="C112" s="52" t="s">
        <v>65</v>
      </c>
      <c r="D112" s="55">
        <f t="shared" ca="1" si="4"/>
        <v>0</v>
      </c>
      <c r="E112" s="55"/>
      <c r="F112" s="55"/>
      <c r="G112" s="51"/>
      <c r="H112" s="78"/>
      <c r="I112" s="53">
        <f t="shared" si="7"/>
        <v>0</v>
      </c>
      <c r="K112" s="58"/>
    </row>
    <row r="113" spans="1:12" s="41" customFormat="1" ht="28.5">
      <c r="A113" s="50" t="s">
        <v>516</v>
      </c>
      <c r="B113" s="51" t="str">
        <f>IF($A113="","",NumList())</f>
        <v/>
      </c>
      <c r="C113" s="62" t="s">
        <v>283</v>
      </c>
      <c r="D113" s="55">
        <f t="shared" ca="1" si="4"/>
        <v>1</v>
      </c>
      <c r="E113" s="55"/>
      <c r="F113" s="55">
        <v>1</v>
      </c>
      <c r="G113" s="51" t="s">
        <v>0</v>
      </c>
      <c r="H113" s="62" t="s">
        <v>73</v>
      </c>
      <c r="I113" s="53"/>
      <c r="K113" s="58"/>
    </row>
    <row r="114" spans="1:12" s="58" customFormat="1" ht="15" customHeight="1">
      <c r="A114" s="50"/>
      <c r="B114" s="32"/>
      <c r="C114" s="70"/>
      <c r="D114" s="71"/>
      <c r="E114" s="71"/>
      <c r="F114" s="71"/>
      <c r="G114" s="30"/>
      <c r="H114" s="82" t="s">
        <v>275</v>
      </c>
      <c r="I114" s="78">
        <f ca="1">SUM(I25:I113)</f>
        <v>178771</v>
      </c>
    </row>
    <row r="115" spans="1:12" s="58" customFormat="1" ht="14.25" customHeight="1">
      <c r="A115" s="50"/>
      <c r="B115" s="32"/>
      <c r="C115" s="70"/>
      <c r="D115" s="71"/>
      <c r="E115" s="71"/>
      <c r="F115" s="71"/>
      <c r="G115" s="30"/>
      <c r="H115" s="83"/>
      <c r="I115" s="77"/>
    </row>
    <row r="116" spans="1:12" s="58" customFormat="1" ht="14.25" customHeight="1">
      <c r="A116" s="50"/>
      <c r="B116" s="30"/>
      <c r="C116" s="70"/>
      <c r="D116" s="71"/>
      <c r="E116" s="71"/>
      <c r="F116" s="71"/>
      <c r="G116" s="30"/>
      <c r="H116" s="77"/>
      <c r="I116" s="77"/>
    </row>
    <row r="117" spans="1:12" s="58" customFormat="1" ht="14.25" customHeight="1">
      <c r="A117" s="50"/>
      <c r="B117" s="30"/>
      <c r="C117" s="30" t="s">
        <v>18</v>
      </c>
      <c r="D117" s="31"/>
      <c r="E117" s="31"/>
      <c r="F117" s="31"/>
      <c r="G117" s="31"/>
      <c r="H117" s="31"/>
      <c r="I117" s="31"/>
      <c r="J117" s="30"/>
    </row>
    <row r="118" spans="1:12" s="58" customFormat="1" ht="14.25" customHeight="1">
      <c r="A118" s="50"/>
      <c r="B118" s="30"/>
      <c r="C118" s="30"/>
      <c r="D118" s="34"/>
      <c r="E118" s="34"/>
      <c r="F118" s="34"/>
      <c r="G118" s="32"/>
      <c r="H118" s="33"/>
      <c r="I118" s="30"/>
      <c r="J118" s="30"/>
    </row>
    <row r="119" spans="1:12" s="58" customFormat="1" ht="14.25" customHeight="1">
      <c r="A119" s="50"/>
      <c r="B119" s="30"/>
      <c r="C119" s="30" t="s">
        <v>19</v>
      </c>
      <c r="D119" s="31"/>
      <c r="E119" s="31"/>
      <c r="F119" s="31"/>
      <c r="G119" s="31"/>
      <c r="H119" s="31"/>
      <c r="I119" s="31"/>
      <c r="J119" s="30"/>
    </row>
    <row r="120" spans="1:12" s="58" customFormat="1" ht="14.25" customHeight="1">
      <c r="A120" s="50"/>
      <c r="B120" s="30"/>
      <c r="C120" s="30"/>
      <c r="D120" s="34"/>
      <c r="E120" s="34"/>
      <c r="F120" s="34"/>
      <c r="G120" s="32"/>
      <c r="H120" s="33"/>
      <c r="I120" s="30"/>
      <c r="J120" s="30"/>
    </row>
    <row r="121" spans="1:12" ht="67.5">
      <c r="A121" s="50"/>
      <c r="C121" s="74" t="s">
        <v>188</v>
      </c>
    </row>
    <row r="122" spans="1:12">
      <c r="A122" s="50"/>
      <c r="C122" s="70"/>
    </row>
    <row r="123" spans="1:12">
      <c r="A123" s="50"/>
      <c r="C123" s="70"/>
    </row>
    <row r="124" spans="1:12" s="58" customFormat="1">
      <c r="A124" s="50"/>
      <c r="B124" s="30"/>
      <c r="C124" s="70"/>
      <c r="D124" s="71"/>
      <c r="E124" s="71"/>
      <c r="F124" s="71"/>
      <c r="G124" s="30"/>
      <c r="H124" s="77"/>
      <c r="I124" s="77"/>
      <c r="L124" s="3"/>
    </row>
    <row r="125" spans="1:12" s="58" customFormat="1">
      <c r="A125" s="50"/>
      <c r="B125" s="30"/>
      <c r="C125" s="70"/>
      <c r="D125" s="71"/>
      <c r="E125" s="71"/>
      <c r="F125" s="71"/>
      <c r="G125" s="30"/>
      <c r="H125" s="77"/>
      <c r="I125" s="77"/>
      <c r="L125" s="3"/>
    </row>
    <row r="126" spans="1:12" s="58" customFormat="1">
      <c r="A126" s="50"/>
      <c r="B126" s="30"/>
      <c r="C126" s="70"/>
      <c r="D126" s="71"/>
      <c r="E126" s="71"/>
      <c r="F126" s="71"/>
      <c r="G126" s="30"/>
      <c r="H126" s="77"/>
      <c r="I126" s="77"/>
      <c r="L126" s="3"/>
    </row>
    <row r="127" spans="1:12" s="58" customFormat="1">
      <c r="A127" s="50"/>
      <c r="B127" s="30"/>
      <c r="C127" s="70"/>
      <c r="D127" s="71"/>
      <c r="E127" s="71"/>
      <c r="F127" s="71"/>
      <c r="G127" s="30"/>
      <c r="H127" s="77"/>
      <c r="I127" s="77"/>
      <c r="L127" s="3"/>
    </row>
    <row r="128" spans="1:12" s="58" customFormat="1">
      <c r="A128" s="50"/>
      <c r="B128" s="30"/>
      <c r="C128" s="70"/>
      <c r="D128" s="71"/>
      <c r="E128" s="71"/>
      <c r="F128" s="71"/>
      <c r="G128" s="30"/>
      <c r="H128" s="77"/>
      <c r="I128" s="77"/>
      <c r="L128" s="3"/>
    </row>
    <row r="129" spans="1:12" s="58" customFormat="1">
      <c r="A129" s="50"/>
      <c r="B129" s="30"/>
      <c r="C129" s="70"/>
      <c r="D129" s="71"/>
      <c r="E129" s="71"/>
      <c r="F129" s="71"/>
      <c r="G129" s="30"/>
      <c r="H129" s="77"/>
      <c r="I129" s="77"/>
      <c r="L129" s="3"/>
    </row>
    <row r="130" spans="1:12" s="58" customFormat="1">
      <c r="A130" s="50"/>
      <c r="B130" s="30"/>
      <c r="C130" s="70"/>
      <c r="D130" s="71"/>
      <c r="E130" s="71"/>
      <c r="F130" s="71"/>
      <c r="G130" s="30"/>
      <c r="H130" s="77"/>
      <c r="I130" s="77"/>
      <c r="L130" s="3"/>
    </row>
    <row r="131" spans="1:12" s="58" customFormat="1">
      <c r="A131" s="50"/>
      <c r="B131" s="30"/>
      <c r="C131" s="70"/>
      <c r="D131" s="71"/>
      <c r="E131" s="71"/>
      <c r="F131" s="71"/>
      <c r="G131" s="30"/>
      <c r="H131" s="77"/>
      <c r="I131" s="77"/>
      <c r="L131" s="3"/>
    </row>
    <row r="132" spans="1:12" s="58" customFormat="1">
      <c r="A132" s="50"/>
      <c r="B132" s="30"/>
      <c r="C132" s="70"/>
      <c r="D132" s="71"/>
      <c r="E132" s="71"/>
      <c r="F132" s="71"/>
      <c r="G132" s="30"/>
      <c r="H132" s="77"/>
      <c r="I132" s="77"/>
      <c r="L132" s="3"/>
    </row>
    <row r="133" spans="1:12" s="58" customFormat="1">
      <c r="A133" s="50"/>
      <c r="B133" s="30"/>
      <c r="C133" s="70"/>
      <c r="D133" s="71"/>
      <c r="E133" s="71"/>
      <c r="F133" s="71"/>
      <c r="G133" s="30"/>
      <c r="H133" s="77"/>
      <c r="I133" s="77"/>
      <c r="L133" s="3"/>
    </row>
    <row r="134" spans="1:12" s="58" customFormat="1">
      <c r="A134" s="50"/>
      <c r="B134" s="30"/>
      <c r="C134" s="70"/>
      <c r="D134" s="71"/>
      <c r="E134" s="71"/>
      <c r="F134" s="71"/>
      <c r="G134" s="30"/>
      <c r="H134" s="77"/>
      <c r="I134" s="77"/>
      <c r="L134" s="3"/>
    </row>
    <row r="135" spans="1:12" s="58" customFormat="1">
      <c r="A135" s="50"/>
      <c r="B135" s="30"/>
      <c r="C135" s="70"/>
      <c r="D135" s="71"/>
      <c r="E135" s="71"/>
      <c r="F135" s="71"/>
      <c r="G135" s="30"/>
      <c r="H135" s="77"/>
      <c r="I135" s="77"/>
      <c r="L135" s="3"/>
    </row>
    <row r="136" spans="1:12" s="58" customFormat="1">
      <c r="A136" s="50"/>
      <c r="B136" s="30"/>
      <c r="C136" s="70"/>
      <c r="D136" s="71"/>
      <c r="E136" s="71"/>
      <c r="F136" s="71"/>
      <c r="G136" s="30"/>
      <c r="H136" s="77"/>
      <c r="I136" s="77"/>
      <c r="L136" s="3"/>
    </row>
    <row r="137" spans="1:12" s="58" customFormat="1">
      <c r="A137" s="50"/>
      <c r="B137" s="30"/>
      <c r="C137" s="70"/>
      <c r="D137" s="71"/>
      <c r="E137" s="71"/>
      <c r="F137" s="71"/>
      <c r="G137" s="30"/>
      <c r="H137" s="77"/>
      <c r="I137" s="77"/>
      <c r="L137" s="3"/>
    </row>
    <row r="138" spans="1:12" s="58" customFormat="1">
      <c r="A138" s="50"/>
      <c r="B138" s="30"/>
      <c r="C138" s="70"/>
      <c r="D138" s="71"/>
      <c r="E138" s="71"/>
      <c r="F138" s="71"/>
      <c r="G138" s="30"/>
      <c r="H138" s="77"/>
      <c r="I138" s="77"/>
      <c r="L138" s="3"/>
    </row>
    <row r="139" spans="1:12" s="58" customFormat="1">
      <c r="A139" s="50"/>
      <c r="B139" s="30"/>
      <c r="C139" s="70"/>
      <c r="D139" s="71"/>
      <c r="E139" s="71"/>
      <c r="F139" s="71"/>
      <c r="G139" s="30"/>
      <c r="H139" s="77"/>
      <c r="I139" s="77"/>
      <c r="L139" s="3"/>
    </row>
    <row r="140" spans="1:12" s="58" customFormat="1">
      <c r="A140" s="50"/>
      <c r="B140" s="30"/>
      <c r="C140" s="70"/>
      <c r="D140" s="71"/>
      <c r="E140" s="71"/>
      <c r="F140" s="71"/>
      <c r="G140" s="30"/>
      <c r="H140" s="77"/>
      <c r="I140" s="77"/>
      <c r="L140" s="3"/>
    </row>
    <row r="141" spans="1:12" s="58" customFormat="1">
      <c r="A141" s="50"/>
      <c r="B141" s="30"/>
      <c r="C141" s="70"/>
      <c r="D141" s="71"/>
      <c r="E141" s="71"/>
      <c r="F141" s="71"/>
      <c r="G141" s="30"/>
      <c r="H141" s="77"/>
      <c r="I141" s="77"/>
      <c r="L141" s="3"/>
    </row>
    <row r="142" spans="1:12" s="58" customFormat="1">
      <c r="A142" s="50"/>
      <c r="B142" s="30"/>
      <c r="C142" s="70"/>
      <c r="D142" s="71"/>
      <c r="E142" s="71"/>
      <c r="F142" s="71"/>
      <c r="G142" s="30"/>
      <c r="H142" s="77"/>
      <c r="I142" s="77"/>
      <c r="L142" s="3"/>
    </row>
    <row r="143" spans="1:12" s="58" customFormat="1">
      <c r="A143" s="50"/>
      <c r="B143" s="30"/>
      <c r="C143" s="70"/>
      <c r="D143" s="71"/>
      <c r="E143" s="71"/>
      <c r="F143" s="71"/>
      <c r="G143" s="30"/>
      <c r="H143" s="77"/>
      <c r="I143" s="77"/>
      <c r="L143" s="3"/>
    </row>
    <row r="144" spans="1:12" s="58" customFormat="1">
      <c r="A144" s="50"/>
      <c r="B144" s="30"/>
      <c r="C144" s="70"/>
      <c r="D144" s="71"/>
      <c r="E144" s="71"/>
      <c r="F144" s="71"/>
      <c r="G144" s="30"/>
      <c r="H144" s="77"/>
      <c r="I144" s="77"/>
      <c r="L144" s="3"/>
    </row>
    <row r="145" spans="1:12" s="58" customFormat="1">
      <c r="A145" s="50"/>
      <c r="B145" s="30"/>
      <c r="C145" s="70"/>
      <c r="D145" s="71"/>
      <c r="E145" s="71"/>
      <c r="F145" s="71"/>
      <c r="G145" s="30"/>
      <c r="H145" s="77"/>
      <c r="I145" s="77"/>
      <c r="L145" s="3"/>
    </row>
    <row r="146" spans="1:12" s="58" customFormat="1">
      <c r="A146" s="50"/>
      <c r="B146" s="30"/>
      <c r="C146" s="70"/>
      <c r="D146" s="71"/>
      <c r="E146" s="71"/>
      <c r="F146" s="71"/>
      <c r="G146" s="30"/>
      <c r="H146" s="77"/>
      <c r="I146" s="77"/>
      <c r="L146" s="3"/>
    </row>
    <row r="147" spans="1:12" s="58" customFormat="1">
      <c r="A147" s="50"/>
      <c r="B147" s="30"/>
      <c r="C147" s="70"/>
      <c r="D147" s="71"/>
      <c r="E147" s="71"/>
      <c r="F147" s="71"/>
      <c r="G147" s="30"/>
      <c r="H147" s="77"/>
      <c r="I147" s="77"/>
      <c r="L147" s="3"/>
    </row>
    <row r="148" spans="1:12" s="58" customFormat="1">
      <c r="A148" s="50"/>
      <c r="B148" s="30"/>
      <c r="C148" s="70"/>
      <c r="D148" s="71"/>
      <c r="E148" s="71"/>
      <c r="F148" s="71"/>
      <c r="G148" s="30"/>
      <c r="H148" s="77"/>
      <c r="I148" s="77"/>
      <c r="L148" s="3"/>
    </row>
    <row r="149" spans="1:12" s="58" customFormat="1">
      <c r="A149" s="50"/>
      <c r="B149" s="30"/>
      <c r="C149" s="70"/>
      <c r="D149" s="71"/>
      <c r="E149" s="71"/>
      <c r="F149" s="71"/>
      <c r="G149" s="30"/>
      <c r="H149" s="77"/>
      <c r="I149" s="77"/>
      <c r="L149" s="3"/>
    </row>
    <row r="150" spans="1:12" s="58" customFormat="1">
      <c r="A150" s="50"/>
      <c r="B150" s="30"/>
      <c r="C150" s="70"/>
      <c r="D150" s="71"/>
      <c r="E150" s="71"/>
      <c r="F150" s="71"/>
      <c r="G150" s="30"/>
      <c r="H150" s="77"/>
      <c r="I150" s="77"/>
      <c r="L150" s="3"/>
    </row>
    <row r="151" spans="1:12" s="58" customFormat="1">
      <c r="A151" s="50"/>
      <c r="B151" s="30"/>
      <c r="C151" s="70"/>
      <c r="D151" s="71"/>
      <c r="E151" s="71"/>
      <c r="F151" s="71"/>
      <c r="G151" s="30"/>
      <c r="H151" s="77"/>
      <c r="I151" s="77"/>
      <c r="L151" s="3"/>
    </row>
    <row r="152" spans="1:12" s="58" customFormat="1">
      <c r="A152" s="50"/>
      <c r="B152" s="30"/>
      <c r="C152" s="70"/>
      <c r="D152" s="71"/>
      <c r="E152" s="71"/>
      <c r="F152" s="71"/>
      <c r="G152" s="30"/>
      <c r="H152" s="77"/>
      <c r="I152" s="77"/>
      <c r="L152" s="3"/>
    </row>
    <row r="153" spans="1:12" s="58" customFormat="1">
      <c r="A153" s="50"/>
      <c r="B153" s="30"/>
      <c r="C153" s="70"/>
      <c r="D153" s="71"/>
      <c r="E153" s="71"/>
      <c r="F153" s="71"/>
      <c r="G153" s="30"/>
      <c r="H153" s="77"/>
      <c r="I153" s="77"/>
      <c r="L153" s="3"/>
    </row>
    <row r="154" spans="1:12" s="58" customFormat="1">
      <c r="A154" s="50"/>
      <c r="B154" s="30"/>
      <c r="C154" s="70"/>
      <c r="D154" s="71"/>
      <c r="E154" s="71"/>
      <c r="F154" s="71"/>
      <c r="G154" s="30"/>
      <c r="H154" s="77"/>
      <c r="I154" s="77"/>
      <c r="L154" s="3"/>
    </row>
    <row r="155" spans="1:12" s="58" customFormat="1">
      <c r="A155" s="50"/>
      <c r="B155" s="30"/>
      <c r="C155" s="70"/>
      <c r="D155" s="71"/>
      <c r="E155" s="71"/>
      <c r="F155" s="71"/>
      <c r="G155" s="30"/>
      <c r="H155" s="77"/>
      <c r="I155" s="77"/>
      <c r="L155" s="3"/>
    </row>
    <row r="156" spans="1:12" s="58" customFormat="1">
      <c r="A156" s="50"/>
      <c r="B156" s="30"/>
      <c r="C156" s="70"/>
      <c r="D156" s="71"/>
      <c r="E156" s="71"/>
      <c r="F156" s="71"/>
      <c r="G156" s="30"/>
      <c r="H156" s="77"/>
      <c r="I156" s="77"/>
      <c r="L156" s="3"/>
    </row>
    <row r="157" spans="1:12" s="58" customFormat="1">
      <c r="A157" s="50"/>
      <c r="B157" s="30"/>
      <c r="C157" s="70"/>
      <c r="D157" s="71"/>
      <c r="E157" s="71"/>
      <c r="F157" s="71"/>
      <c r="G157" s="30"/>
      <c r="H157" s="77"/>
      <c r="I157" s="77"/>
      <c r="L157" s="3"/>
    </row>
    <row r="158" spans="1:12" s="58" customFormat="1">
      <c r="A158" s="50"/>
      <c r="B158" s="30"/>
      <c r="C158" s="70"/>
      <c r="D158" s="71"/>
      <c r="E158" s="71"/>
      <c r="F158" s="71"/>
      <c r="G158" s="30"/>
      <c r="H158" s="77"/>
      <c r="I158" s="77"/>
      <c r="L158" s="3"/>
    </row>
    <row r="159" spans="1:12" s="58" customFormat="1">
      <c r="A159" s="50"/>
      <c r="B159" s="30"/>
      <c r="C159" s="70"/>
      <c r="D159" s="71"/>
      <c r="E159" s="71"/>
      <c r="F159" s="71"/>
      <c r="G159" s="30"/>
      <c r="H159" s="77"/>
      <c r="I159" s="77"/>
      <c r="L159" s="3"/>
    </row>
    <row r="160" spans="1:12" s="58" customFormat="1">
      <c r="A160" s="50"/>
      <c r="B160" s="30"/>
      <c r="C160" s="70"/>
      <c r="D160" s="71"/>
      <c r="E160" s="71"/>
      <c r="F160" s="71"/>
      <c r="G160" s="30"/>
      <c r="H160" s="77"/>
      <c r="I160" s="77"/>
      <c r="L160" s="3"/>
    </row>
    <row r="161" spans="1:12" s="58" customFormat="1">
      <c r="A161" s="50"/>
      <c r="B161" s="30"/>
      <c r="C161" s="70"/>
      <c r="D161" s="71"/>
      <c r="E161" s="71"/>
      <c r="F161" s="71"/>
      <c r="G161" s="30"/>
      <c r="H161" s="77"/>
      <c r="I161" s="77"/>
      <c r="L161" s="3"/>
    </row>
    <row r="162" spans="1:12" s="58" customFormat="1">
      <c r="A162" s="50"/>
      <c r="B162" s="30"/>
      <c r="C162" s="70"/>
      <c r="D162" s="71"/>
      <c r="E162" s="71"/>
      <c r="F162" s="71"/>
      <c r="G162" s="30"/>
      <c r="H162" s="77"/>
      <c r="I162" s="77"/>
      <c r="L162" s="3"/>
    </row>
    <row r="163" spans="1:12" s="58" customFormat="1">
      <c r="A163" s="50"/>
      <c r="B163" s="30"/>
      <c r="C163" s="70"/>
      <c r="D163" s="71"/>
      <c r="E163" s="71"/>
      <c r="F163" s="71"/>
      <c r="G163" s="30"/>
      <c r="H163" s="77"/>
      <c r="I163" s="77"/>
      <c r="L163" s="3"/>
    </row>
    <row r="164" spans="1:12" s="58" customFormat="1">
      <c r="A164" s="50"/>
      <c r="B164" s="30"/>
      <c r="C164" s="70"/>
      <c r="D164" s="71"/>
      <c r="E164" s="71"/>
      <c r="F164" s="71"/>
      <c r="G164" s="30"/>
      <c r="H164" s="77"/>
      <c r="I164" s="77"/>
      <c r="L164" s="3"/>
    </row>
    <row r="165" spans="1:12" s="58" customFormat="1">
      <c r="A165" s="50"/>
      <c r="B165" s="30"/>
      <c r="C165" s="70"/>
      <c r="D165" s="71"/>
      <c r="E165" s="71"/>
      <c r="F165" s="71"/>
      <c r="G165" s="30"/>
      <c r="H165" s="77"/>
      <c r="I165" s="77"/>
      <c r="L165" s="3"/>
    </row>
    <row r="166" spans="1:12" s="58" customFormat="1">
      <c r="A166" s="50"/>
      <c r="B166" s="30"/>
      <c r="C166" s="70"/>
      <c r="D166" s="71"/>
      <c r="E166" s="71"/>
      <c r="F166" s="71"/>
      <c r="G166" s="30"/>
      <c r="H166" s="77"/>
      <c r="I166" s="77"/>
      <c r="L166" s="3"/>
    </row>
    <row r="167" spans="1:12" s="58" customFormat="1">
      <c r="A167" s="50"/>
      <c r="B167" s="30"/>
      <c r="C167" s="70"/>
      <c r="D167" s="71"/>
      <c r="E167" s="71"/>
      <c r="F167" s="71"/>
      <c r="G167" s="30"/>
      <c r="H167" s="77"/>
      <c r="I167" s="77"/>
      <c r="L167" s="3"/>
    </row>
    <row r="168" spans="1:12" s="58" customFormat="1">
      <c r="A168" s="50"/>
      <c r="B168" s="30"/>
      <c r="C168" s="70"/>
      <c r="D168" s="71"/>
      <c r="E168" s="71"/>
      <c r="F168" s="71"/>
      <c r="G168" s="30"/>
      <c r="H168" s="77"/>
      <c r="I168" s="77"/>
      <c r="L168" s="3"/>
    </row>
    <row r="169" spans="1:12" s="58" customFormat="1">
      <c r="A169" s="50"/>
      <c r="B169" s="30"/>
      <c r="C169" s="70"/>
      <c r="D169" s="71"/>
      <c r="E169" s="71"/>
      <c r="F169" s="71"/>
      <c r="G169" s="30"/>
      <c r="H169" s="77"/>
      <c r="I169" s="77"/>
      <c r="L169" s="3"/>
    </row>
    <row r="170" spans="1:12" s="58" customFormat="1">
      <c r="A170" s="50"/>
      <c r="B170" s="30"/>
      <c r="C170" s="70"/>
      <c r="D170" s="71"/>
      <c r="E170" s="71"/>
      <c r="F170" s="71"/>
      <c r="G170" s="30"/>
      <c r="H170" s="77"/>
      <c r="I170" s="77"/>
      <c r="L170" s="3"/>
    </row>
    <row r="171" spans="1:12" s="58" customFormat="1">
      <c r="A171" s="50"/>
      <c r="B171" s="30"/>
      <c r="C171" s="70"/>
      <c r="D171" s="71"/>
      <c r="E171" s="71"/>
      <c r="F171" s="71"/>
      <c r="G171" s="30"/>
      <c r="H171" s="77"/>
      <c r="I171" s="77"/>
      <c r="L171" s="3"/>
    </row>
    <row r="172" spans="1:12" s="58" customFormat="1">
      <c r="A172" s="50"/>
      <c r="B172" s="30"/>
      <c r="C172" s="70"/>
      <c r="D172" s="71"/>
      <c r="E172" s="71"/>
      <c r="F172" s="71"/>
      <c r="G172" s="30"/>
      <c r="H172" s="77"/>
      <c r="I172" s="77"/>
      <c r="L172" s="3"/>
    </row>
    <row r="173" spans="1:12" s="58" customFormat="1">
      <c r="A173" s="50"/>
      <c r="B173" s="30"/>
      <c r="C173" s="70"/>
      <c r="D173" s="71"/>
      <c r="E173" s="71"/>
      <c r="F173" s="71"/>
      <c r="G173" s="30"/>
      <c r="H173" s="77"/>
      <c r="I173" s="77"/>
      <c r="L173" s="3"/>
    </row>
    <row r="174" spans="1:12" s="58" customFormat="1">
      <c r="A174" s="50"/>
      <c r="B174" s="30"/>
      <c r="C174" s="70"/>
      <c r="D174" s="71"/>
      <c r="E174" s="71"/>
      <c r="F174" s="71"/>
      <c r="G174" s="30"/>
      <c r="H174" s="77"/>
      <c r="I174" s="77"/>
      <c r="L174" s="3"/>
    </row>
    <row r="175" spans="1:12" s="58" customFormat="1">
      <c r="A175" s="50"/>
      <c r="B175" s="30"/>
      <c r="C175" s="70"/>
      <c r="D175" s="71"/>
      <c r="E175" s="71"/>
      <c r="F175" s="71"/>
      <c r="G175" s="30"/>
      <c r="H175" s="77"/>
      <c r="I175" s="77"/>
      <c r="L175" s="3"/>
    </row>
    <row r="176" spans="1:12" s="58" customFormat="1">
      <c r="A176" s="50"/>
      <c r="B176" s="30"/>
      <c r="C176" s="70"/>
      <c r="D176" s="71"/>
      <c r="E176" s="71"/>
      <c r="F176" s="71"/>
      <c r="G176" s="30"/>
      <c r="H176" s="77"/>
      <c r="I176" s="77"/>
      <c r="L176" s="3"/>
    </row>
    <row r="177" spans="1:12" s="58" customFormat="1">
      <c r="A177" s="50"/>
      <c r="B177" s="30"/>
      <c r="C177" s="70"/>
      <c r="D177" s="71"/>
      <c r="E177" s="71"/>
      <c r="F177" s="71"/>
      <c r="G177" s="30"/>
      <c r="H177" s="77"/>
      <c r="I177" s="77"/>
      <c r="L177" s="3"/>
    </row>
    <row r="178" spans="1:12" s="58" customFormat="1">
      <c r="A178" s="50"/>
      <c r="B178" s="30"/>
      <c r="C178" s="70"/>
      <c r="D178" s="71"/>
      <c r="E178" s="71"/>
      <c r="F178" s="71"/>
      <c r="G178" s="30"/>
      <c r="H178" s="77"/>
      <c r="I178" s="77"/>
      <c r="L178" s="3"/>
    </row>
    <row r="179" spans="1:12" s="58" customFormat="1">
      <c r="A179" s="50"/>
      <c r="B179" s="30"/>
      <c r="C179" s="70"/>
      <c r="D179" s="71"/>
      <c r="E179" s="71"/>
      <c r="F179" s="71"/>
      <c r="G179" s="30"/>
      <c r="H179" s="77"/>
      <c r="I179" s="77"/>
      <c r="L179" s="3"/>
    </row>
    <row r="180" spans="1:12" s="58" customFormat="1">
      <c r="A180" s="50"/>
      <c r="B180" s="30"/>
      <c r="C180" s="70"/>
      <c r="D180" s="71"/>
      <c r="E180" s="71"/>
      <c r="F180" s="71"/>
      <c r="G180" s="30"/>
      <c r="H180" s="77"/>
      <c r="I180" s="77"/>
      <c r="L180" s="3"/>
    </row>
    <row r="181" spans="1:12" s="58" customFormat="1">
      <c r="A181" s="50"/>
      <c r="B181" s="30"/>
      <c r="C181" s="70"/>
      <c r="D181" s="71"/>
      <c r="E181" s="71"/>
      <c r="F181" s="71"/>
      <c r="G181" s="30"/>
      <c r="H181" s="77"/>
      <c r="I181" s="77"/>
      <c r="L181" s="3"/>
    </row>
    <row r="182" spans="1:12" s="58" customFormat="1">
      <c r="A182" s="50"/>
      <c r="B182" s="30"/>
      <c r="C182" s="70"/>
      <c r="D182" s="71"/>
      <c r="E182" s="71"/>
      <c r="F182" s="71"/>
      <c r="G182" s="30"/>
      <c r="H182" s="77"/>
      <c r="I182" s="77"/>
      <c r="L182" s="3"/>
    </row>
    <row r="183" spans="1:12" s="58" customFormat="1">
      <c r="A183" s="50"/>
      <c r="B183" s="30"/>
      <c r="C183" s="70"/>
      <c r="D183" s="71"/>
      <c r="E183" s="71"/>
      <c r="F183" s="71"/>
      <c r="G183" s="30"/>
      <c r="H183" s="77"/>
      <c r="I183" s="77"/>
      <c r="L183" s="3"/>
    </row>
    <row r="184" spans="1:12" s="58" customFormat="1">
      <c r="A184" s="50"/>
      <c r="B184" s="30"/>
      <c r="C184" s="70"/>
      <c r="D184" s="71"/>
      <c r="E184" s="71"/>
      <c r="F184" s="71"/>
      <c r="G184" s="30"/>
      <c r="H184" s="77"/>
      <c r="I184" s="77"/>
      <c r="L184" s="3"/>
    </row>
    <row r="185" spans="1:12" s="58" customFormat="1">
      <c r="A185" s="50"/>
      <c r="B185" s="30"/>
      <c r="C185" s="70"/>
      <c r="D185" s="71"/>
      <c r="E185" s="71"/>
      <c r="F185" s="71"/>
      <c r="G185" s="30"/>
      <c r="H185" s="77"/>
      <c r="I185" s="77"/>
      <c r="L185" s="3"/>
    </row>
    <row r="186" spans="1:12" s="58" customFormat="1">
      <c r="A186" s="50"/>
      <c r="B186" s="30"/>
      <c r="C186" s="70"/>
      <c r="D186" s="71"/>
      <c r="E186" s="71"/>
      <c r="F186" s="71"/>
      <c r="G186" s="30"/>
      <c r="H186" s="77"/>
      <c r="I186" s="77"/>
      <c r="L186" s="3"/>
    </row>
    <row r="187" spans="1:12" s="58" customFormat="1">
      <c r="A187" s="50"/>
      <c r="B187" s="30"/>
      <c r="C187" s="70"/>
      <c r="D187" s="71"/>
      <c r="E187" s="71"/>
      <c r="F187" s="71"/>
      <c r="G187" s="30"/>
      <c r="H187" s="77"/>
      <c r="I187" s="77"/>
      <c r="L187" s="3"/>
    </row>
    <row r="188" spans="1:12" s="58" customFormat="1">
      <c r="A188" s="50"/>
      <c r="B188" s="30"/>
      <c r="C188" s="70"/>
      <c r="D188" s="71"/>
      <c r="E188" s="71"/>
      <c r="F188" s="71"/>
      <c r="G188" s="30"/>
      <c r="H188" s="77"/>
      <c r="I188" s="77"/>
      <c r="L188" s="3"/>
    </row>
    <row r="189" spans="1:12" s="58" customFormat="1">
      <c r="A189" s="50"/>
      <c r="B189" s="30"/>
      <c r="C189" s="70"/>
      <c r="D189" s="71"/>
      <c r="E189" s="71"/>
      <c r="F189" s="71"/>
      <c r="G189" s="30"/>
      <c r="H189" s="77"/>
      <c r="I189" s="77"/>
      <c r="L189" s="3"/>
    </row>
    <row r="190" spans="1:12" s="58" customFormat="1">
      <c r="A190" s="50"/>
      <c r="B190" s="30"/>
      <c r="C190" s="70"/>
      <c r="D190" s="71"/>
      <c r="E190" s="71"/>
      <c r="F190" s="71"/>
      <c r="G190" s="30"/>
      <c r="H190" s="77"/>
      <c r="I190" s="77"/>
      <c r="L190" s="3"/>
    </row>
    <row r="191" spans="1:12" s="58" customFormat="1">
      <c r="A191" s="50"/>
      <c r="B191" s="30"/>
      <c r="C191" s="70"/>
      <c r="D191" s="71"/>
      <c r="E191" s="71"/>
      <c r="F191" s="71"/>
      <c r="G191" s="30"/>
      <c r="H191" s="77"/>
      <c r="I191" s="77"/>
      <c r="L191" s="3"/>
    </row>
    <row r="192" spans="1:12" s="58" customFormat="1">
      <c r="A192" s="50"/>
      <c r="B192" s="30"/>
      <c r="C192" s="70"/>
      <c r="D192" s="71"/>
      <c r="E192" s="71"/>
      <c r="F192" s="71"/>
      <c r="G192" s="30"/>
      <c r="H192" s="77"/>
      <c r="I192" s="77"/>
      <c r="L192" s="3"/>
    </row>
    <row r="193" spans="1:12" s="58" customFormat="1">
      <c r="A193" s="50"/>
      <c r="B193" s="30"/>
      <c r="C193" s="70"/>
      <c r="D193" s="71"/>
      <c r="E193" s="71"/>
      <c r="F193" s="71"/>
      <c r="G193" s="30"/>
      <c r="H193" s="77"/>
      <c r="I193" s="77"/>
      <c r="L193" s="3"/>
    </row>
    <row r="194" spans="1:12" s="58" customFormat="1">
      <c r="A194" s="50"/>
      <c r="B194" s="30"/>
      <c r="C194" s="70"/>
      <c r="D194" s="71"/>
      <c r="E194" s="71"/>
      <c r="F194" s="71"/>
      <c r="G194" s="30"/>
      <c r="H194" s="77"/>
      <c r="I194" s="77"/>
      <c r="L194" s="3"/>
    </row>
    <row r="195" spans="1:12" s="58" customFormat="1">
      <c r="A195" s="50"/>
      <c r="B195" s="30"/>
      <c r="C195" s="70"/>
      <c r="D195" s="71"/>
      <c r="E195" s="71"/>
      <c r="F195" s="71"/>
      <c r="G195" s="30"/>
      <c r="H195" s="77"/>
      <c r="I195" s="77"/>
      <c r="L195" s="3"/>
    </row>
    <row r="196" spans="1:12" s="58" customFormat="1">
      <c r="A196" s="50"/>
      <c r="B196" s="30"/>
      <c r="C196" s="70"/>
      <c r="D196" s="71"/>
      <c r="E196" s="71"/>
      <c r="F196" s="71"/>
      <c r="G196" s="30"/>
      <c r="H196" s="77"/>
      <c r="I196" s="77"/>
      <c r="L196" s="3"/>
    </row>
    <row r="197" spans="1:12" s="58" customFormat="1">
      <c r="A197" s="50"/>
      <c r="B197" s="30"/>
      <c r="C197" s="70"/>
      <c r="D197" s="71"/>
      <c r="E197" s="71"/>
      <c r="F197" s="71"/>
      <c r="G197" s="30"/>
      <c r="H197" s="77"/>
      <c r="I197" s="77"/>
      <c r="L197" s="3"/>
    </row>
    <row r="198" spans="1:12" s="58" customFormat="1">
      <c r="A198" s="50"/>
      <c r="B198" s="30"/>
      <c r="C198" s="70"/>
      <c r="D198" s="71"/>
      <c r="E198" s="71"/>
      <c r="F198" s="71"/>
      <c r="G198" s="30"/>
      <c r="H198" s="77"/>
      <c r="I198" s="77"/>
      <c r="L198" s="3"/>
    </row>
    <row r="199" spans="1:12" s="58" customFormat="1">
      <c r="A199" s="50"/>
      <c r="B199" s="30"/>
      <c r="C199" s="70"/>
      <c r="D199" s="71"/>
      <c r="E199" s="71"/>
      <c r="F199" s="71"/>
      <c r="G199" s="30"/>
      <c r="H199" s="77"/>
      <c r="I199" s="77"/>
      <c r="L199" s="3"/>
    </row>
    <row r="200" spans="1:12" s="58" customFormat="1">
      <c r="A200" s="50"/>
      <c r="B200" s="30"/>
      <c r="C200" s="70"/>
      <c r="D200" s="71"/>
      <c r="E200" s="71"/>
      <c r="F200" s="71"/>
      <c r="G200" s="30"/>
      <c r="H200" s="77"/>
      <c r="I200" s="77"/>
      <c r="L200" s="3"/>
    </row>
    <row r="201" spans="1:12" s="58" customFormat="1">
      <c r="A201" s="50"/>
      <c r="B201" s="30"/>
      <c r="C201" s="70"/>
      <c r="D201" s="71"/>
      <c r="E201" s="71"/>
      <c r="F201" s="71"/>
      <c r="G201" s="30"/>
      <c r="H201" s="77"/>
      <c r="I201" s="77"/>
      <c r="L201" s="3"/>
    </row>
    <row r="202" spans="1:12" s="58" customFormat="1">
      <c r="A202" s="50"/>
      <c r="B202" s="30"/>
      <c r="C202" s="70"/>
      <c r="D202" s="71"/>
      <c r="E202" s="71"/>
      <c r="F202" s="71"/>
      <c r="G202" s="30"/>
      <c r="H202" s="77"/>
      <c r="I202" s="77"/>
      <c r="L202" s="3"/>
    </row>
    <row r="203" spans="1:12" s="58" customFormat="1">
      <c r="A203" s="50"/>
      <c r="B203" s="30"/>
      <c r="C203" s="70"/>
      <c r="D203" s="71"/>
      <c r="E203" s="71"/>
      <c r="F203" s="71"/>
      <c r="G203" s="30"/>
      <c r="H203" s="77"/>
      <c r="I203" s="77"/>
      <c r="L203" s="3"/>
    </row>
    <row r="204" spans="1:12" s="58" customFormat="1">
      <c r="A204" s="50"/>
      <c r="B204" s="30"/>
      <c r="C204" s="70"/>
      <c r="D204" s="71"/>
      <c r="E204" s="71"/>
      <c r="F204" s="71"/>
      <c r="G204" s="30"/>
      <c r="H204" s="77"/>
      <c r="I204" s="77"/>
      <c r="L204" s="3"/>
    </row>
    <row r="205" spans="1:12" s="58" customFormat="1">
      <c r="A205" s="50"/>
      <c r="B205" s="30"/>
      <c r="C205" s="70"/>
      <c r="D205" s="71"/>
      <c r="E205" s="71"/>
      <c r="F205" s="71"/>
      <c r="G205" s="30"/>
      <c r="H205" s="77"/>
      <c r="I205" s="77"/>
      <c r="L205" s="3"/>
    </row>
    <row r="206" spans="1:12" s="58" customFormat="1">
      <c r="A206" s="50"/>
      <c r="B206" s="30"/>
      <c r="C206" s="70"/>
      <c r="D206" s="71"/>
      <c r="E206" s="71"/>
      <c r="F206" s="71"/>
      <c r="G206" s="30"/>
      <c r="H206" s="77"/>
      <c r="I206" s="77"/>
      <c r="L206" s="3"/>
    </row>
    <row r="207" spans="1:12" s="58" customFormat="1">
      <c r="A207" s="50"/>
      <c r="B207" s="30"/>
      <c r="C207" s="70"/>
      <c r="D207" s="71"/>
      <c r="E207" s="71"/>
      <c r="F207" s="71"/>
      <c r="G207" s="30"/>
      <c r="H207" s="77"/>
      <c r="I207" s="77"/>
      <c r="L207" s="3"/>
    </row>
    <row r="208" spans="1:12" s="58" customFormat="1">
      <c r="A208" s="50"/>
      <c r="B208" s="30"/>
      <c r="C208" s="70"/>
      <c r="D208" s="71"/>
      <c r="E208" s="71"/>
      <c r="F208" s="71"/>
      <c r="G208" s="30"/>
      <c r="H208" s="77"/>
      <c r="I208" s="77"/>
      <c r="L208" s="3"/>
    </row>
    <row r="209" spans="1:12" s="58" customFormat="1">
      <c r="A209" s="50"/>
      <c r="B209" s="30"/>
      <c r="C209" s="70"/>
      <c r="D209" s="71"/>
      <c r="E209" s="71"/>
      <c r="F209" s="71"/>
      <c r="G209" s="30"/>
      <c r="H209" s="77"/>
      <c r="I209" s="77"/>
      <c r="L209" s="3"/>
    </row>
    <row r="210" spans="1:12" s="58" customFormat="1">
      <c r="A210" s="50"/>
      <c r="B210" s="30"/>
      <c r="C210" s="70"/>
      <c r="D210" s="71"/>
      <c r="E210" s="71"/>
      <c r="F210" s="71"/>
      <c r="G210" s="30"/>
      <c r="H210" s="77"/>
      <c r="I210" s="77"/>
      <c r="L210" s="3"/>
    </row>
    <row r="211" spans="1:12" s="58" customFormat="1">
      <c r="A211" s="50"/>
      <c r="B211" s="30"/>
      <c r="C211" s="70"/>
      <c r="D211" s="71"/>
      <c r="E211" s="71"/>
      <c r="F211" s="71"/>
      <c r="G211" s="30"/>
      <c r="H211" s="77"/>
      <c r="I211" s="77"/>
      <c r="L211" s="3"/>
    </row>
    <row r="212" spans="1:12" s="58" customFormat="1">
      <c r="A212" s="50"/>
      <c r="B212" s="30"/>
      <c r="C212" s="70"/>
      <c r="D212" s="71"/>
      <c r="E212" s="71"/>
      <c r="F212" s="71"/>
      <c r="G212" s="30"/>
      <c r="H212" s="77"/>
      <c r="I212" s="77"/>
      <c r="L212" s="3"/>
    </row>
    <row r="213" spans="1:12" s="58" customFormat="1">
      <c r="A213" s="50"/>
      <c r="B213" s="30"/>
      <c r="C213" s="70"/>
      <c r="D213" s="71"/>
      <c r="E213" s="71"/>
      <c r="F213" s="71"/>
      <c r="G213" s="30"/>
      <c r="H213" s="77"/>
      <c r="I213" s="77"/>
      <c r="L213" s="3"/>
    </row>
    <row r="214" spans="1:12" s="58" customFormat="1">
      <c r="A214" s="50"/>
      <c r="B214" s="30"/>
      <c r="C214" s="70"/>
      <c r="D214" s="71"/>
      <c r="E214" s="71"/>
      <c r="F214" s="71"/>
      <c r="G214" s="30"/>
      <c r="H214" s="77"/>
      <c r="I214" s="77"/>
      <c r="L214" s="3"/>
    </row>
    <row r="215" spans="1:12" s="58" customFormat="1">
      <c r="A215" s="50"/>
      <c r="B215" s="30"/>
      <c r="C215" s="70"/>
      <c r="D215" s="71"/>
      <c r="E215" s="71"/>
      <c r="F215" s="71"/>
      <c r="G215" s="30"/>
      <c r="H215" s="77"/>
      <c r="I215" s="77"/>
      <c r="L215" s="3"/>
    </row>
    <row r="216" spans="1:12" s="58" customFormat="1">
      <c r="A216" s="50"/>
      <c r="B216" s="30"/>
      <c r="C216" s="70"/>
      <c r="D216" s="71"/>
      <c r="E216" s="71"/>
      <c r="F216" s="71"/>
      <c r="G216" s="30"/>
      <c r="H216" s="77"/>
      <c r="I216" s="77"/>
      <c r="L216" s="3"/>
    </row>
    <row r="217" spans="1:12" s="58" customFormat="1">
      <c r="A217" s="50"/>
      <c r="B217" s="30"/>
      <c r="C217" s="70"/>
      <c r="D217" s="71"/>
      <c r="E217" s="71"/>
      <c r="F217" s="71"/>
      <c r="G217" s="30"/>
      <c r="H217" s="77"/>
      <c r="I217" s="77"/>
      <c r="L217" s="3"/>
    </row>
    <row r="218" spans="1:12" s="58" customFormat="1">
      <c r="A218" s="50"/>
      <c r="B218" s="30"/>
      <c r="C218" s="70"/>
      <c r="D218" s="71"/>
      <c r="E218" s="71"/>
      <c r="F218" s="71"/>
      <c r="G218" s="30"/>
      <c r="H218" s="77"/>
      <c r="I218" s="77"/>
      <c r="L218" s="3"/>
    </row>
    <row r="219" spans="1:12" s="58" customFormat="1">
      <c r="A219" s="50"/>
      <c r="B219" s="30"/>
      <c r="C219" s="70"/>
      <c r="D219" s="71"/>
      <c r="E219" s="71"/>
      <c r="F219" s="71"/>
      <c r="G219" s="30"/>
      <c r="H219" s="77"/>
      <c r="I219" s="77"/>
      <c r="L219" s="3"/>
    </row>
    <row r="220" spans="1:12" s="71" customFormat="1">
      <c r="A220" s="50"/>
      <c r="B220" s="30"/>
      <c r="C220" s="70"/>
      <c r="G220" s="30"/>
      <c r="H220" s="77"/>
      <c r="I220" s="77"/>
      <c r="J220" s="58"/>
      <c r="K220" s="58"/>
      <c r="L220" s="3"/>
    </row>
    <row r="221" spans="1:12" s="71" customFormat="1">
      <c r="A221" s="50"/>
      <c r="B221" s="30"/>
      <c r="C221" s="70"/>
      <c r="G221" s="30"/>
      <c r="H221" s="77"/>
      <c r="I221" s="77"/>
      <c r="J221" s="58"/>
      <c r="K221" s="58"/>
      <c r="L221" s="3"/>
    </row>
    <row r="222" spans="1:12" s="71" customFormat="1">
      <c r="A222" s="50"/>
      <c r="B222" s="30"/>
      <c r="C222" s="70"/>
      <c r="G222" s="30"/>
      <c r="H222" s="77"/>
      <c r="I222" s="77"/>
      <c r="J222" s="58"/>
      <c r="K222" s="58"/>
      <c r="L222" s="3"/>
    </row>
    <row r="223" spans="1:12" s="71" customFormat="1">
      <c r="A223" s="50"/>
      <c r="B223" s="30"/>
      <c r="C223" s="70"/>
      <c r="G223" s="30"/>
      <c r="H223" s="77"/>
      <c r="I223" s="77"/>
      <c r="J223" s="58"/>
      <c r="K223" s="58"/>
      <c r="L223" s="3"/>
    </row>
    <row r="224" spans="1:12" s="71" customFormat="1">
      <c r="A224" s="50"/>
      <c r="B224" s="30"/>
      <c r="C224" s="70"/>
      <c r="G224" s="30"/>
      <c r="H224" s="77"/>
      <c r="I224" s="77"/>
      <c r="J224" s="58"/>
      <c r="K224" s="58"/>
      <c r="L224" s="3"/>
    </row>
    <row r="225" spans="1:12" s="71" customFormat="1">
      <c r="A225" s="50"/>
      <c r="B225" s="30"/>
      <c r="C225" s="70"/>
      <c r="G225" s="30"/>
      <c r="H225" s="77"/>
      <c r="I225" s="77"/>
      <c r="J225" s="58"/>
      <c r="K225" s="58"/>
      <c r="L225" s="3"/>
    </row>
    <row r="226" spans="1:12" s="71" customFormat="1">
      <c r="A226" s="50"/>
      <c r="B226" s="30"/>
      <c r="C226" s="70"/>
      <c r="G226" s="30"/>
      <c r="H226" s="77"/>
      <c r="I226" s="77"/>
      <c r="J226" s="58"/>
      <c r="K226" s="58"/>
      <c r="L226" s="3"/>
    </row>
    <row r="227" spans="1:12" s="71" customFormat="1">
      <c r="A227" s="50"/>
      <c r="B227" s="30"/>
      <c r="C227" s="70"/>
      <c r="G227" s="30"/>
      <c r="H227" s="77"/>
      <c r="I227" s="77"/>
      <c r="J227" s="58"/>
      <c r="K227" s="58"/>
      <c r="L227" s="3"/>
    </row>
    <row r="228" spans="1:12" s="71" customFormat="1">
      <c r="A228" s="50"/>
      <c r="B228" s="30"/>
      <c r="C228" s="70"/>
      <c r="G228" s="30"/>
      <c r="H228" s="77"/>
      <c r="I228" s="77"/>
      <c r="J228" s="58"/>
      <c r="K228" s="58"/>
      <c r="L228" s="3"/>
    </row>
    <row r="229" spans="1:12" s="71" customFormat="1">
      <c r="A229" s="50"/>
      <c r="B229" s="30"/>
      <c r="C229" s="70"/>
      <c r="G229" s="30"/>
      <c r="H229" s="77"/>
      <c r="I229" s="77"/>
      <c r="J229" s="58"/>
      <c r="K229" s="58"/>
      <c r="L229" s="3"/>
    </row>
    <row r="230" spans="1:12" s="71" customFormat="1">
      <c r="A230" s="50"/>
      <c r="B230" s="30"/>
      <c r="C230" s="70"/>
      <c r="G230" s="30"/>
      <c r="H230" s="77"/>
      <c r="I230" s="77"/>
      <c r="J230" s="58"/>
      <c r="K230" s="58"/>
      <c r="L230" s="3"/>
    </row>
    <row r="231" spans="1:12" s="71" customFormat="1">
      <c r="A231" s="50"/>
      <c r="B231" s="30"/>
      <c r="C231" s="70"/>
      <c r="G231" s="30"/>
      <c r="H231" s="77"/>
      <c r="I231" s="77"/>
      <c r="J231" s="58"/>
      <c r="K231" s="58"/>
      <c r="L231" s="3"/>
    </row>
    <row r="232" spans="1:12" s="71" customFormat="1">
      <c r="A232" s="50"/>
      <c r="B232" s="30"/>
      <c r="C232" s="70"/>
      <c r="G232" s="30"/>
      <c r="H232" s="77"/>
      <c r="I232" s="77"/>
      <c r="J232" s="58"/>
      <c r="K232" s="58"/>
      <c r="L232" s="3"/>
    </row>
    <row r="233" spans="1:12" s="71" customFormat="1">
      <c r="A233" s="50"/>
      <c r="B233" s="30"/>
      <c r="C233" s="70"/>
      <c r="G233" s="30"/>
      <c r="H233" s="77"/>
      <c r="I233" s="77"/>
      <c r="J233" s="58"/>
      <c r="K233" s="58"/>
      <c r="L233" s="3"/>
    </row>
    <row r="234" spans="1:12" s="71" customFormat="1">
      <c r="A234" s="50"/>
      <c r="B234" s="30"/>
      <c r="C234" s="70"/>
      <c r="G234" s="30"/>
      <c r="H234" s="77"/>
      <c r="I234" s="77"/>
      <c r="J234" s="58"/>
      <c r="K234" s="58"/>
      <c r="L234" s="3"/>
    </row>
    <row r="235" spans="1:12" s="71" customFormat="1">
      <c r="A235" s="50"/>
      <c r="B235" s="30"/>
      <c r="C235" s="70"/>
      <c r="G235" s="30"/>
      <c r="H235" s="77"/>
      <c r="I235" s="77"/>
      <c r="J235" s="58"/>
      <c r="K235" s="58"/>
      <c r="L235" s="3"/>
    </row>
    <row r="236" spans="1:12" s="71" customFormat="1">
      <c r="A236" s="50"/>
      <c r="B236" s="30"/>
      <c r="C236" s="70"/>
      <c r="G236" s="30"/>
      <c r="H236" s="77"/>
      <c r="I236" s="77"/>
      <c r="J236" s="58"/>
      <c r="K236" s="58"/>
      <c r="L236" s="3"/>
    </row>
    <row r="237" spans="1:12" s="71" customFormat="1">
      <c r="A237" s="50"/>
      <c r="B237" s="30"/>
      <c r="C237" s="70"/>
      <c r="G237" s="30"/>
      <c r="H237" s="77"/>
      <c r="I237" s="77"/>
      <c r="J237" s="58"/>
      <c r="K237" s="58"/>
      <c r="L237" s="3"/>
    </row>
    <row r="238" spans="1:12" s="71" customFormat="1">
      <c r="A238" s="50"/>
      <c r="B238" s="30"/>
      <c r="C238" s="70"/>
      <c r="G238" s="30"/>
      <c r="H238" s="77"/>
      <c r="I238" s="77"/>
      <c r="J238" s="58"/>
      <c r="K238" s="58"/>
      <c r="L238" s="3"/>
    </row>
    <row r="239" spans="1:12" s="71" customFormat="1">
      <c r="A239" s="50"/>
      <c r="B239" s="30"/>
      <c r="C239" s="70"/>
      <c r="G239" s="30"/>
      <c r="H239" s="77"/>
      <c r="I239" s="77"/>
      <c r="J239" s="58"/>
      <c r="K239" s="58"/>
      <c r="L239" s="3"/>
    </row>
    <row r="240" spans="1:12" s="71" customFormat="1">
      <c r="A240" s="50"/>
      <c r="B240" s="30"/>
      <c r="C240" s="70"/>
      <c r="G240" s="30"/>
      <c r="H240" s="77"/>
      <c r="I240" s="77"/>
      <c r="J240" s="58"/>
      <c r="K240" s="58"/>
      <c r="L240" s="3"/>
    </row>
    <row r="241" spans="1:12" s="71" customFormat="1">
      <c r="A241" s="50"/>
      <c r="B241" s="30"/>
      <c r="C241" s="70"/>
      <c r="G241" s="30"/>
      <c r="H241" s="77"/>
      <c r="I241" s="77"/>
      <c r="J241" s="58"/>
      <c r="K241" s="58"/>
      <c r="L241" s="3"/>
    </row>
    <row r="242" spans="1:12" s="71" customFormat="1">
      <c r="A242" s="50"/>
      <c r="B242" s="30"/>
      <c r="C242" s="70"/>
      <c r="G242" s="30"/>
      <c r="H242" s="77"/>
      <c r="I242" s="77"/>
      <c r="J242" s="58"/>
      <c r="K242" s="58"/>
      <c r="L242" s="3"/>
    </row>
    <row r="243" spans="1:12" s="71" customFormat="1">
      <c r="A243" s="50"/>
      <c r="B243" s="30"/>
      <c r="C243" s="70"/>
      <c r="G243" s="30"/>
      <c r="H243" s="77"/>
      <c r="I243" s="77"/>
      <c r="J243" s="58"/>
      <c r="K243" s="58"/>
      <c r="L243" s="3"/>
    </row>
    <row r="244" spans="1:12" s="71" customFormat="1">
      <c r="A244" s="50"/>
      <c r="B244" s="30"/>
      <c r="C244" s="70"/>
      <c r="G244" s="30"/>
      <c r="H244" s="77"/>
      <c r="I244" s="77"/>
      <c r="J244" s="58"/>
      <c r="K244" s="58"/>
      <c r="L244" s="3"/>
    </row>
    <row r="245" spans="1:12" s="71" customFormat="1">
      <c r="A245" s="50"/>
      <c r="B245" s="30"/>
      <c r="C245" s="70"/>
      <c r="G245" s="30"/>
      <c r="H245" s="77"/>
      <c r="I245" s="77"/>
      <c r="J245" s="58"/>
      <c r="K245" s="58"/>
      <c r="L245" s="3"/>
    </row>
    <row r="246" spans="1:12" s="71" customFormat="1">
      <c r="A246" s="50"/>
      <c r="B246" s="30"/>
      <c r="C246" s="70"/>
      <c r="G246" s="30"/>
      <c r="H246" s="77"/>
      <c r="I246" s="77"/>
      <c r="J246" s="58"/>
      <c r="K246" s="58"/>
      <c r="L246" s="3"/>
    </row>
    <row r="247" spans="1:12" s="71" customFormat="1">
      <c r="A247" s="50"/>
      <c r="B247" s="30"/>
      <c r="C247" s="70"/>
      <c r="G247" s="30"/>
      <c r="H247" s="77"/>
      <c r="I247" s="77"/>
      <c r="J247" s="58"/>
      <c r="K247" s="58"/>
      <c r="L247" s="3"/>
    </row>
    <row r="248" spans="1:12" s="71" customFormat="1">
      <c r="A248" s="50"/>
      <c r="B248" s="30"/>
      <c r="C248" s="70"/>
      <c r="G248" s="30"/>
      <c r="H248" s="77"/>
      <c r="I248" s="77"/>
      <c r="J248" s="58"/>
      <c r="K248" s="58"/>
      <c r="L248" s="3"/>
    </row>
    <row r="249" spans="1:12" s="71" customFormat="1">
      <c r="A249" s="50"/>
      <c r="B249" s="30"/>
      <c r="C249" s="70"/>
      <c r="G249" s="30"/>
      <c r="H249" s="77"/>
      <c r="I249" s="77"/>
      <c r="J249" s="58"/>
      <c r="K249" s="58"/>
      <c r="L249" s="3"/>
    </row>
    <row r="250" spans="1:12" s="71" customFormat="1">
      <c r="A250" s="50"/>
      <c r="B250" s="30"/>
      <c r="C250" s="70"/>
      <c r="G250" s="30"/>
      <c r="H250" s="77"/>
      <c r="I250" s="77"/>
      <c r="J250" s="58"/>
      <c r="K250" s="58"/>
      <c r="L250" s="3"/>
    </row>
    <row r="251" spans="1:12" s="71" customFormat="1">
      <c r="A251" s="50"/>
      <c r="B251" s="30"/>
      <c r="C251" s="70"/>
      <c r="G251" s="30"/>
      <c r="H251" s="77"/>
      <c r="I251" s="77"/>
      <c r="J251" s="58"/>
      <c r="K251" s="58"/>
      <c r="L251" s="3"/>
    </row>
    <row r="252" spans="1:12" s="71" customFormat="1">
      <c r="A252" s="50"/>
      <c r="B252" s="30"/>
      <c r="C252" s="70"/>
      <c r="G252" s="30"/>
      <c r="H252" s="77"/>
      <c r="I252" s="77"/>
      <c r="J252" s="58"/>
      <c r="K252" s="58"/>
      <c r="L252" s="3"/>
    </row>
    <row r="253" spans="1:12" s="71" customFormat="1">
      <c r="A253" s="50"/>
      <c r="B253" s="30"/>
      <c r="C253" s="70"/>
      <c r="G253" s="30"/>
      <c r="H253" s="77"/>
      <c r="I253" s="77"/>
      <c r="J253" s="58"/>
      <c r="K253" s="58"/>
      <c r="L253" s="3"/>
    </row>
    <row r="254" spans="1:12" s="71" customFormat="1">
      <c r="A254" s="50"/>
      <c r="B254" s="30"/>
      <c r="C254" s="70"/>
      <c r="G254" s="30"/>
      <c r="H254" s="77"/>
      <c r="I254" s="77"/>
      <c r="J254" s="58"/>
      <c r="K254" s="58"/>
      <c r="L254" s="3"/>
    </row>
    <row r="255" spans="1:12" s="71" customFormat="1">
      <c r="A255" s="50"/>
      <c r="B255" s="30"/>
      <c r="C255" s="70"/>
      <c r="G255" s="30"/>
      <c r="H255" s="77"/>
      <c r="I255" s="77"/>
      <c r="J255" s="58"/>
      <c r="K255" s="58"/>
      <c r="L255" s="3"/>
    </row>
    <row r="256" spans="1:12" s="71" customFormat="1">
      <c r="A256" s="50"/>
      <c r="B256" s="30"/>
      <c r="C256" s="70"/>
      <c r="G256" s="30"/>
      <c r="H256" s="77"/>
      <c r="I256" s="77"/>
      <c r="J256" s="58"/>
      <c r="K256" s="58"/>
      <c r="L256" s="3"/>
    </row>
    <row r="257" spans="1:12" s="71" customFormat="1">
      <c r="A257" s="50"/>
      <c r="B257" s="30"/>
      <c r="C257" s="70"/>
      <c r="G257" s="30"/>
      <c r="H257" s="77"/>
      <c r="I257" s="77"/>
      <c r="J257" s="58"/>
      <c r="K257" s="58"/>
      <c r="L257" s="3"/>
    </row>
    <row r="258" spans="1:12" s="71" customFormat="1">
      <c r="A258" s="50"/>
      <c r="B258" s="30"/>
      <c r="C258" s="70"/>
      <c r="G258" s="30"/>
      <c r="H258" s="77"/>
      <c r="I258" s="77"/>
      <c r="J258" s="58"/>
      <c r="K258" s="58"/>
      <c r="L258" s="3"/>
    </row>
    <row r="259" spans="1:12" s="71" customFormat="1">
      <c r="A259" s="50"/>
      <c r="B259" s="30"/>
      <c r="C259" s="70"/>
      <c r="G259" s="30"/>
      <c r="H259" s="77"/>
      <c r="I259" s="77"/>
      <c r="J259" s="58"/>
      <c r="K259" s="58"/>
      <c r="L259" s="3"/>
    </row>
    <row r="260" spans="1:12" s="71" customFormat="1">
      <c r="A260" s="50"/>
      <c r="B260" s="30"/>
      <c r="C260" s="70"/>
      <c r="G260" s="30"/>
      <c r="H260" s="77"/>
      <c r="I260" s="77"/>
      <c r="J260" s="58"/>
      <c r="K260" s="58"/>
      <c r="L260" s="3"/>
    </row>
    <row r="261" spans="1:12" s="71" customFormat="1">
      <c r="A261" s="50"/>
      <c r="B261" s="30"/>
      <c r="C261" s="70"/>
      <c r="G261" s="30"/>
      <c r="H261" s="77"/>
      <c r="I261" s="77"/>
      <c r="J261" s="58"/>
      <c r="K261" s="58"/>
      <c r="L261" s="3"/>
    </row>
    <row r="262" spans="1:12" s="71" customFormat="1">
      <c r="A262" s="50"/>
      <c r="B262" s="30"/>
      <c r="C262" s="70"/>
      <c r="G262" s="30"/>
      <c r="H262" s="77"/>
      <c r="I262" s="77"/>
      <c r="J262" s="58"/>
      <c r="K262" s="58"/>
      <c r="L262" s="3"/>
    </row>
    <row r="263" spans="1:12" s="71" customFormat="1">
      <c r="A263" s="50"/>
      <c r="B263" s="30"/>
      <c r="C263" s="70"/>
      <c r="G263" s="30"/>
      <c r="H263" s="77"/>
      <c r="I263" s="77"/>
      <c r="J263" s="58"/>
      <c r="K263" s="58"/>
      <c r="L263" s="3"/>
    </row>
    <row r="264" spans="1:12" s="71" customFormat="1">
      <c r="A264" s="50"/>
      <c r="B264" s="30"/>
      <c r="C264" s="70"/>
      <c r="G264" s="30"/>
      <c r="H264" s="77"/>
      <c r="I264" s="77"/>
      <c r="J264" s="58"/>
      <c r="K264" s="58"/>
      <c r="L264" s="3"/>
    </row>
    <row r="265" spans="1:12" s="71" customFormat="1">
      <c r="A265" s="50"/>
      <c r="B265" s="30"/>
      <c r="C265" s="70"/>
      <c r="G265" s="30"/>
      <c r="H265" s="77"/>
      <c r="I265" s="77"/>
      <c r="J265" s="58"/>
      <c r="K265" s="58"/>
      <c r="L265" s="3"/>
    </row>
    <row r="266" spans="1:12" s="71" customFormat="1">
      <c r="A266" s="50"/>
      <c r="B266" s="30"/>
      <c r="C266" s="70"/>
      <c r="G266" s="30"/>
      <c r="H266" s="77"/>
      <c r="I266" s="77"/>
      <c r="J266" s="58"/>
      <c r="K266" s="58"/>
      <c r="L266" s="3"/>
    </row>
    <row r="267" spans="1:12" s="71" customFormat="1">
      <c r="A267" s="50"/>
      <c r="B267" s="30"/>
      <c r="C267" s="70"/>
      <c r="G267" s="30"/>
      <c r="H267" s="77"/>
      <c r="I267" s="77"/>
      <c r="J267" s="58"/>
      <c r="K267" s="58"/>
      <c r="L267" s="3"/>
    </row>
    <row r="268" spans="1:12" s="71" customFormat="1">
      <c r="A268" s="50"/>
      <c r="B268" s="30"/>
      <c r="C268" s="70"/>
      <c r="G268" s="30"/>
      <c r="H268" s="77"/>
      <c r="I268" s="77"/>
      <c r="J268" s="58"/>
      <c r="K268" s="58"/>
      <c r="L268" s="3"/>
    </row>
    <row r="269" spans="1:12" s="71" customFormat="1">
      <c r="A269" s="50"/>
      <c r="B269" s="30"/>
      <c r="C269" s="70"/>
      <c r="G269" s="30"/>
      <c r="H269" s="77"/>
      <c r="I269" s="77"/>
      <c r="J269" s="58"/>
      <c r="K269" s="58"/>
      <c r="L269" s="3"/>
    </row>
    <row r="270" spans="1:12" s="71" customFormat="1">
      <c r="A270" s="50"/>
      <c r="B270" s="30"/>
      <c r="C270" s="70"/>
      <c r="G270" s="30"/>
      <c r="H270" s="77"/>
      <c r="I270" s="77"/>
      <c r="J270" s="58"/>
      <c r="K270" s="58"/>
      <c r="L270" s="3"/>
    </row>
    <row r="271" spans="1:12" s="71" customFormat="1">
      <c r="A271" s="50"/>
      <c r="B271" s="30"/>
      <c r="C271" s="70"/>
      <c r="G271" s="30"/>
      <c r="H271" s="77"/>
      <c r="I271" s="77"/>
      <c r="J271" s="58"/>
      <c r="K271" s="58"/>
      <c r="L271" s="3"/>
    </row>
    <row r="272" spans="1:12" s="71" customFormat="1">
      <c r="A272" s="50"/>
      <c r="B272" s="30"/>
      <c r="C272" s="70"/>
      <c r="G272" s="30"/>
      <c r="H272" s="77"/>
      <c r="I272" s="77"/>
      <c r="J272" s="58"/>
      <c r="K272" s="58"/>
      <c r="L272" s="3"/>
    </row>
    <row r="273" spans="1:12" s="71" customFormat="1">
      <c r="A273" s="50"/>
      <c r="B273" s="30"/>
      <c r="C273" s="70"/>
      <c r="G273" s="30"/>
      <c r="H273" s="77"/>
      <c r="I273" s="77"/>
      <c r="J273" s="58"/>
      <c r="K273" s="58"/>
      <c r="L273" s="3"/>
    </row>
    <row r="274" spans="1:12" s="71" customFormat="1">
      <c r="A274" s="50"/>
      <c r="B274" s="30"/>
      <c r="C274" s="70"/>
      <c r="G274" s="30"/>
      <c r="H274" s="77"/>
      <c r="I274" s="77"/>
      <c r="J274" s="58"/>
      <c r="K274" s="58"/>
      <c r="L274" s="3"/>
    </row>
    <row r="275" spans="1:12" s="71" customFormat="1">
      <c r="A275" s="50"/>
      <c r="B275" s="30"/>
      <c r="C275" s="70"/>
      <c r="G275" s="30"/>
      <c r="H275" s="77"/>
      <c r="I275" s="77"/>
      <c r="J275" s="58"/>
      <c r="K275" s="58"/>
      <c r="L275" s="3"/>
    </row>
    <row r="276" spans="1:12" s="71" customFormat="1">
      <c r="A276" s="50"/>
      <c r="B276" s="30"/>
      <c r="C276" s="70"/>
      <c r="G276" s="30"/>
      <c r="H276" s="77"/>
      <c r="I276" s="77"/>
      <c r="J276" s="58"/>
      <c r="K276" s="58"/>
      <c r="L276" s="3"/>
    </row>
    <row r="277" spans="1:12" s="71" customFormat="1">
      <c r="A277" s="50"/>
      <c r="B277" s="30"/>
      <c r="C277" s="70"/>
      <c r="G277" s="30"/>
      <c r="H277" s="77"/>
      <c r="I277" s="77"/>
      <c r="J277" s="58"/>
      <c r="K277" s="58"/>
      <c r="L277" s="3"/>
    </row>
    <row r="278" spans="1:12" s="71" customFormat="1">
      <c r="A278" s="50"/>
      <c r="B278" s="30"/>
      <c r="C278" s="70"/>
      <c r="G278" s="30"/>
      <c r="H278" s="77"/>
      <c r="I278" s="77"/>
      <c r="J278" s="58"/>
      <c r="K278" s="58"/>
      <c r="L278" s="3"/>
    </row>
    <row r="279" spans="1:12" s="71" customFormat="1">
      <c r="A279" s="50"/>
      <c r="B279" s="30"/>
      <c r="C279" s="70"/>
      <c r="G279" s="30"/>
      <c r="H279" s="77"/>
      <c r="I279" s="77"/>
      <c r="J279" s="58"/>
      <c r="K279" s="58"/>
      <c r="L279" s="3"/>
    </row>
    <row r="280" spans="1:12" s="71" customFormat="1">
      <c r="A280" s="50"/>
      <c r="B280" s="30"/>
      <c r="C280" s="70"/>
      <c r="G280" s="30"/>
      <c r="H280" s="77"/>
      <c r="I280" s="77"/>
      <c r="J280" s="58"/>
      <c r="K280" s="58"/>
      <c r="L280" s="3"/>
    </row>
    <row r="281" spans="1:12" s="71" customFormat="1">
      <c r="A281" s="50"/>
      <c r="B281" s="30"/>
      <c r="C281" s="70"/>
      <c r="G281" s="30"/>
      <c r="H281" s="77"/>
      <c r="I281" s="77"/>
      <c r="J281" s="58"/>
      <c r="K281" s="58"/>
      <c r="L281" s="3"/>
    </row>
    <row r="282" spans="1:12" s="71" customFormat="1">
      <c r="A282" s="50"/>
      <c r="B282" s="30"/>
      <c r="C282" s="70"/>
      <c r="G282" s="30"/>
      <c r="H282" s="77"/>
      <c r="I282" s="77"/>
      <c r="J282" s="58"/>
      <c r="K282" s="58"/>
      <c r="L282" s="3"/>
    </row>
    <row r="283" spans="1:12" s="71" customFormat="1">
      <c r="A283" s="50"/>
      <c r="B283" s="30"/>
      <c r="C283" s="70"/>
      <c r="G283" s="30"/>
      <c r="H283" s="77"/>
      <c r="I283" s="77"/>
      <c r="J283" s="58"/>
      <c r="K283" s="58"/>
      <c r="L283" s="3"/>
    </row>
    <row r="284" spans="1:12" s="71" customFormat="1">
      <c r="A284" s="50"/>
      <c r="B284" s="30"/>
      <c r="C284" s="70"/>
      <c r="G284" s="30"/>
      <c r="H284" s="77"/>
      <c r="I284" s="77"/>
      <c r="J284" s="58"/>
      <c r="K284" s="58"/>
      <c r="L284" s="3"/>
    </row>
    <row r="285" spans="1:12" s="71" customFormat="1">
      <c r="A285" s="50"/>
      <c r="B285" s="30"/>
      <c r="C285" s="70"/>
      <c r="G285" s="30"/>
      <c r="H285" s="77"/>
      <c r="I285" s="77"/>
      <c r="J285" s="58"/>
      <c r="K285" s="58"/>
      <c r="L285" s="3"/>
    </row>
    <row r="286" spans="1:12" s="71" customFormat="1">
      <c r="A286" s="50"/>
      <c r="B286" s="30"/>
      <c r="C286" s="70"/>
      <c r="G286" s="30"/>
      <c r="H286" s="77"/>
      <c r="I286" s="77"/>
      <c r="J286" s="58"/>
      <c r="K286" s="58"/>
      <c r="L286" s="3"/>
    </row>
    <row r="287" spans="1:12" s="71" customFormat="1">
      <c r="A287" s="50"/>
      <c r="B287" s="30"/>
      <c r="C287" s="70"/>
      <c r="G287" s="30"/>
      <c r="H287" s="77"/>
      <c r="I287" s="77"/>
      <c r="J287" s="58"/>
      <c r="K287" s="58"/>
      <c r="L287" s="3"/>
    </row>
    <row r="288" spans="1:12" s="71" customFormat="1">
      <c r="A288" s="50"/>
      <c r="B288" s="30"/>
      <c r="C288" s="70"/>
      <c r="G288" s="30"/>
      <c r="H288" s="77"/>
      <c r="I288" s="77"/>
      <c r="J288" s="58"/>
      <c r="K288" s="58"/>
      <c r="L288" s="3"/>
    </row>
    <row r="289" spans="1:12" s="71" customFormat="1">
      <c r="A289" s="50"/>
      <c r="B289" s="30"/>
      <c r="C289" s="70"/>
      <c r="G289" s="30"/>
      <c r="H289" s="77"/>
      <c r="I289" s="77"/>
      <c r="J289" s="58"/>
      <c r="K289" s="58"/>
      <c r="L289" s="3"/>
    </row>
    <row r="290" spans="1:12" s="71" customFormat="1">
      <c r="A290" s="50"/>
      <c r="B290" s="30"/>
      <c r="C290" s="70"/>
      <c r="G290" s="30"/>
      <c r="H290" s="77"/>
      <c r="I290" s="77"/>
      <c r="J290" s="58"/>
      <c r="K290" s="58"/>
      <c r="L290" s="3"/>
    </row>
    <row r="291" spans="1:12" s="71" customFormat="1">
      <c r="A291" s="50"/>
      <c r="B291" s="30"/>
      <c r="C291" s="70"/>
      <c r="G291" s="30"/>
      <c r="H291" s="77"/>
      <c r="I291" s="77"/>
      <c r="J291" s="58"/>
      <c r="K291" s="58"/>
      <c r="L291" s="3"/>
    </row>
    <row r="292" spans="1:12" s="71" customFormat="1">
      <c r="A292" s="50"/>
      <c r="B292" s="30"/>
      <c r="C292" s="70"/>
      <c r="G292" s="30"/>
      <c r="H292" s="77"/>
      <c r="I292" s="77"/>
      <c r="J292" s="58"/>
      <c r="K292" s="58"/>
      <c r="L292" s="3"/>
    </row>
    <row r="293" spans="1:12" s="71" customFormat="1">
      <c r="A293" s="50"/>
      <c r="B293" s="30"/>
      <c r="C293" s="70"/>
      <c r="G293" s="30"/>
      <c r="H293" s="77"/>
      <c r="I293" s="77"/>
      <c r="J293" s="58"/>
      <c r="K293" s="58"/>
      <c r="L293" s="3"/>
    </row>
    <row r="294" spans="1:12" s="71" customFormat="1">
      <c r="A294" s="50"/>
      <c r="B294" s="30"/>
      <c r="C294" s="70"/>
      <c r="G294" s="30"/>
      <c r="H294" s="77"/>
      <c r="I294" s="77"/>
      <c r="J294" s="58"/>
      <c r="K294" s="58"/>
      <c r="L294" s="3"/>
    </row>
    <row r="295" spans="1:12" s="71" customFormat="1">
      <c r="A295" s="50"/>
      <c r="B295" s="30"/>
      <c r="C295" s="70"/>
      <c r="G295" s="30"/>
      <c r="H295" s="77"/>
      <c r="I295" s="77"/>
      <c r="J295" s="58"/>
      <c r="K295" s="58"/>
      <c r="L295" s="3"/>
    </row>
    <row r="296" spans="1:12" s="71" customFormat="1">
      <c r="A296" s="50"/>
      <c r="B296" s="30"/>
      <c r="C296" s="70"/>
      <c r="G296" s="30"/>
      <c r="H296" s="77"/>
      <c r="I296" s="77"/>
      <c r="J296" s="58"/>
      <c r="K296" s="58"/>
      <c r="L296" s="3"/>
    </row>
    <row r="297" spans="1:12" s="71" customFormat="1">
      <c r="A297" s="50"/>
      <c r="B297" s="30"/>
      <c r="C297" s="70"/>
      <c r="G297" s="30"/>
      <c r="H297" s="77"/>
      <c r="I297" s="77"/>
      <c r="J297" s="58"/>
      <c r="K297" s="58"/>
      <c r="L297" s="3"/>
    </row>
    <row r="298" spans="1:12" s="71" customFormat="1">
      <c r="A298" s="50"/>
      <c r="B298" s="30"/>
      <c r="C298" s="70"/>
      <c r="G298" s="30"/>
      <c r="H298" s="77"/>
      <c r="I298" s="77"/>
      <c r="J298" s="58"/>
      <c r="K298" s="58"/>
      <c r="L298" s="3"/>
    </row>
    <row r="299" spans="1:12" s="71" customFormat="1">
      <c r="A299" s="50"/>
      <c r="B299" s="30"/>
      <c r="C299" s="70"/>
      <c r="G299" s="30"/>
      <c r="H299" s="77"/>
      <c r="I299" s="77"/>
      <c r="J299" s="58"/>
      <c r="K299" s="58"/>
      <c r="L299" s="3"/>
    </row>
    <row r="300" spans="1:12" s="71" customFormat="1">
      <c r="A300" s="50"/>
      <c r="B300" s="30"/>
      <c r="C300" s="70"/>
      <c r="G300" s="30"/>
      <c r="H300" s="77"/>
      <c r="I300" s="77"/>
      <c r="J300" s="58"/>
      <c r="K300" s="58"/>
      <c r="L300" s="3"/>
    </row>
    <row r="301" spans="1:12" s="71" customFormat="1">
      <c r="A301" s="50"/>
      <c r="B301" s="30"/>
      <c r="C301" s="70"/>
      <c r="G301" s="30"/>
      <c r="H301" s="77"/>
      <c r="I301" s="77"/>
      <c r="J301" s="58"/>
      <c r="K301" s="58"/>
      <c r="L301" s="3"/>
    </row>
    <row r="302" spans="1:12" s="71" customFormat="1">
      <c r="A302" s="50"/>
      <c r="B302" s="30"/>
      <c r="C302" s="70"/>
      <c r="G302" s="30"/>
      <c r="H302" s="77"/>
      <c r="I302" s="77"/>
      <c r="J302" s="58"/>
      <c r="K302" s="58"/>
      <c r="L302" s="3"/>
    </row>
    <row r="303" spans="1:12" s="71" customFormat="1">
      <c r="A303" s="50"/>
      <c r="B303" s="30"/>
      <c r="C303" s="70"/>
      <c r="G303" s="30"/>
      <c r="H303" s="77"/>
      <c r="I303" s="77"/>
      <c r="J303" s="58"/>
      <c r="K303" s="58"/>
      <c r="L303" s="3"/>
    </row>
    <row r="304" spans="1:12" s="71" customFormat="1">
      <c r="A304" s="50"/>
      <c r="B304" s="30"/>
      <c r="C304" s="70"/>
      <c r="G304" s="30"/>
      <c r="H304" s="77"/>
      <c r="I304" s="77"/>
      <c r="J304" s="58"/>
      <c r="K304" s="58"/>
      <c r="L304" s="3"/>
    </row>
    <row r="305" spans="1:12" s="71" customFormat="1">
      <c r="A305" s="50"/>
      <c r="B305" s="30"/>
      <c r="C305" s="70"/>
      <c r="G305" s="30"/>
      <c r="H305" s="77"/>
      <c r="I305" s="77"/>
      <c r="J305" s="58"/>
      <c r="K305" s="58"/>
      <c r="L305" s="3"/>
    </row>
    <row r="306" spans="1:12" s="71" customFormat="1">
      <c r="A306" s="50"/>
      <c r="B306" s="30"/>
      <c r="C306" s="70"/>
      <c r="G306" s="30"/>
      <c r="H306" s="77"/>
      <c r="I306" s="77"/>
      <c r="J306" s="58"/>
      <c r="K306" s="58"/>
      <c r="L306" s="3"/>
    </row>
    <row r="307" spans="1:12" s="71" customFormat="1">
      <c r="A307" s="50"/>
      <c r="B307" s="30"/>
      <c r="C307" s="70"/>
      <c r="G307" s="30"/>
      <c r="H307" s="77"/>
      <c r="I307" s="77"/>
      <c r="J307" s="58"/>
      <c r="K307" s="58"/>
      <c r="L307" s="3"/>
    </row>
    <row r="308" spans="1:12" s="71" customFormat="1">
      <c r="A308" s="50"/>
      <c r="B308" s="30"/>
      <c r="C308" s="70"/>
      <c r="G308" s="30"/>
      <c r="H308" s="77"/>
      <c r="I308" s="77"/>
      <c r="J308" s="58"/>
      <c r="K308" s="58"/>
      <c r="L308" s="3"/>
    </row>
    <row r="309" spans="1:12" s="71" customFormat="1">
      <c r="A309" s="50"/>
      <c r="B309" s="30"/>
      <c r="C309" s="70"/>
      <c r="G309" s="30"/>
      <c r="H309" s="77"/>
      <c r="I309" s="77"/>
      <c r="J309" s="58"/>
      <c r="K309" s="58"/>
      <c r="L309" s="3"/>
    </row>
    <row r="310" spans="1:12" s="71" customFormat="1">
      <c r="A310" s="50"/>
      <c r="B310" s="30"/>
      <c r="C310" s="70"/>
      <c r="G310" s="30"/>
      <c r="H310" s="77"/>
      <c r="I310" s="77"/>
      <c r="J310" s="58"/>
      <c r="K310" s="58"/>
      <c r="L310" s="3"/>
    </row>
    <row r="311" spans="1:12" s="71" customFormat="1">
      <c r="A311" s="50"/>
      <c r="B311" s="30"/>
      <c r="C311" s="70"/>
      <c r="G311" s="30"/>
      <c r="H311" s="77"/>
      <c r="I311" s="77"/>
      <c r="J311" s="58"/>
      <c r="K311" s="58"/>
      <c r="L311" s="3"/>
    </row>
    <row r="312" spans="1:12" s="71" customFormat="1">
      <c r="A312" s="50"/>
      <c r="B312" s="30"/>
      <c r="C312" s="70"/>
      <c r="G312" s="30"/>
      <c r="H312" s="77"/>
      <c r="I312" s="77"/>
      <c r="J312" s="58"/>
      <c r="K312" s="58"/>
      <c r="L312" s="3"/>
    </row>
    <row r="313" spans="1:12" s="71" customFormat="1">
      <c r="A313" s="50"/>
      <c r="B313" s="30"/>
      <c r="C313" s="70"/>
      <c r="G313" s="30"/>
      <c r="H313" s="77"/>
      <c r="I313" s="77"/>
      <c r="J313" s="58"/>
      <c r="K313" s="58"/>
      <c r="L313" s="3"/>
    </row>
    <row r="314" spans="1:12" s="71" customFormat="1">
      <c r="A314" s="50"/>
      <c r="B314" s="30"/>
      <c r="C314" s="70"/>
      <c r="G314" s="30"/>
      <c r="H314" s="77"/>
      <c r="I314" s="77"/>
      <c r="J314" s="58"/>
      <c r="K314" s="58"/>
      <c r="L314" s="3"/>
    </row>
    <row r="315" spans="1:12" s="71" customFormat="1">
      <c r="A315" s="50"/>
      <c r="B315" s="30"/>
      <c r="C315" s="70"/>
      <c r="G315" s="30"/>
      <c r="H315" s="77"/>
      <c r="I315" s="77"/>
      <c r="J315" s="58"/>
      <c r="K315" s="58"/>
      <c r="L315" s="3"/>
    </row>
    <row r="316" spans="1:12" s="71" customFormat="1">
      <c r="A316" s="50"/>
      <c r="B316" s="30"/>
      <c r="C316" s="70"/>
      <c r="G316" s="30"/>
      <c r="H316" s="77"/>
      <c r="I316" s="77"/>
      <c r="J316" s="58"/>
      <c r="K316" s="58"/>
      <c r="L316" s="3"/>
    </row>
    <row r="317" spans="1:12" s="71" customFormat="1">
      <c r="A317" s="50"/>
      <c r="B317" s="30"/>
      <c r="C317" s="70"/>
      <c r="G317" s="30"/>
      <c r="H317" s="77"/>
      <c r="I317" s="77"/>
      <c r="J317" s="58"/>
      <c r="K317" s="58"/>
      <c r="L317" s="3"/>
    </row>
    <row r="318" spans="1:12" s="71" customFormat="1">
      <c r="A318" s="50"/>
      <c r="B318" s="30"/>
      <c r="C318" s="70"/>
      <c r="G318" s="30"/>
      <c r="H318" s="77"/>
      <c r="I318" s="77"/>
      <c r="J318" s="58"/>
      <c r="K318" s="58"/>
      <c r="L318" s="3"/>
    </row>
    <row r="319" spans="1:12" s="71" customFormat="1">
      <c r="A319" s="50"/>
      <c r="B319" s="30"/>
      <c r="C319" s="70"/>
      <c r="G319" s="30"/>
      <c r="H319" s="77"/>
      <c r="I319" s="77"/>
      <c r="J319" s="58"/>
      <c r="K319" s="58"/>
      <c r="L319" s="3"/>
    </row>
    <row r="320" spans="1:12" s="71" customFormat="1">
      <c r="A320" s="50"/>
      <c r="B320" s="30"/>
      <c r="C320" s="70"/>
      <c r="G320" s="30"/>
      <c r="H320" s="77"/>
      <c r="I320" s="77"/>
      <c r="J320" s="58"/>
      <c r="K320" s="58"/>
      <c r="L320" s="3"/>
    </row>
    <row r="321" spans="1:12" s="71" customFormat="1">
      <c r="A321" s="50"/>
      <c r="B321" s="30"/>
      <c r="C321" s="70"/>
      <c r="G321" s="30"/>
      <c r="H321" s="77"/>
      <c r="I321" s="77"/>
      <c r="J321" s="58"/>
      <c r="K321" s="58"/>
      <c r="L321" s="3"/>
    </row>
    <row r="322" spans="1:12" s="71" customFormat="1">
      <c r="A322" s="50"/>
      <c r="B322" s="30"/>
      <c r="C322" s="70"/>
      <c r="G322" s="30"/>
      <c r="H322" s="77"/>
      <c r="I322" s="77"/>
      <c r="J322" s="58"/>
      <c r="K322" s="58"/>
      <c r="L322" s="3"/>
    </row>
    <row r="323" spans="1:12" s="71" customFormat="1">
      <c r="A323" s="50"/>
      <c r="B323" s="30"/>
      <c r="C323" s="70"/>
      <c r="G323" s="30"/>
      <c r="H323" s="77"/>
      <c r="I323" s="77"/>
      <c r="J323" s="58"/>
      <c r="K323" s="58"/>
      <c r="L323" s="3"/>
    </row>
    <row r="324" spans="1:12" s="71" customFormat="1">
      <c r="A324" s="50"/>
      <c r="B324" s="30"/>
      <c r="C324" s="70"/>
      <c r="G324" s="30"/>
      <c r="H324" s="77"/>
      <c r="I324" s="77"/>
      <c r="J324" s="58"/>
      <c r="K324" s="58"/>
      <c r="L324" s="3"/>
    </row>
    <row r="325" spans="1:12" s="71" customFormat="1">
      <c r="A325" s="50"/>
      <c r="B325" s="30"/>
      <c r="C325" s="70"/>
      <c r="G325" s="30"/>
      <c r="H325" s="77"/>
      <c r="I325" s="77"/>
      <c r="J325" s="58"/>
      <c r="K325" s="58"/>
      <c r="L325" s="3"/>
    </row>
    <row r="326" spans="1:12" s="71" customFormat="1">
      <c r="A326" s="50"/>
      <c r="B326" s="30"/>
      <c r="C326" s="70"/>
      <c r="G326" s="30"/>
      <c r="H326" s="77"/>
      <c r="I326" s="77"/>
      <c r="J326" s="58"/>
      <c r="K326" s="58"/>
      <c r="L326" s="3"/>
    </row>
    <row r="327" spans="1:12" s="71" customFormat="1">
      <c r="A327" s="50"/>
      <c r="B327" s="30"/>
      <c r="C327" s="70"/>
      <c r="G327" s="30"/>
      <c r="H327" s="77"/>
      <c r="I327" s="77"/>
      <c r="J327" s="58"/>
      <c r="K327" s="58"/>
      <c r="L327" s="3"/>
    </row>
    <row r="328" spans="1:12" s="71" customFormat="1">
      <c r="A328" s="50"/>
      <c r="B328" s="30"/>
      <c r="C328" s="70"/>
      <c r="G328" s="30"/>
      <c r="H328" s="77"/>
      <c r="I328" s="77"/>
      <c r="J328" s="58"/>
      <c r="K328" s="58"/>
      <c r="L328" s="3"/>
    </row>
    <row r="329" spans="1:12" s="71" customFormat="1">
      <c r="A329" s="50"/>
      <c r="B329" s="30"/>
      <c r="C329" s="70"/>
      <c r="G329" s="30"/>
      <c r="H329" s="77"/>
      <c r="I329" s="77"/>
      <c r="J329" s="58"/>
      <c r="K329" s="58"/>
      <c r="L329" s="3"/>
    </row>
    <row r="330" spans="1:12" s="71" customFormat="1">
      <c r="A330" s="50"/>
      <c r="B330" s="30"/>
      <c r="C330" s="70"/>
      <c r="G330" s="30"/>
      <c r="H330" s="77"/>
      <c r="I330" s="77"/>
      <c r="J330" s="58"/>
      <c r="K330" s="58"/>
      <c r="L330" s="3"/>
    </row>
    <row r="331" spans="1:12" s="71" customFormat="1">
      <c r="A331" s="50"/>
      <c r="B331" s="30"/>
      <c r="C331" s="70"/>
      <c r="G331" s="30"/>
      <c r="H331" s="77"/>
      <c r="I331" s="77"/>
      <c r="J331" s="58"/>
      <c r="K331" s="58"/>
      <c r="L331" s="3"/>
    </row>
    <row r="332" spans="1:12" s="71" customFormat="1">
      <c r="A332" s="50"/>
      <c r="B332" s="30"/>
      <c r="C332" s="70"/>
      <c r="G332" s="30"/>
      <c r="H332" s="77"/>
      <c r="I332" s="77"/>
      <c r="J332" s="58"/>
      <c r="K332" s="58"/>
      <c r="L332" s="3"/>
    </row>
    <row r="333" spans="1:12" s="71" customFormat="1">
      <c r="A333" s="50"/>
      <c r="B333" s="30"/>
      <c r="C333" s="70"/>
      <c r="G333" s="30"/>
      <c r="H333" s="77"/>
      <c r="I333" s="77"/>
      <c r="J333" s="58"/>
      <c r="K333" s="58"/>
      <c r="L333" s="3"/>
    </row>
    <row r="334" spans="1:12" s="71" customFormat="1">
      <c r="A334" s="50"/>
      <c r="B334" s="30"/>
      <c r="C334" s="70"/>
      <c r="G334" s="30"/>
      <c r="H334" s="77"/>
      <c r="I334" s="77"/>
      <c r="J334" s="58"/>
      <c r="K334" s="58"/>
      <c r="L334" s="3"/>
    </row>
    <row r="335" spans="1:12" s="71" customFormat="1">
      <c r="A335" s="50"/>
      <c r="B335" s="30"/>
      <c r="C335" s="70"/>
      <c r="G335" s="30"/>
      <c r="H335" s="77"/>
      <c r="I335" s="77"/>
      <c r="J335" s="58"/>
      <c r="K335" s="58"/>
      <c r="L335" s="3"/>
    </row>
    <row r="336" spans="1:12" s="71" customFormat="1">
      <c r="A336" s="50"/>
      <c r="B336" s="30"/>
      <c r="C336" s="70"/>
      <c r="G336" s="30"/>
      <c r="H336" s="77"/>
      <c r="I336" s="77"/>
      <c r="J336" s="58"/>
      <c r="K336" s="58"/>
      <c r="L336" s="3"/>
    </row>
    <row r="337" spans="1:12" s="71" customFormat="1">
      <c r="A337" s="50"/>
      <c r="B337" s="30"/>
      <c r="C337" s="70"/>
      <c r="G337" s="30"/>
      <c r="H337" s="77"/>
      <c r="I337" s="77"/>
      <c r="J337" s="58"/>
      <c r="K337" s="58"/>
      <c r="L337" s="3"/>
    </row>
    <row r="338" spans="1:12" s="71" customFormat="1">
      <c r="A338" s="50"/>
      <c r="B338" s="30"/>
      <c r="C338" s="70"/>
      <c r="G338" s="30"/>
      <c r="H338" s="77"/>
      <c r="I338" s="77"/>
      <c r="J338" s="58"/>
      <c r="K338" s="58"/>
      <c r="L338" s="3"/>
    </row>
    <row r="339" spans="1:12" s="71" customFormat="1">
      <c r="A339" s="50"/>
      <c r="B339" s="30"/>
      <c r="C339" s="70"/>
      <c r="G339" s="30"/>
      <c r="H339" s="77"/>
      <c r="I339" s="77"/>
      <c r="J339" s="58"/>
      <c r="K339" s="58"/>
      <c r="L339" s="3"/>
    </row>
    <row r="340" spans="1:12" s="71" customFormat="1">
      <c r="A340" s="50"/>
      <c r="B340" s="30"/>
      <c r="C340" s="70"/>
      <c r="G340" s="30"/>
      <c r="H340" s="77"/>
      <c r="I340" s="77"/>
      <c r="J340" s="58"/>
      <c r="K340" s="58"/>
      <c r="L340" s="3"/>
    </row>
    <row r="341" spans="1:12" s="71" customFormat="1">
      <c r="A341" s="50"/>
      <c r="B341" s="30"/>
      <c r="C341" s="70"/>
      <c r="G341" s="30"/>
      <c r="H341" s="77"/>
      <c r="I341" s="77"/>
      <c r="J341" s="58"/>
      <c r="K341" s="58"/>
      <c r="L341" s="3"/>
    </row>
    <row r="342" spans="1:12" s="71" customFormat="1">
      <c r="A342" s="50"/>
      <c r="B342" s="30"/>
      <c r="C342" s="70"/>
      <c r="G342" s="30"/>
      <c r="H342" s="77"/>
      <c r="I342" s="77"/>
      <c r="J342" s="58"/>
      <c r="K342" s="58"/>
      <c r="L342" s="3"/>
    </row>
    <row r="343" spans="1:12" s="71" customFormat="1">
      <c r="A343" s="50"/>
      <c r="B343" s="30"/>
      <c r="C343" s="70"/>
      <c r="G343" s="30"/>
      <c r="H343" s="77"/>
      <c r="I343" s="77"/>
      <c r="J343" s="58"/>
      <c r="K343" s="58"/>
      <c r="L343" s="3"/>
    </row>
    <row r="344" spans="1:12" s="71" customFormat="1">
      <c r="A344" s="50"/>
      <c r="B344" s="30"/>
      <c r="C344" s="70"/>
      <c r="G344" s="30"/>
      <c r="H344" s="77"/>
      <c r="I344" s="77"/>
      <c r="J344" s="58"/>
      <c r="K344" s="58"/>
      <c r="L344" s="3"/>
    </row>
    <row r="345" spans="1:12" s="71" customFormat="1">
      <c r="A345" s="50"/>
      <c r="B345" s="30"/>
      <c r="C345" s="70"/>
      <c r="G345" s="30"/>
      <c r="H345" s="77"/>
      <c r="I345" s="77"/>
      <c r="J345" s="58"/>
      <c r="K345" s="58"/>
      <c r="L345" s="3"/>
    </row>
    <row r="346" spans="1:12" s="71" customFormat="1">
      <c r="A346" s="50"/>
      <c r="B346" s="30"/>
      <c r="C346" s="70"/>
      <c r="G346" s="30"/>
      <c r="H346" s="77"/>
      <c r="I346" s="77"/>
      <c r="J346" s="58"/>
      <c r="K346" s="58"/>
      <c r="L346" s="3"/>
    </row>
    <row r="347" spans="1:12" s="71" customFormat="1">
      <c r="A347" s="50"/>
      <c r="B347" s="30"/>
      <c r="C347" s="70"/>
      <c r="G347" s="30"/>
      <c r="H347" s="77"/>
      <c r="I347" s="77"/>
      <c r="J347" s="58"/>
      <c r="K347" s="58"/>
      <c r="L347" s="3"/>
    </row>
    <row r="348" spans="1:12" s="71" customFormat="1">
      <c r="A348" s="50"/>
      <c r="B348" s="30"/>
      <c r="C348" s="70"/>
      <c r="G348" s="30"/>
      <c r="H348" s="77"/>
      <c r="I348" s="77"/>
      <c r="J348" s="58"/>
      <c r="K348" s="58"/>
      <c r="L348" s="3"/>
    </row>
    <row r="349" spans="1:12" s="71" customFormat="1">
      <c r="A349" s="50"/>
      <c r="B349" s="30"/>
      <c r="C349" s="70"/>
      <c r="G349" s="30"/>
      <c r="H349" s="77"/>
      <c r="I349" s="77"/>
      <c r="J349" s="58"/>
      <c r="K349" s="58"/>
      <c r="L349" s="3"/>
    </row>
    <row r="350" spans="1:12" s="71" customFormat="1">
      <c r="A350" s="50"/>
      <c r="B350" s="30"/>
      <c r="C350" s="70"/>
      <c r="G350" s="30"/>
      <c r="H350" s="77"/>
      <c r="I350" s="77"/>
      <c r="J350" s="58"/>
      <c r="K350" s="58"/>
      <c r="L350" s="3"/>
    </row>
    <row r="351" spans="1:12" s="71" customFormat="1">
      <c r="A351" s="50"/>
      <c r="B351" s="30"/>
      <c r="C351" s="70"/>
      <c r="G351" s="30"/>
      <c r="H351" s="77"/>
      <c r="I351" s="77"/>
      <c r="J351" s="58"/>
      <c r="K351" s="58"/>
      <c r="L351" s="3"/>
    </row>
    <row r="352" spans="1:12" s="71" customFormat="1">
      <c r="A352" s="50"/>
      <c r="B352" s="30"/>
      <c r="C352" s="70"/>
      <c r="G352" s="30"/>
      <c r="H352" s="77"/>
      <c r="I352" s="77"/>
      <c r="J352" s="58"/>
      <c r="K352" s="58"/>
      <c r="L352" s="3"/>
    </row>
    <row r="353" spans="1:12" s="71" customFormat="1">
      <c r="A353" s="50"/>
      <c r="B353" s="30"/>
      <c r="C353" s="70"/>
      <c r="G353" s="30"/>
      <c r="H353" s="77"/>
      <c r="I353" s="77"/>
      <c r="J353" s="58"/>
      <c r="K353" s="58"/>
      <c r="L353" s="3"/>
    </row>
    <row r="354" spans="1:12" s="71" customFormat="1">
      <c r="A354" s="50"/>
      <c r="B354" s="30"/>
      <c r="C354" s="70"/>
      <c r="G354" s="30"/>
      <c r="H354" s="77"/>
      <c r="I354" s="77"/>
      <c r="J354" s="58"/>
      <c r="K354" s="58"/>
      <c r="L354" s="3"/>
    </row>
    <row r="355" spans="1:12" s="71" customFormat="1">
      <c r="A355" s="50"/>
      <c r="B355" s="30"/>
      <c r="C355" s="70"/>
      <c r="G355" s="30"/>
      <c r="H355" s="77"/>
      <c r="I355" s="77"/>
      <c r="J355" s="58"/>
      <c r="K355" s="58"/>
      <c r="L355" s="3"/>
    </row>
    <row r="356" spans="1:12" s="71" customFormat="1">
      <c r="A356" s="50"/>
      <c r="B356" s="30"/>
      <c r="C356" s="70"/>
      <c r="G356" s="30"/>
      <c r="H356" s="77"/>
      <c r="I356" s="77"/>
      <c r="J356" s="58"/>
      <c r="K356" s="58"/>
      <c r="L356" s="3"/>
    </row>
    <row r="357" spans="1:12" s="71" customFormat="1">
      <c r="A357" s="50"/>
      <c r="B357" s="30"/>
      <c r="C357" s="70"/>
      <c r="G357" s="30"/>
      <c r="H357" s="77"/>
      <c r="I357" s="77"/>
      <c r="J357" s="58"/>
      <c r="K357" s="58"/>
      <c r="L357" s="3"/>
    </row>
    <row r="358" spans="1:12" s="71" customFormat="1">
      <c r="A358" s="50"/>
      <c r="B358" s="30"/>
      <c r="C358" s="70"/>
      <c r="G358" s="30"/>
      <c r="H358" s="77"/>
      <c r="I358" s="77"/>
      <c r="J358" s="58"/>
      <c r="K358" s="58"/>
      <c r="L358" s="3"/>
    </row>
    <row r="359" spans="1:12" s="71" customFormat="1">
      <c r="A359" s="50"/>
      <c r="B359" s="30"/>
      <c r="C359" s="70"/>
      <c r="G359" s="30"/>
      <c r="H359" s="77"/>
      <c r="I359" s="77"/>
      <c r="J359" s="58"/>
      <c r="K359" s="58"/>
      <c r="L359" s="3"/>
    </row>
    <row r="360" spans="1:12" s="71" customFormat="1">
      <c r="A360" s="50"/>
      <c r="B360" s="30"/>
      <c r="C360" s="70"/>
      <c r="G360" s="30"/>
      <c r="H360" s="77"/>
      <c r="I360" s="77"/>
      <c r="J360" s="58"/>
      <c r="K360" s="58"/>
      <c r="L360" s="3"/>
    </row>
    <row r="361" spans="1:12" s="71" customFormat="1">
      <c r="A361" s="50"/>
      <c r="B361" s="30"/>
      <c r="C361" s="70"/>
      <c r="G361" s="30"/>
      <c r="H361" s="77"/>
      <c r="I361" s="77"/>
      <c r="J361" s="58"/>
      <c r="K361" s="58"/>
      <c r="L361" s="3"/>
    </row>
    <row r="362" spans="1:12" s="71" customFormat="1">
      <c r="A362" s="50"/>
      <c r="B362" s="30"/>
      <c r="C362" s="70"/>
      <c r="G362" s="30"/>
      <c r="H362" s="77"/>
      <c r="I362" s="77"/>
      <c r="J362" s="58"/>
      <c r="K362" s="58"/>
      <c r="L362" s="3"/>
    </row>
    <row r="363" spans="1:12" s="71" customFormat="1">
      <c r="A363" s="50"/>
      <c r="B363" s="30"/>
      <c r="C363" s="70"/>
      <c r="G363" s="30"/>
      <c r="H363" s="77"/>
      <c r="I363" s="77"/>
      <c r="J363" s="58"/>
      <c r="K363" s="58"/>
      <c r="L363" s="3"/>
    </row>
    <row r="364" spans="1:12" s="71" customFormat="1">
      <c r="A364" s="50"/>
      <c r="B364" s="30"/>
      <c r="C364" s="70"/>
      <c r="G364" s="30"/>
      <c r="H364" s="77"/>
      <c r="I364" s="77"/>
      <c r="J364" s="58"/>
      <c r="K364" s="58"/>
      <c r="L364" s="3"/>
    </row>
    <row r="365" spans="1:12" s="71" customFormat="1">
      <c r="A365" s="50"/>
      <c r="B365" s="30"/>
      <c r="C365" s="70"/>
      <c r="G365" s="30"/>
      <c r="H365" s="77"/>
      <c r="I365" s="77"/>
      <c r="J365" s="58"/>
      <c r="K365" s="58"/>
      <c r="L365" s="3"/>
    </row>
    <row r="366" spans="1:12" s="71" customFormat="1">
      <c r="A366" s="50"/>
      <c r="B366" s="30"/>
      <c r="C366" s="70"/>
      <c r="G366" s="30"/>
      <c r="H366" s="77"/>
      <c r="I366" s="77"/>
      <c r="J366" s="58"/>
      <c r="K366" s="58"/>
      <c r="L366" s="3"/>
    </row>
    <row r="367" spans="1:12" s="71" customFormat="1">
      <c r="A367" s="50"/>
      <c r="B367" s="30"/>
      <c r="C367" s="70"/>
      <c r="G367" s="30"/>
      <c r="H367" s="77"/>
      <c r="I367" s="77"/>
      <c r="J367" s="58"/>
      <c r="K367" s="58"/>
      <c r="L367" s="3"/>
    </row>
    <row r="368" spans="1:12" s="71" customFormat="1">
      <c r="A368" s="50"/>
      <c r="B368" s="30"/>
      <c r="C368" s="70"/>
      <c r="G368" s="30"/>
      <c r="H368" s="77"/>
      <c r="I368" s="77"/>
      <c r="J368" s="58"/>
      <c r="K368" s="58"/>
      <c r="L368" s="3"/>
    </row>
    <row r="369" spans="1:12" s="71" customFormat="1">
      <c r="A369" s="50"/>
      <c r="B369" s="30"/>
      <c r="C369" s="70"/>
      <c r="G369" s="30"/>
      <c r="H369" s="77"/>
      <c r="I369" s="77"/>
      <c r="J369" s="58"/>
      <c r="K369" s="58"/>
      <c r="L369" s="3"/>
    </row>
    <row r="370" spans="1:12" s="71" customFormat="1">
      <c r="A370" s="50"/>
      <c r="B370" s="30"/>
      <c r="C370" s="70"/>
      <c r="G370" s="30"/>
      <c r="H370" s="77"/>
      <c r="I370" s="77"/>
      <c r="J370" s="58"/>
      <c r="K370" s="58"/>
      <c r="L370" s="3"/>
    </row>
    <row r="371" spans="1:12" s="71" customFormat="1">
      <c r="A371" s="50"/>
      <c r="B371" s="30"/>
      <c r="C371" s="70"/>
      <c r="G371" s="30"/>
      <c r="H371" s="77"/>
      <c r="I371" s="77"/>
      <c r="J371" s="58"/>
      <c r="K371" s="58"/>
      <c r="L371" s="3"/>
    </row>
    <row r="372" spans="1:12" s="71" customFormat="1">
      <c r="A372" s="50"/>
      <c r="B372" s="30"/>
      <c r="C372" s="70"/>
      <c r="G372" s="30"/>
      <c r="H372" s="77"/>
      <c r="I372" s="77"/>
      <c r="J372" s="58"/>
      <c r="K372" s="58"/>
      <c r="L372" s="3"/>
    </row>
    <row r="373" spans="1:12" s="71" customFormat="1">
      <c r="A373" s="50"/>
      <c r="B373" s="30"/>
      <c r="C373" s="70"/>
      <c r="G373" s="30"/>
      <c r="H373" s="77"/>
      <c r="I373" s="77"/>
      <c r="J373" s="58"/>
      <c r="K373" s="58"/>
      <c r="L373" s="3"/>
    </row>
    <row r="374" spans="1:12" s="71" customFormat="1">
      <c r="A374" s="50"/>
      <c r="B374" s="30"/>
      <c r="C374" s="70"/>
      <c r="G374" s="30"/>
      <c r="H374" s="77"/>
      <c r="I374" s="77"/>
      <c r="J374" s="58"/>
      <c r="K374" s="58"/>
      <c r="L374" s="3"/>
    </row>
    <row r="375" spans="1:12" s="71" customFormat="1">
      <c r="A375" s="50"/>
      <c r="B375" s="30"/>
      <c r="C375" s="70"/>
      <c r="G375" s="30"/>
      <c r="H375" s="77"/>
      <c r="I375" s="77"/>
      <c r="J375" s="58"/>
      <c r="K375" s="58"/>
      <c r="L375" s="3"/>
    </row>
    <row r="376" spans="1:12" s="71" customFormat="1">
      <c r="A376" s="50"/>
      <c r="B376" s="30"/>
      <c r="C376" s="70"/>
      <c r="G376" s="30"/>
      <c r="H376" s="77"/>
      <c r="I376" s="77"/>
      <c r="J376" s="58"/>
      <c r="K376" s="58"/>
      <c r="L376" s="3"/>
    </row>
    <row r="377" spans="1:12" s="71" customFormat="1">
      <c r="A377" s="50"/>
      <c r="B377" s="30"/>
      <c r="C377" s="70"/>
      <c r="G377" s="30"/>
      <c r="H377" s="77"/>
      <c r="I377" s="77"/>
      <c r="J377" s="58"/>
      <c r="K377" s="58"/>
      <c r="L377" s="3"/>
    </row>
    <row r="378" spans="1:12" s="71" customFormat="1">
      <c r="A378" s="50"/>
      <c r="B378" s="30"/>
      <c r="C378" s="70"/>
      <c r="G378" s="30"/>
      <c r="H378" s="77"/>
      <c r="I378" s="77"/>
      <c r="J378" s="58"/>
      <c r="K378" s="58"/>
      <c r="L378" s="3"/>
    </row>
    <row r="379" spans="1:12" s="71" customFormat="1">
      <c r="A379" s="50"/>
      <c r="B379" s="30"/>
      <c r="C379" s="70"/>
      <c r="G379" s="30"/>
      <c r="H379" s="77"/>
      <c r="I379" s="77"/>
      <c r="J379" s="58"/>
      <c r="K379" s="58"/>
      <c r="L379" s="3"/>
    </row>
    <row r="380" spans="1:12" s="71" customFormat="1">
      <c r="A380" s="50"/>
      <c r="B380" s="30"/>
      <c r="C380" s="70"/>
      <c r="G380" s="30"/>
      <c r="H380" s="77"/>
      <c r="I380" s="77"/>
      <c r="J380" s="58"/>
      <c r="K380" s="58"/>
      <c r="L380" s="3"/>
    </row>
    <row r="381" spans="1:12" s="71" customFormat="1">
      <c r="A381" s="50"/>
      <c r="B381" s="30"/>
      <c r="C381" s="70"/>
      <c r="G381" s="30"/>
      <c r="H381" s="77"/>
      <c r="I381" s="77"/>
      <c r="J381" s="58"/>
      <c r="K381" s="58"/>
      <c r="L381" s="3"/>
    </row>
    <row r="382" spans="1:12" s="71" customFormat="1">
      <c r="A382" s="50"/>
      <c r="B382" s="30"/>
      <c r="C382" s="70"/>
      <c r="G382" s="30"/>
      <c r="H382" s="77"/>
      <c r="I382" s="77"/>
      <c r="J382" s="58"/>
      <c r="K382" s="58"/>
      <c r="L382" s="3"/>
    </row>
    <row r="383" spans="1:12" s="71" customFormat="1">
      <c r="A383" s="50"/>
      <c r="B383" s="30"/>
      <c r="C383" s="70"/>
      <c r="G383" s="30"/>
      <c r="H383" s="77"/>
      <c r="I383" s="77"/>
      <c r="J383" s="58"/>
      <c r="K383" s="58"/>
      <c r="L383" s="3"/>
    </row>
    <row r="384" spans="1:12" s="71" customFormat="1">
      <c r="A384" s="50"/>
      <c r="B384" s="30"/>
      <c r="C384" s="70"/>
      <c r="G384" s="30"/>
      <c r="H384" s="77"/>
      <c r="I384" s="77"/>
      <c r="J384" s="58"/>
      <c r="K384" s="58"/>
      <c r="L384" s="3"/>
    </row>
    <row r="385" spans="1:12" s="71" customFormat="1">
      <c r="A385" s="50"/>
      <c r="B385" s="30"/>
      <c r="C385" s="70"/>
      <c r="G385" s="30"/>
      <c r="H385" s="77"/>
      <c r="I385" s="77"/>
      <c r="J385" s="58"/>
      <c r="K385" s="58"/>
      <c r="L385" s="3"/>
    </row>
    <row r="386" spans="1:12" s="71" customFormat="1">
      <c r="A386" s="50"/>
      <c r="B386" s="30"/>
      <c r="C386" s="70"/>
      <c r="G386" s="30"/>
      <c r="H386" s="77"/>
      <c r="I386" s="77"/>
      <c r="J386" s="58"/>
      <c r="K386" s="58"/>
      <c r="L386" s="3"/>
    </row>
    <row r="387" spans="1:12" s="71" customFormat="1">
      <c r="A387" s="50"/>
      <c r="B387" s="30"/>
      <c r="C387" s="70"/>
      <c r="G387" s="30"/>
      <c r="H387" s="77"/>
      <c r="I387" s="77"/>
      <c r="J387" s="58"/>
      <c r="K387" s="58"/>
      <c r="L387" s="3"/>
    </row>
    <row r="388" spans="1:12" s="71" customFormat="1">
      <c r="A388" s="50"/>
      <c r="B388" s="30"/>
      <c r="C388" s="70"/>
      <c r="G388" s="30"/>
      <c r="H388" s="77"/>
      <c r="I388" s="77"/>
      <c r="J388" s="58"/>
      <c r="K388" s="58"/>
      <c r="L388" s="3"/>
    </row>
    <row r="389" spans="1:12" s="71" customFormat="1">
      <c r="A389" s="50"/>
      <c r="B389" s="30"/>
      <c r="C389" s="70"/>
      <c r="G389" s="30"/>
      <c r="H389" s="77"/>
      <c r="I389" s="77"/>
      <c r="J389" s="58"/>
      <c r="K389" s="58"/>
      <c r="L389" s="3"/>
    </row>
    <row r="390" spans="1:12" s="71" customFormat="1">
      <c r="A390" s="50"/>
      <c r="B390" s="30"/>
      <c r="C390" s="70"/>
      <c r="G390" s="30"/>
      <c r="H390" s="77"/>
      <c r="I390" s="77"/>
      <c r="J390" s="58"/>
      <c r="K390" s="58"/>
      <c r="L390" s="3"/>
    </row>
    <row r="391" spans="1:12" s="71" customFormat="1">
      <c r="A391" s="50"/>
      <c r="B391" s="30"/>
      <c r="C391" s="70"/>
      <c r="G391" s="30"/>
      <c r="H391" s="77"/>
      <c r="I391" s="77"/>
      <c r="J391" s="58"/>
      <c r="K391" s="58"/>
      <c r="L391" s="3"/>
    </row>
    <row r="392" spans="1:12" s="71" customFormat="1">
      <c r="A392" s="50"/>
      <c r="B392" s="30"/>
      <c r="C392" s="70"/>
      <c r="G392" s="30"/>
      <c r="H392" s="77"/>
      <c r="I392" s="77"/>
      <c r="J392" s="58"/>
      <c r="K392" s="58"/>
      <c r="L392" s="3"/>
    </row>
    <row r="393" spans="1:12" s="71" customFormat="1">
      <c r="A393" s="50"/>
      <c r="B393" s="30"/>
      <c r="C393" s="70"/>
      <c r="G393" s="30"/>
      <c r="H393" s="77"/>
      <c r="I393" s="77"/>
      <c r="J393" s="58"/>
      <c r="K393" s="58"/>
      <c r="L393" s="3"/>
    </row>
    <row r="394" spans="1:12" s="71" customFormat="1">
      <c r="A394" s="50"/>
      <c r="B394" s="30"/>
      <c r="C394" s="70"/>
      <c r="G394" s="30"/>
      <c r="H394" s="77"/>
      <c r="I394" s="77"/>
      <c r="J394" s="58"/>
      <c r="K394" s="58"/>
      <c r="L394" s="3"/>
    </row>
    <row r="395" spans="1:12" s="71" customFormat="1">
      <c r="A395" s="50"/>
      <c r="B395" s="30"/>
      <c r="C395" s="70"/>
      <c r="G395" s="30"/>
      <c r="H395" s="77"/>
      <c r="I395" s="77"/>
      <c r="J395" s="58"/>
      <c r="K395" s="58"/>
      <c r="L395" s="3"/>
    </row>
    <row r="396" spans="1:12" s="71" customFormat="1">
      <c r="A396" s="50"/>
      <c r="B396" s="30"/>
      <c r="C396" s="70"/>
      <c r="G396" s="30"/>
      <c r="H396" s="77"/>
      <c r="I396" s="77"/>
      <c r="J396" s="58"/>
      <c r="K396" s="58"/>
      <c r="L396" s="3"/>
    </row>
    <row r="397" spans="1:12" s="71" customFormat="1">
      <c r="A397" s="50"/>
      <c r="B397" s="30"/>
      <c r="C397" s="70"/>
      <c r="G397" s="30"/>
      <c r="H397" s="77"/>
      <c r="I397" s="77"/>
      <c r="J397" s="58"/>
      <c r="K397" s="58"/>
      <c r="L397" s="3"/>
    </row>
    <row r="398" spans="1:12" s="71" customFormat="1">
      <c r="A398" s="50"/>
      <c r="B398" s="30"/>
      <c r="C398" s="70"/>
      <c r="G398" s="30"/>
      <c r="H398" s="77"/>
      <c r="I398" s="77"/>
      <c r="J398" s="58"/>
      <c r="K398" s="58"/>
      <c r="L398" s="3"/>
    </row>
    <row r="399" spans="1:12" s="71" customFormat="1">
      <c r="A399" s="50"/>
      <c r="B399" s="30"/>
      <c r="C399" s="70"/>
      <c r="G399" s="30"/>
      <c r="H399" s="77"/>
      <c r="I399" s="77"/>
      <c r="J399" s="58"/>
      <c r="K399" s="58"/>
      <c r="L399" s="3"/>
    </row>
    <row r="400" spans="1:12" s="71" customFormat="1">
      <c r="A400" s="50"/>
      <c r="B400" s="30"/>
      <c r="C400" s="70"/>
      <c r="G400" s="30"/>
      <c r="H400" s="77"/>
      <c r="I400" s="77"/>
      <c r="J400" s="58"/>
      <c r="K400" s="58"/>
      <c r="L400" s="3"/>
    </row>
    <row r="401" spans="1:12" s="71" customFormat="1">
      <c r="A401" s="50"/>
      <c r="B401" s="30"/>
      <c r="C401" s="70"/>
      <c r="G401" s="30"/>
      <c r="H401" s="77"/>
      <c r="I401" s="77"/>
      <c r="J401" s="58"/>
      <c r="K401" s="58"/>
      <c r="L401" s="3"/>
    </row>
    <row r="402" spans="1:12" s="71" customFormat="1">
      <c r="A402" s="50"/>
      <c r="B402" s="30"/>
      <c r="C402" s="70"/>
      <c r="G402" s="30"/>
      <c r="H402" s="77"/>
      <c r="I402" s="77"/>
      <c r="J402" s="58"/>
      <c r="K402" s="58"/>
      <c r="L402" s="3"/>
    </row>
    <row r="403" spans="1:12" s="71" customFormat="1">
      <c r="A403" s="50"/>
      <c r="B403" s="30"/>
      <c r="C403" s="70"/>
      <c r="G403" s="30"/>
      <c r="H403" s="77"/>
      <c r="I403" s="77"/>
      <c r="J403" s="58"/>
      <c r="K403" s="58"/>
      <c r="L403" s="3"/>
    </row>
    <row r="404" spans="1:12" s="71" customFormat="1">
      <c r="A404" s="50"/>
      <c r="B404" s="30"/>
      <c r="C404" s="70"/>
      <c r="G404" s="30"/>
      <c r="H404" s="77"/>
      <c r="I404" s="77"/>
      <c r="J404" s="58"/>
      <c r="K404" s="58"/>
      <c r="L404" s="3"/>
    </row>
    <row r="405" spans="1:12" s="71" customFormat="1">
      <c r="A405" s="50"/>
      <c r="B405" s="30"/>
      <c r="C405" s="70"/>
      <c r="G405" s="30"/>
      <c r="H405" s="77"/>
      <c r="I405" s="77"/>
      <c r="J405" s="58"/>
      <c r="K405" s="58"/>
      <c r="L405" s="3"/>
    </row>
    <row r="406" spans="1:12" s="71" customFormat="1">
      <c r="A406" s="50"/>
      <c r="B406" s="30"/>
      <c r="C406" s="70"/>
      <c r="G406" s="30"/>
      <c r="H406" s="77"/>
      <c r="I406" s="77"/>
      <c r="J406" s="58"/>
      <c r="K406" s="58"/>
      <c r="L406" s="3"/>
    </row>
    <row r="407" spans="1:12" s="71" customFormat="1">
      <c r="A407" s="50"/>
      <c r="B407" s="30"/>
      <c r="C407" s="70"/>
      <c r="G407" s="30"/>
      <c r="H407" s="77"/>
      <c r="I407" s="77"/>
      <c r="J407" s="58"/>
      <c r="K407" s="58"/>
      <c r="L407" s="3"/>
    </row>
    <row r="408" spans="1:12" s="71" customFormat="1">
      <c r="A408" s="50"/>
      <c r="B408" s="30"/>
      <c r="C408" s="70"/>
      <c r="G408" s="30"/>
      <c r="H408" s="77"/>
      <c r="I408" s="77"/>
      <c r="J408" s="58"/>
      <c r="K408" s="58"/>
      <c r="L408" s="3"/>
    </row>
    <row r="409" spans="1:12" s="71" customFormat="1">
      <c r="A409" s="50"/>
      <c r="B409" s="30"/>
      <c r="C409" s="70"/>
      <c r="G409" s="30"/>
      <c r="H409" s="77"/>
      <c r="I409" s="77"/>
      <c r="J409" s="58"/>
      <c r="K409" s="58"/>
      <c r="L409" s="3"/>
    </row>
    <row r="410" spans="1:12" s="71" customFormat="1">
      <c r="A410" s="50"/>
      <c r="B410" s="30"/>
      <c r="C410" s="70"/>
      <c r="G410" s="30"/>
      <c r="H410" s="77"/>
      <c r="I410" s="77"/>
      <c r="J410" s="58"/>
      <c r="K410" s="58"/>
      <c r="L410" s="3"/>
    </row>
    <row r="411" spans="1:12" s="71" customFormat="1">
      <c r="A411" s="50"/>
      <c r="B411" s="30"/>
      <c r="C411" s="70"/>
      <c r="G411" s="30"/>
      <c r="H411" s="77"/>
      <c r="I411" s="77"/>
      <c r="J411" s="58"/>
      <c r="K411" s="58"/>
      <c r="L411" s="3"/>
    </row>
    <row r="412" spans="1:12" s="71" customFormat="1">
      <c r="A412" s="50"/>
      <c r="B412" s="30"/>
      <c r="C412" s="70"/>
      <c r="G412" s="30"/>
      <c r="H412" s="77"/>
      <c r="I412" s="77"/>
      <c r="J412" s="58"/>
      <c r="K412" s="58"/>
      <c r="L412" s="3"/>
    </row>
    <row r="413" spans="1:12" s="71" customFormat="1">
      <c r="A413" s="50"/>
      <c r="B413" s="30"/>
      <c r="C413" s="70"/>
      <c r="G413" s="30"/>
      <c r="H413" s="77"/>
      <c r="I413" s="77"/>
      <c r="J413" s="58"/>
      <c r="K413" s="58"/>
      <c r="L413" s="3"/>
    </row>
    <row r="414" spans="1:12" s="71" customFormat="1">
      <c r="A414" s="50"/>
      <c r="B414" s="30"/>
      <c r="C414" s="70"/>
      <c r="G414" s="30"/>
      <c r="H414" s="77"/>
      <c r="I414" s="77"/>
      <c r="J414" s="58"/>
      <c r="K414" s="58"/>
      <c r="L414" s="3"/>
    </row>
    <row r="415" spans="1:12" s="71" customFormat="1">
      <c r="A415" s="50"/>
      <c r="B415" s="30"/>
      <c r="C415" s="70"/>
      <c r="G415" s="30"/>
      <c r="H415" s="77"/>
      <c r="I415" s="77"/>
      <c r="J415" s="58"/>
      <c r="K415" s="58"/>
      <c r="L415" s="3"/>
    </row>
    <row r="416" spans="1:12" s="71" customFormat="1">
      <c r="A416" s="50"/>
      <c r="B416" s="30"/>
      <c r="C416" s="70"/>
      <c r="G416" s="30"/>
      <c r="H416" s="77"/>
      <c r="I416" s="77"/>
      <c r="J416" s="58"/>
      <c r="K416" s="58"/>
      <c r="L416" s="3"/>
    </row>
    <row r="417" spans="1:12" s="71" customFormat="1">
      <c r="A417" s="50"/>
      <c r="B417" s="30"/>
      <c r="C417" s="70"/>
      <c r="G417" s="30"/>
      <c r="H417" s="77"/>
      <c r="I417" s="77"/>
      <c r="J417" s="58"/>
      <c r="K417" s="58"/>
      <c r="L417" s="3"/>
    </row>
    <row r="418" spans="1:12" s="71" customFormat="1">
      <c r="A418" s="50"/>
      <c r="B418" s="30"/>
      <c r="C418" s="70"/>
      <c r="G418" s="30"/>
      <c r="H418" s="77"/>
      <c r="I418" s="77"/>
      <c r="J418" s="58"/>
      <c r="K418" s="58"/>
      <c r="L418" s="3"/>
    </row>
    <row r="419" spans="1:12" s="71" customFormat="1">
      <c r="A419" s="50"/>
      <c r="B419" s="30"/>
      <c r="C419" s="70"/>
      <c r="G419" s="30"/>
      <c r="H419" s="77"/>
      <c r="I419" s="77"/>
      <c r="J419" s="58"/>
      <c r="K419" s="58"/>
      <c r="L419" s="3"/>
    </row>
    <row r="420" spans="1:12" s="71" customFormat="1">
      <c r="A420" s="50"/>
      <c r="B420" s="30"/>
      <c r="C420" s="70"/>
      <c r="G420" s="30"/>
      <c r="H420" s="77"/>
      <c r="I420" s="77"/>
      <c r="J420" s="58"/>
      <c r="K420" s="58"/>
      <c r="L420" s="3"/>
    </row>
    <row r="421" spans="1:12" s="71" customFormat="1">
      <c r="A421" s="50"/>
      <c r="B421" s="30"/>
      <c r="C421" s="70"/>
      <c r="G421" s="30"/>
      <c r="H421" s="77"/>
      <c r="I421" s="77"/>
      <c r="J421" s="58"/>
      <c r="K421" s="58"/>
      <c r="L421" s="3"/>
    </row>
    <row r="422" spans="1:12" s="71" customFormat="1">
      <c r="A422" s="50"/>
      <c r="B422" s="30"/>
      <c r="C422" s="70"/>
      <c r="G422" s="30"/>
      <c r="H422" s="77"/>
      <c r="I422" s="77"/>
      <c r="J422" s="58"/>
      <c r="K422" s="58"/>
      <c r="L422" s="3"/>
    </row>
    <row r="423" spans="1:12" s="71" customFormat="1">
      <c r="A423" s="50"/>
      <c r="B423" s="30"/>
      <c r="C423" s="70"/>
      <c r="G423" s="30"/>
      <c r="H423" s="77"/>
      <c r="I423" s="77"/>
      <c r="J423" s="58"/>
      <c r="K423" s="58"/>
      <c r="L423" s="3"/>
    </row>
    <row r="424" spans="1:12" s="71" customFormat="1">
      <c r="A424" s="50"/>
      <c r="B424" s="30"/>
      <c r="C424" s="70"/>
      <c r="G424" s="30"/>
      <c r="H424" s="77"/>
      <c r="I424" s="77"/>
      <c r="J424" s="58"/>
      <c r="K424" s="58"/>
      <c r="L424" s="3"/>
    </row>
    <row r="425" spans="1:12" s="71" customFormat="1">
      <c r="A425" s="50"/>
      <c r="B425" s="30"/>
      <c r="C425" s="70"/>
      <c r="G425" s="30"/>
      <c r="H425" s="77"/>
      <c r="I425" s="77"/>
      <c r="J425" s="58"/>
      <c r="K425" s="58"/>
      <c r="L425" s="3"/>
    </row>
    <row r="426" spans="1:12" s="71" customFormat="1">
      <c r="A426" s="50"/>
      <c r="B426" s="30"/>
      <c r="C426" s="70"/>
      <c r="G426" s="30"/>
      <c r="H426" s="77"/>
      <c r="I426" s="77"/>
      <c r="J426" s="58"/>
      <c r="K426" s="58"/>
      <c r="L426" s="3"/>
    </row>
    <row r="427" spans="1:12" s="71" customFormat="1">
      <c r="A427" s="50"/>
      <c r="B427" s="30"/>
      <c r="C427" s="70"/>
      <c r="G427" s="30"/>
      <c r="H427" s="77"/>
      <c r="I427" s="77"/>
      <c r="J427" s="58"/>
      <c r="K427" s="58"/>
      <c r="L427" s="3"/>
    </row>
    <row r="428" spans="1:12" s="71" customFormat="1">
      <c r="A428" s="50"/>
      <c r="B428" s="30"/>
      <c r="C428" s="70"/>
      <c r="G428" s="30"/>
      <c r="H428" s="77"/>
      <c r="I428" s="77"/>
      <c r="J428" s="58"/>
      <c r="K428" s="58"/>
      <c r="L428" s="3"/>
    </row>
    <row r="429" spans="1:12" s="71" customFormat="1">
      <c r="A429" s="50"/>
      <c r="B429" s="30"/>
      <c r="C429" s="70"/>
      <c r="G429" s="30"/>
      <c r="H429" s="77"/>
      <c r="I429" s="77"/>
      <c r="J429" s="58"/>
      <c r="K429" s="58"/>
      <c r="L429" s="3"/>
    </row>
    <row r="430" spans="1:12" s="71" customFormat="1">
      <c r="A430" s="50"/>
      <c r="B430" s="30"/>
      <c r="C430" s="70"/>
      <c r="G430" s="30"/>
      <c r="H430" s="77"/>
      <c r="I430" s="77"/>
      <c r="J430" s="58"/>
      <c r="K430" s="58"/>
      <c r="L430" s="3"/>
    </row>
    <row r="431" spans="1:12" s="71" customFormat="1">
      <c r="A431" s="50"/>
      <c r="B431" s="30"/>
      <c r="C431" s="70"/>
      <c r="G431" s="30"/>
      <c r="H431" s="77"/>
      <c r="I431" s="77"/>
      <c r="J431" s="58"/>
      <c r="K431" s="58"/>
      <c r="L431" s="3"/>
    </row>
    <row r="432" spans="1:12" s="71" customFormat="1">
      <c r="A432" s="50"/>
      <c r="B432" s="30"/>
      <c r="C432" s="70"/>
      <c r="G432" s="30"/>
      <c r="H432" s="77"/>
      <c r="I432" s="77"/>
      <c r="J432" s="58"/>
      <c r="K432" s="58"/>
      <c r="L432" s="3"/>
    </row>
    <row r="433" spans="1:12" s="71" customFormat="1">
      <c r="A433" s="50"/>
      <c r="B433" s="30"/>
      <c r="C433" s="70"/>
      <c r="G433" s="30"/>
      <c r="H433" s="77"/>
      <c r="I433" s="77"/>
      <c r="J433" s="58"/>
      <c r="K433" s="58"/>
      <c r="L433" s="3"/>
    </row>
    <row r="434" spans="1:12" s="71" customFormat="1">
      <c r="A434" s="50"/>
      <c r="B434" s="30"/>
      <c r="C434" s="70"/>
      <c r="G434" s="30"/>
      <c r="H434" s="77"/>
      <c r="I434" s="77"/>
      <c r="J434" s="58"/>
      <c r="K434" s="58"/>
      <c r="L434" s="3"/>
    </row>
    <row r="435" spans="1:12" s="71" customFormat="1">
      <c r="A435" s="50"/>
      <c r="B435" s="30"/>
      <c r="C435" s="70"/>
      <c r="G435" s="30"/>
      <c r="H435" s="77"/>
      <c r="I435" s="77"/>
      <c r="J435" s="58"/>
      <c r="K435" s="58"/>
      <c r="L435" s="3"/>
    </row>
    <row r="436" spans="1:12" s="71" customFormat="1">
      <c r="A436" s="50"/>
      <c r="B436" s="30"/>
      <c r="C436" s="70"/>
      <c r="G436" s="30"/>
      <c r="H436" s="77"/>
      <c r="I436" s="77"/>
      <c r="J436" s="58"/>
      <c r="K436" s="58"/>
      <c r="L436" s="3"/>
    </row>
    <row r="437" spans="1:12" s="71" customFormat="1">
      <c r="A437" s="50"/>
      <c r="B437" s="30"/>
      <c r="C437" s="70"/>
      <c r="G437" s="30"/>
      <c r="H437" s="77"/>
      <c r="I437" s="77"/>
      <c r="J437" s="58"/>
      <c r="K437" s="58"/>
      <c r="L437" s="3"/>
    </row>
    <row r="438" spans="1:12" s="71" customFormat="1">
      <c r="A438" s="50"/>
      <c r="B438" s="30"/>
      <c r="C438" s="70"/>
      <c r="G438" s="30"/>
      <c r="H438" s="77"/>
      <c r="I438" s="77"/>
      <c r="J438" s="58"/>
      <c r="K438" s="58"/>
      <c r="L438" s="3"/>
    </row>
    <row r="439" spans="1:12" s="71" customFormat="1">
      <c r="A439" s="50"/>
      <c r="B439" s="30"/>
      <c r="C439" s="70"/>
      <c r="G439" s="30"/>
      <c r="H439" s="77"/>
      <c r="I439" s="77"/>
      <c r="J439" s="58"/>
      <c r="K439" s="58"/>
      <c r="L439" s="3"/>
    </row>
    <row r="440" spans="1:12" s="71" customFormat="1">
      <c r="A440" s="50"/>
      <c r="B440" s="30"/>
      <c r="C440" s="70"/>
      <c r="G440" s="30"/>
      <c r="H440" s="77"/>
      <c r="I440" s="77"/>
      <c r="J440" s="58"/>
      <c r="K440" s="58"/>
      <c r="L440" s="3"/>
    </row>
    <row r="441" spans="1:12" s="71" customFormat="1">
      <c r="A441" s="50"/>
      <c r="B441" s="30"/>
      <c r="C441" s="70"/>
      <c r="G441" s="30"/>
      <c r="H441" s="77"/>
      <c r="I441" s="77"/>
      <c r="J441" s="58"/>
      <c r="K441" s="58"/>
      <c r="L441" s="3"/>
    </row>
    <row r="442" spans="1:12" s="71" customFormat="1">
      <c r="A442" s="50"/>
      <c r="B442" s="30"/>
      <c r="C442" s="70"/>
      <c r="G442" s="30"/>
      <c r="H442" s="77"/>
      <c r="I442" s="77"/>
      <c r="J442" s="58"/>
      <c r="K442" s="58"/>
      <c r="L442" s="3"/>
    </row>
    <row r="443" spans="1:12" s="71" customFormat="1">
      <c r="A443" s="50"/>
      <c r="B443" s="30"/>
      <c r="C443" s="70"/>
      <c r="G443" s="30"/>
      <c r="H443" s="77"/>
      <c r="I443" s="77"/>
      <c r="J443" s="58"/>
      <c r="K443" s="58"/>
      <c r="L443" s="3"/>
    </row>
    <row r="444" spans="1:12" s="71" customFormat="1">
      <c r="A444" s="50"/>
      <c r="B444" s="30"/>
      <c r="C444" s="70"/>
      <c r="G444" s="30"/>
      <c r="H444" s="77"/>
      <c r="I444" s="77"/>
      <c r="J444" s="58"/>
      <c r="K444" s="58"/>
      <c r="L444" s="3"/>
    </row>
    <row r="445" spans="1:12" s="71" customFormat="1">
      <c r="A445" s="50"/>
      <c r="B445" s="30"/>
      <c r="C445" s="70"/>
      <c r="G445" s="30"/>
      <c r="H445" s="77"/>
      <c r="I445" s="77"/>
      <c r="J445" s="58"/>
      <c r="K445" s="58"/>
      <c r="L445" s="3"/>
    </row>
    <row r="446" spans="1:12" s="71" customFormat="1">
      <c r="A446" s="50"/>
      <c r="B446" s="30"/>
      <c r="C446" s="70"/>
      <c r="G446" s="30"/>
      <c r="H446" s="77"/>
      <c r="I446" s="77"/>
      <c r="J446" s="58"/>
      <c r="K446" s="58"/>
      <c r="L446" s="3"/>
    </row>
    <row r="447" spans="1:12" s="71" customFormat="1">
      <c r="A447" s="50"/>
      <c r="B447" s="30"/>
      <c r="C447" s="70"/>
      <c r="G447" s="30"/>
      <c r="H447" s="77"/>
      <c r="I447" s="77"/>
      <c r="J447" s="58"/>
      <c r="K447" s="58"/>
      <c r="L447" s="3"/>
    </row>
    <row r="448" spans="1:12" s="71" customFormat="1">
      <c r="A448" s="50"/>
      <c r="B448" s="30"/>
      <c r="C448" s="70"/>
      <c r="G448" s="30"/>
      <c r="H448" s="77"/>
      <c r="I448" s="77"/>
      <c r="J448" s="58"/>
      <c r="K448" s="58"/>
      <c r="L448" s="3"/>
    </row>
    <row r="449" spans="1:12" s="71" customFormat="1">
      <c r="A449" s="50"/>
      <c r="B449" s="30"/>
      <c r="C449" s="70"/>
      <c r="G449" s="30"/>
      <c r="H449" s="77"/>
      <c r="I449" s="77"/>
      <c r="J449" s="58"/>
      <c r="K449" s="58"/>
      <c r="L449" s="3"/>
    </row>
    <row r="450" spans="1:12" s="71" customFormat="1">
      <c r="A450" s="50"/>
      <c r="B450" s="30"/>
      <c r="C450" s="70"/>
      <c r="G450" s="30"/>
      <c r="H450" s="77"/>
      <c r="I450" s="77"/>
      <c r="J450" s="58"/>
      <c r="K450" s="58"/>
      <c r="L450" s="3"/>
    </row>
    <row r="451" spans="1:12" s="71" customFormat="1">
      <c r="A451" s="50"/>
      <c r="B451" s="30"/>
      <c r="C451" s="70"/>
      <c r="G451" s="30"/>
      <c r="H451" s="77"/>
      <c r="I451" s="77"/>
      <c r="J451" s="58"/>
      <c r="K451" s="58"/>
      <c r="L451" s="3"/>
    </row>
    <row r="452" spans="1:12" s="71" customFormat="1">
      <c r="A452" s="50"/>
      <c r="B452" s="30"/>
      <c r="C452" s="70"/>
      <c r="G452" s="30"/>
      <c r="H452" s="77"/>
      <c r="I452" s="77"/>
      <c r="J452" s="58"/>
      <c r="K452" s="58"/>
      <c r="L452" s="3"/>
    </row>
    <row r="453" spans="1:12" s="71" customFormat="1">
      <c r="A453" s="50"/>
      <c r="B453" s="30"/>
      <c r="C453" s="70"/>
      <c r="G453" s="30"/>
      <c r="H453" s="77"/>
      <c r="I453" s="77"/>
      <c r="J453" s="58"/>
      <c r="K453" s="58"/>
      <c r="L453" s="3"/>
    </row>
    <row r="454" spans="1:12" s="71" customFormat="1">
      <c r="A454" s="50"/>
      <c r="B454" s="30"/>
      <c r="C454" s="70"/>
      <c r="G454" s="30"/>
      <c r="H454" s="77"/>
      <c r="I454" s="77"/>
      <c r="J454" s="58"/>
      <c r="K454" s="58"/>
      <c r="L454" s="3"/>
    </row>
    <row r="455" spans="1:12" s="71" customFormat="1">
      <c r="A455" s="50"/>
      <c r="B455" s="30"/>
      <c r="C455" s="70"/>
      <c r="G455" s="30"/>
      <c r="H455" s="77"/>
      <c r="I455" s="77"/>
      <c r="J455" s="58"/>
      <c r="K455" s="58"/>
      <c r="L455" s="3"/>
    </row>
    <row r="456" spans="1:12" s="71" customFormat="1">
      <c r="A456" s="50"/>
      <c r="B456" s="30"/>
      <c r="C456" s="70"/>
      <c r="G456" s="30"/>
      <c r="H456" s="77"/>
      <c r="I456" s="77"/>
      <c r="J456" s="58"/>
      <c r="K456" s="58"/>
      <c r="L456" s="3"/>
    </row>
    <row r="457" spans="1:12" s="71" customFormat="1">
      <c r="A457" s="50"/>
      <c r="B457" s="30"/>
      <c r="C457" s="70"/>
      <c r="G457" s="30"/>
      <c r="H457" s="77"/>
      <c r="I457" s="77"/>
      <c r="J457" s="58"/>
      <c r="K457" s="58"/>
      <c r="L457" s="3"/>
    </row>
    <row r="458" spans="1:12" s="71" customFormat="1">
      <c r="A458" s="50"/>
      <c r="B458" s="30"/>
      <c r="C458" s="70"/>
      <c r="G458" s="30"/>
      <c r="H458" s="77"/>
      <c r="I458" s="77"/>
      <c r="J458" s="58"/>
      <c r="K458" s="58"/>
      <c r="L458" s="3"/>
    </row>
    <row r="459" spans="1:12" s="71" customFormat="1">
      <c r="A459" s="50"/>
      <c r="B459" s="30"/>
      <c r="C459" s="70"/>
      <c r="G459" s="30"/>
      <c r="H459" s="77"/>
      <c r="I459" s="77"/>
      <c r="J459" s="58"/>
      <c r="K459" s="58"/>
      <c r="L459" s="3"/>
    </row>
    <row r="460" spans="1:12" s="71" customFormat="1">
      <c r="A460" s="50"/>
      <c r="B460" s="30"/>
      <c r="C460" s="70"/>
      <c r="G460" s="30"/>
      <c r="H460" s="77"/>
      <c r="I460" s="77"/>
      <c r="J460" s="58"/>
      <c r="K460" s="58"/>
      <c r="L460" s="3"/>
    </row>
    <row r="461" spans="1:12" s="71" customFormat="1">
      <c r="A461" s="50"/>
      <c r="B461" s="30"/>
      <c r="C461" s="70"/>
      <c r="G461" s="30"/>
      <c r="H461" s="77"/>
      <c r="I461" s="77"/>
      <c r="J461" s="58"/>
      <c r="K461" s="58"/>
      <c r="L461" s="3"/>
    </row>
    <row r="462" spans="1:12" s="71" customFormat="1">
      <c r="A462" s="50"/>
      <c r="B462" s="30"/>
      <c r="C462" s="70"/>
      <c r="G462" s="30"/>
      <c r="H462" s="77"/>
      <c r="I462" s="77"/>
      <c r="J462" s="58"/>
      <c r="K462" s="58"/>
      <c r="L462" s="3"/>
    </row>
    <row r="463" spans="1:12" s="71" customFormat="1">
      <c r="A463" s="50"/>
      <c r="B463" s="30"/>
      <c r="C463" s="70"/>
      <c r="G463" s="30"/>
      <c r="H463" s="77"/>
      <c r="I463" s="77"/>
      <c r="J463" s="58"/>
      <c r="K463" s="58"/>
      <c r="L463" s="3"/>
    </row>
    <row r="464" spans="1:12" s="71" customFormat="1">
      <c r="A464" s="50"/>
      <c r="B464" s="30"/>
      <c r="C464" s="70"/>
      <c r="G464" s="30"/>
      <c r="H464" s="77"/>
      <c r="I464" s="77"/>
      <c r="J464" s="58"/>
      <c r="K464" s="58"/>
      <c r="L464" s="3"/>
    </row>
    <row r="465" spans="1:12" s="71" customFormat="1">
      <c r="A465" s="50"/>
      <c r="B465" s="30"/>
      <c r="C465" s="70"/>
      <c r="G465" s="30"/>
      <c r="H465" s="77"/>
      <c r="I465" s="77"/>
      <c r="J465" s="58"/>
      <c r="K465" s="58"/>
      <c r="L465" s="3"/>
    </row>
    <row r="466" spans="1:12" s="71" customFormat="1">
      <c r="A466" s="50"/>
      <c r="B466" s="30"/>
      <c r="C466" s="70"/>
      <c r="G466" s="30"/>
      <c r="H466" s="77"/>
      <c r="I466" s="77"/>
      <c r="J466" s="58"/>
      <c r="K466" s="58"/>
      <c r="L466" s="3"/>
    </row>
    <row r="467" spans="1:12" s="71" customFormat="1">
      <c r="A467" s="50"/>
      <c r="B467" s="30"/>
      <c r="C467" s="70"/>
      <c r="G467" s="30"/>
      <c r="H467" s="77"/>
      <c r="I467" s="77"/>
      <c r="J467" s="58"/>
      <c r="K467" s="58"/>
      <c r="L467" s="3"/>
    </row>
    <row r="468" spans="1:12" s="71" customFormat="1">
      <c r="A468" s="50"/>
      <c r="B468" s="30"/>
      <c r="C468" s="70"/>
      <c r="G468" s="30"/>
      <c r="H468" s="77"/>
      <c r="I468" s="77"/>
      <c r="J468" s="58"/>
      <c r="K468" s="58"/>
      <c r="L468" s="3"/>
    </row>
    <row r="469" spans="1:12" s="71" customFormat="1">
      <c r="A469" s="50"/>
      <c r="B469" s="30"/>
      <c r="C469" s="70"/>
      <c r="G469" s="30"/>
      <c r="H469" s="77"/>
      <c r="I469" s="77"/>
      <c r="J469" s="58"/>
      <c r="K469" s="58"/>
      <c r="L469" s="3"/>
    </row>
    <row r="470" spans="1:12" s="71" customFormat="1">
      <c r="A470" s="50"/>
      <c r="B470" s="30"/>
      <c r="C470" s="70"/>
      <c r="G470" s="30"/>
      <c r="H470" s="77"/>
      <c r="I470" s="77"/>
      <c r="J470" s="58"/>
      <c r="K470" s="58"/>
      <c r="L470" s="3"/>
    </row>
    <row r="471" spans="1:12" s="71" customFormat="1">
      <c r="A471" s="50"/>
      <c r="B471" s="30"/>
      <c r="C471" s="70"/>
      <c r="G471" s="30"/>
      <c r="H471" s="77"/>
      <c r="I471" s="77"/>
      <c r="J471" s="58"/>
      <c r="K471" s="58"/>
      <c r="L471" s="3"/>
    </row>
    <row r="472" spans="1:12" s="71" customFormat="1">
      <c r="A472" s="50"/>
      <c r="B472" s="30"/>
      <c r="C472" s="70"/>
      <c r="G472" s="30"/>
      <c r="H472" s="77"/>
      <c r="I472" s="77"/>
      <c r="J472" s="58"/>
      <c r="K472" s="58"/>
      <c r="L472" s="3"/>
    </row>
    <row r="473" spans="1:12" s="71" customFormat="1">
      <c r="A473" s="50"/>
      <c r="B473" s="30"/>
      <c r="C473" s="70"/>
      <c r="G473" s="30"/>
      <c r="H473" s="77"/>
      <c r="I473" s="77"/>
      <c r="J473" s="58"/>
      <c r="K473" s="58"/>
      <c r="L473" s="3"/>
    </row>
    <row r="474" spans="1:12" s="71" customFormat="1">
      <c r="A474" s="50"/>
      <c r="B474" s="30"/>
      <c r="C474" s="70"/>
      <c r="G474" s="30"/>
      <c r="H474" s="77"/>
      <c r="I474" s="77"/>
      <c r="J474" s="58"/>
      <c r="K474" s="58"/>
      <c r="L474" s="3"/>
    </row>
    <row r="475" spans="1:12" s="71" customFormat="1">
      <c r="A475" s="50"/>
      <c r="B475" s="30"/>
      <c r="C475" s="70"/>
      <c r="G475" s="30"/>
      <c r="H475" s="77"/>
      <c r="I475" s="77"/>
      <c r="J475" s="58"/>
      <c r="K475" s="58"/>
      <c r="L475" s="3"/>
    </row>
    <row r="476" spans="1:12" s="71" customFormat="1">
      <c r="A476" s="50"/>
      <c r="B476" s="30"/>
      <c r="C476" s="70"/>
      <c r="G476" s="30"/>
      <c r="H476" s="77"/>
      <c r="I476" s="77"/>
      <c r="J476" s="58"/>
      <c r="K476" s="58"/>
      <c r="L476" s="3"/>
    </row>
    <row r="477" spans="1:12" s="71" customFormat="1">
      <c r="A477" s="50"/>
      <c r="B477" s="30"/>
      <c r="C477" s="70"/>
      <c r="G477" s="30"/>
      <c r="H477" s="77"/>
      <c r="I477" s="77"/>
      <c r="J477" s="58"/>
      <c r="K477" s="58"/>
      <c r="L477" s="3"/>
    </row>
    <row r="478" spans="1:12" s="71" customFormat="1">
      <c r="A478" s="50"/>
      <c r="B478" s="30"/>
      <c r="C478" s="70"/>
      <c r="G478" s="30"/>
      <c r="H478" s="77"/>
      <c r="I478" s="77"/>
      <c r="J478" s="58"/>
      <c r="K478" s="58"/>
      <c r="L478" s="3"/>
    </row>
    <row r="479" spans="1:12" s="71" customFormat="1">
      <c r="A479" s="50"/>
      <c r="B479" s="30"/>
      <c r="C479" s="70"/>
      <c r="G479" s="30"/>
      <c r="H479" s="77"/>
      <c r="I479" s="77"/>
      <c r="J479" s="58"/>
      <c r="K479" s="58"/>
      <c r="L479" s="3"/>
    </row>
    <row r="480" spans="1:12" s="71" customFormat="1">
      <c r="A480" s="50"/>
      <c r="B480" s="30"/>
      <c r="C480" s="70"/>
      <c r="G480" s="30"/>
      <c r="H480" s="77"/>
      <c r="I480" s="77"/>
      <c r="J480" s="58"/>
      <c r="K480" s="58"/>
      <c r="L480" s="3"/>
    </row>
    <row r="481" spans="1:12" s="71" customFormat="1">
      <c r="A481" s="50"/>
      <c r="B481" s="30"/>
      <c r="C481" s="70"/>
      <c r="G481" s="30"/>
      <c r="H481" s="77"/>
      <c r="I481" s="77"/>
      <c r="J481" s="58"/>
      <c r="K481" s="58"/>
      <c r="L481" s="3"/>
    </row>
    <row r="482" spans="1:12" s="71" customFormat="1">
      <c r="A482" s="50"/>
      <c r="B482" s="30"/>
      <c r="C482" s="70"/>
      <c r="G482" s="30"/>
      <c r="H482" s="77"/>
      <c r="I482" s="77"/>
      <c r="J482" s="58"/>
      <c r="K482" s="58"/>
      <c r="L482" s="3"/>
    </row>
    <row r="483" spans="1:12" s="71" customFormat="1">
      <c r="A483" s="50"/>
      <c r="B483" s="30"/>
      <c r="C483" s="70"/>
      <c r="G483" s="30"/>
      <c r="H483" s="77"/>
      <c r="I483" s="77"/>
      <c r="J483" s="58"/>
      <c r="K483" s="58"/>
      <c r="L483" s="3"/>
    </row>
    <row r="484" spans="1:12" s="71" customFormat="1">
      <c r="A484" s="50"/>
      <c r="B484" s="30"/>
      <c r="C484" s="70"/>
      <c r="G484" s="30"/>
      <c r="H484" s="77"/>
      <c r="I484" s="77"/>
      <c r="J484" s="58"/>
      <c r="K484" s="58"/>
      <c r="L484" s="3"/>
    </row>
    <row r="485" spans="1:12" s="71" customFormat="1">
      <c r="A485" s="50"/>
      <c r="B485" s="30"/>
      <c r="C485" s="70"/>
      <c r="G485" s="30"/>
      <c r="H485" s="77"/>
      <c r="I485" s="77"/>
      <c r="J485" s="58"/>
      <c r="K485" s="58"/>
      <c r="L485" s="3"/>
    </row>
    <row r="486" spans="1:12" s="71" customFormat="1">
      <c r="A486" s="50"/>
      <c r="B486" s="30"/>
      <c r="C486" s="70"/>
      <c r="G486" s="30"/>
      <c r="H486" s="77"/>
      <c r="I486" s="77"/>
      <c r="J486" s="58"/>
      <c r="K486" s="58"/>
      <c r="L486" s="3"/>
    </row>
    <row r="487" spans="1:12" s="71" customFormat="1">
      <c r="A487" s="50"/>
      <c r="B487" s="30"/>
      <c r="C487" s="70"/>
      <c r="G487" s="30"/>
      <c r="H487" s="77"/>
      <c r="I487" s="77"/>
      <c r="J487" s="58"/>
      <c r="K487" s="58"/>
      <c r="L487" s="3"/>
    </row>
    <row r="488" spans="1:12" s="71" customFormat="1">
      <c r="A488" s="50"/>
      <c r="B488" s="30"/>
      <c r="C488" s="70"/>
      <c r="G488" s="30"/>
      <c r="H488" s="77"/>
      <c r="I488" s="77"/>
      <c r="J488" s="58"/>
      <c r="K488" s="58"/>
      <c r="L488" s="3"/>
    </row>
    <row r="489" spans="1:12" s="71" customFormat="1">
      <c r="A489" s="50"/>
      <c r="B489" s="30"/>
      <c r="C489" s="70"/>
      <c r="G489" s="30"/>
      <c r="H489" s="77"/>
      <c r="I489" s="77"/>
      <c r="J489" s="58"/>
      <c r="K489" s="58"/>
      <c r="L489" s="3"/>
    </row>
    <row r="490" spans="1:12" s="71" customFormat="1">
      <c r="A490" s="50"/>
      <c r="B490" s="30"/>
      <c r="C490" s="70"/>
      <c r="G490" s="30"/>
      <c r="H490" s="77"/>
      <c r="I490" s="77"/>
      <c r="J490" s="58"/>
      <c r="K490" s="58"/>
      <c r="L490" s="3"/>
    </row>
    <row r="491" spans="1:12" s="71" customFormat="1">
      <c r="A491" s="50"/>
      <c r="B491" s="30"/>
      <c r="C491" s="70"/>
      <c r="G491" s="30"/>
      <c r="H491" s="77"/>
      <c r="I491" s="77"/>
      <c r="J491" s="58"/>
      <c r="K491" s="58"/>
      <c r="L491" s="3"/>
    </row>
    <row r="492" spans="1:12" s="71" customFormat="1">
      <c r="A492" s="50"/>
      <c r="B492" s="30"/>
      <c r="C492" s="70"/>
      <c r="G492" s="30"/>
      <c r="H492" s="77"/>
      <c r="I492" s="77"/>
      <c r="J492" s="58"/>
      <c r="K492" s="58"/>
      <c r="L492" s="3"/>
    </row>
    <row r="493" spans="1:12" s="71" customFormat="1">
      <c r="A493" s="50"/>
      <c r="B493" s="30"/>
      <c r="C493" s="70"/>
      <c r="G493" s="30"/>
      <c r="H493" s="77"/>
      <c r="I493" s="77"/>
      <c r="J493" s="58"/>
      <c r="K493" s="58"/>
      <c r="L493" s="3"/>
    </row>
    <row r="494" spans="1:12" s="71" customFormat="1">
      <c r="A494" s="50"/>
      <c r="B494" s="30"/>
      <c r="C494" s="70"/>
      <c r="G494" s="30"/>
      <c r="H494" s="77"/>
      <c r="I494" s="77"/>
      <c r="J494" s="58"/>
      <c r="K494" s="58"/>
      <c r="L494" s="3"/>
    </row>
    <row r="495" spans="1:12" s="71" customFormat="1">
      <c r="A495" s="50"/>
      <c r="B495" s="30"/>
      <c r="C495" s="70"/>
      <c r="G495" s="30"/>
      <c r="H495" s="77"/>
      <c r="I495" s="77"/>
      <c r="J495" s="58"/>
      <c r="K495" s="58"/>
      <c r="L495" s="3"/>
    </row>
    <row r="496" spans="1:12" s="71" customFormat="1">
      <c r="A496" s="50"/>
      <c r="B496" s="30"/>
      <c r="C496" s="70"/>
      <c r="G496" s="30"/>
      <c r="H496" s="77"/>
      <c r="I496" s="77"/>
      <c r="J496" s="58"/>
      <c r="K496" s="58"/>
      <c r="L496" s="3"/>
    </row>
    <row r="497" spans="1:12" s="71" customFormat="1">
      <c r="A497" s="50"/>
      <c r="B497" s="30"/>
      <c r="C497" s="70"/>
      <c r="G497" s="30"/>
      <c r="H497" s="77"/>
      <c r="I497" s="77"/>
      <c r="J497" s="58"/>
      <c r="K497" s="58"/>
      <c r="L497" s="3"/>
    </row>
    <row r="498" spans="1:12" s="71" customFormat="1">
      <c r="A498" s="50"/>
      <c r="B498" s="30"/>
      <c r="C498" s="70"/>
      <c r="G498" s="30"/>
      <c r="H498" s="77"/>
      <c r="I498" s="77"/>
      <c r="J498" s="58"/>
      <c r="K498" s="58"/>
      <c r="L498" s="3"/>
    </row>
    <row r="499" spans="1:12" s="71" customFormat="1">
      <c r="A499" s="50"/>
      <c r="B499" s="30"/>
      <c r="C499" s="70"/>
      <c r="G499" s="30"/>
      <c r="H499" s="77"/>
      <c r="I499" s="77"/>
      <c r="J499" s="58"/>
      <c r="K499" s="58"/>
      <c r="L499" s="3"/>
    </row>
    <row r="500" spans="1:12" s="71" customFormat="1">
      <c r="A500" s="50"/>
      <c r="B500" s="30"/>
      <c r="C500" s="70"/>
      <c r="G500" s="30"/>
      <c r="H500" s="77"/>
      <c r="I500" s="77"/>
      <c r="J500" s="58"/>
      <c r="K500" s="58"/>
      <c r="L500" s="3"/>
    </row>
    <row r="501" spans="1:12" s="71" customFormat="1">
      <c r="A501" s="50"/>
      <c r="B501" s="30"/>
      <c r="C501" s="70"/>
      <c r="G501" s="30"/>
      <c r="H501" s="77"/>
      <c r="I501" s="77"/>
      <c r="J501" s="58"/>
      <c r="K501" s="58"/>
      <c r="L501" s="3"/>
    </row>
    <row r="502" spans="1:12" s="71" customFormat="1">
      <c r="A502" s="50"/>
      <c r="B502" s="30"/>
      <c r="C502" s="70"/>
      <c r="G502" s="30"/>
      <c r="H502" s="77"/>
      <c r="I502" s="77"/>
      <c r="J502" s="58"/>
      <c r="K502" s="58"/>
      <c r="L502" s="3"/>
    </row>
    <row r="503" spans="1:12" s="71" customFormat="1">
      <c r="A503" s="50"/>
      <c r="B503" s="30"/>
      <c r="C503" s="70"/>
      <c r="G503" s="30"/>
      <c r="H503" s="77"/>
      <c r="I503" s="77"/>
      <c r="J503" s="58"/>
      <c r="K503" s="58"/>
      <c r="L503" s="3"/>
    </row>
    <row r="504" spans="1:12" s="71" customFormat="1">
      <c r="A504" s="50"/>
      <c r="B504" s="30"/>
      <c r="C504" s="70"/>
      <c r="G504" s="30"/>
      <c r="H504" s="77"/>
      <c r="I504" s="77"/>
      <c r="J504" s="58"/>
      <c r="K504" s="58"/>
      <c r="L504" s="3"/>
    </row>
    <row r="505" spans="1:12" s="71" customFormat="1">
      <c r="A505" s="50"/>
      <c r="B505" s="30"/>
      <c r="C505" s="70"/>
      <c r="G505" s="30"/>
      <c r="H505" s="77"/>
      <c r="I505" s="77"/>
      <c r="J505" s="58"/>
      <c r="K505" s="58"/>
      <c r="L505" s="3"/>
    </row>
    <row r="506" spans="1:12" s="71" customFormat="1">
      <c r="A506" s="50"/>
      <c r="B506" s="30"/>
      <c r="C506" s="70"/>
      <c r="G506" s="30"/>
      <c r="H506" s="77"/>
      <c r="I506" s="77"/>
      <c r="J506" s="58"/>
      <c r="K506" s="58"/>
      <c r="L506" s="3"/>
    </row>
    <row r="507" spans="1:12" s="71" customFormat="1">
      <c r="A507" s="50"/>
      <c r="B507" s="30"/>
      <c r="C507" s="70"/>
      <c r="G507" s="30"/>
      <c r="H507" s="77"/>
      <c r="I507" s="77"/>
      <c r="J507" s="58"/>
      <c r="K507" s="58"/>
      <c r="L507" s="3"/>
    </row>
    <row r="508" spans="1:12" s="71" customFormat="1">
      <c r="A508" s="50"/>
      <c r="B508" s="30"/>
      <c r="C508" s="70"/>
      <c r="G508" s="30"/>
      <c r="H508" s="77"/>
      <c r="I508" s="77"/>
      <c r="J508" s="58"/>
      <c r="K508" s="58"/>
      <c r="L508" s="3"/>
    </row>
    <row r="509" spans="1:12" s="71" customFormat="1">
      <c r="A509" s="50"/>
      <c r="B509" s="30"/>
      <c r="C509" s="70"/>
      <c r="G509" s="30"/>
      <c r="H509" s="77"/>
      <c r="I509" s="77"/>
      <c r="J509" s="58"/>
      <c r="K509" s="58"/>
      <c r="L509" s="3"/>
    </row>
    <row r="510" spans="1:12" s="71" customFormat="1">
      <c r="A510" s="50"/>
      <c r="B510" s="30"/>
      <c r="C510" s="70"/>
      <c r="G510" s="30"/>
      <c r="H510" s="77"/>
      <c r="I510" s="77"/>
      <c r="J510" s="58"/>
      <c r="K510" s="58"/>
      <c r="L510" s="3"/>
    </row>
    <row r="511" spans="1:12" s="71" customFormat="1">
      <c r="A511" s="50"/>
      <c r="B511" s="30"/>
      <c r="C511" s="70"/>
      <c r="G511" s="30"/>
      <c r="H511" s="77"/>
      <c r="I511" s="77"/>
      <c r="J511" s="58"/>
      <c r="K511" s="58"/>
      <c r="L511" s="3"/>
    </row>
    <row r="512" spans="1:12" s="71" customFormat="1">
      <c r="A512" s="50"/>
      <c r="B512" s="30"/>
      <c r="C512" s="70"/>
      <c r="G512" s="30"/>
      <c r="H512" s="77"/>
      <c r="I512" s="77"/>
      <c r="J512" s="58"/>
      <c r="K512" s="58"/>
      <c r="L512" s="3"/>
    </row>
    <row r="513" spans="1:12" s="71" customFormat="1">
      <c r="A513" s="50"/>
      <c r="B513" s="30"/>
      <c r="C513" s="70"/>
      <c r="G513" s="30"/>
      <c r="H513" s="77"/>
      <c r="I513" s="77"/>
      <c r="J513" s="58"/>
      <c r="K513" s="58"/>
      <c r="L513" s="3"/>
    </row>
    <row r="514" spans="1:12" s="71" customFormat="1">
      <c r="A514" s="50"/>
      <c r="B514" s="30"/>
      <c r="C514" s="70"/>
      <c r="G514" s="30"/>
      <c r="H514" s="77"/>
      <c r="I514" s="77"/>
      <c r="J514" s="58"/>
      <c r="K514" s="58"/>
      <c r="L514" s="3"/>
    </row>
    <row r="515" spans="1:12" s="71" customFormat="1">
      <c r="A515" s="50"/>
      <c r="B515" s="30"/>
      <c r="C515" s="70"/>
      <c r="G515" s="30"/>
      <c r="H515" s="77"/>
      <c r="I515" s="77"/>
      <c r="J515" s="58"/>
      <c r="K515" s="58"/>
      <c r="L515" s="3"/>
    </row>
    <row r="516" spans="1:12" s="71" customFormat="1">
      <c r="A516" s="50"/>
      <c r="B516" s="30"/>
      <c r="C516" s="70"/>
      <c r="G516" s="30"/>
      <c r="H516" s="77"/>
      <c r="I516" s="77"/>
      <c r="J516" s="58"/>
      <c r="K516" s="58"/>
      <c r="L516" s="3"/>
    </row>
    <row r="517" spans="1:12" s="71" customFormat="1">
      <c r="A517" s="50"/>
      <c r="B517" s="30"/>
      <c r="C517" s="70"/>
      <c r="G517" s="30"/>
      <c r="H517" s="77"/>
      <c r="I517" s="77"/>
      <c r="J517" s="58"/>
      <c r="K517" s="58"/>
      <c r="L517" s="3"/>
    </row>
    <row r="518" spans="1:12" s="71" customFormat="1">
      <c r="A518" s="50"/>
      <c r="B518" s="30"/>
      <c r="C518" s="70"/>
      <c r="G518" s="30"/>
      <c r="H518" s="77"/>
      <c r="I518" s="77"/>
      <c r="J518" s="58"/>
      <c r="K518" s="58"/>
      <c r="L518" s="3"/>
    </row>
    <row r="519" spans="1:12" s="71" customFormat="1">
      <c r="A519" s="50"/>
      <c r="B519" s="30"/>
      <c r="C519" s="70"/>
      <c r="G519" s="30"/>
      <c r="H519" s="77"/>
      <c r="I519" s="77"/>
      <c r="J519" s="58"/>
      <c r="K519" s="58"/>
      <c r="L519" s="3"/>
    </row>
    <row r="520" spans="1:12" s="71" customFormat="1">
      <c r="A520" s="50"/>
      <c r="B520" s="30"/>
      <c r="C520" s="70"/>
      <c r="G520" s="30"/>
      <c r="H520" s="77"/>
      <c r="I520" s="77"/>
      <c r="J520" s="58"/>
      <c r="K520" s="58"/>
      <c r="L520" s="3"/>
    </row>
    <row r="521" spans="1:12" s="71" customFormat="1">
      <c r="A521" s="50"/>
      <c r="B521" s="30"/>
      <c r="C521" s="70"/>
      <c r="G521" s="30"/>
      <c r="H521" s="77"/>
      <c r="I521" s="77"/>
      <c r="J521" s="58"/>
      <c r="K521" s="58"/>
      <c r="L521" s="3"/>
    </row>
    <row r="522" spans="1:12" s="71" customFormat="1">
      <c r="A522" s="50"/>
      <c r="B522" s="30"/>
      <c r="C522" s="70"/>
      <c r="G522" s="30"/>
      <c r="H522" s="77"/>
      <c r="I522" s="77"/>
      <c r="J522" s="58"/>
      <c r="K522" s="58"/>
      <c r="L522" s="3"/>
    </row>
    <row r="523" spans="1:12" s="71" customFormat="1">
      <c r="A523" s="50"/>
      <c r="B523" s="30"/>
      <c r="C523" s="70"/>
      <c r="G523" s="30"/>
      <c r="H523" s="77"/>
      <c r="I523" s="77"/>
      <c r="J523" s="58"/>
      <c r="K523" s="58"/>
      <c r="L523" s="3"/>
    </row>
    <row r="524" spans="1:12" s="71" customFormat="1">
      <c r="A524" s="50"/>
      <c r="B524" s="30"/>
      <c r="C524" s="70"/>
      <c r="G524" s="30"/>
      <c r="H524" s="77"/>
      <c r="I524" s="77"/>
      <c r="J524" s="58"/>
      <c r="K524" s="58"/>
      <c r="L524" s="3"/>
    </row>
    <row r="525" spans="1:12" s="71" customFormat="1">
      <c r="A525" s="50"/>
      <c r="B525" s="30"/>
      <c r="C525" s="70"/>
      <c r="G525" s="30"/>
      <c r="H525" s="77"/>
      <c r="I525" s="77"/>
      <c r="J525" s="58"/>
      <c r="K525" s="58"/>
      <c r="L525" s="3"/>
    </row>
    <row r="526" spans="1:12" s="71" customFormat="1">
      <c r="A526" s="50"/>
      <c r="B526" s="30"/>
      <c r="C526" s="70"/>
      <c r="G526" s="30"/>
      <c r="H526" s="77"/>
      <c r="I526" s="77"/>
      <c r="J526" s="58"/>
      <c r="K526" s="58"/>
      <c r="L526" s="3"/>
    </row>
    <row r="527" spans="1:12" s="71" customFormat="1">
      <c r="A527" s="50"/>
      <c r="B527" s="30"/>
      <c r="C527" s="70"/>
      <c r="G527" s="30"/>
      <c r="H527" s="77"/>
      <c r="I527" s="77"/>
      <c r="J527" s="58"/>
      <c r="K527" s="58"/>
      <c r="L527" s="3"/>
    </row>
    <row r="528" spans="1:12" s="71" customFormat="1">
      <c r="A528" s="50"/>
      <c r="B528" s="30"/>
      <c r="C528" s="70"/>
      <c r="G528" s="30"/>
      <c r="H528" s="77"/>
      <c r="I528" s="77"/>
      <c r="J528" s="58"/>
      <c r="K528" s="58"/>
      <c r="L528" s="3"/>
    </row>
    <row r="529" spans="1:12" s="71" customFormat="1">
      <c r="A529" s="50"/>
      <c r="B529" s="30"/>
      <c r="C529" s="70"/>
      <c r="G529" s="30"/>
      <c r="H529" s="77"/>
      <c r="I529" s="77"/>
      <c r="J529" s="58"/>
      <c r="K529" s="58"/>
      <c r="L529" s="3"/>
    </row>
    <row r="530" spans="1:12" s="71" customFormat="1">
      <c r="A530" s="50"/>
      <c r="B530" s="30"/>
      <c r="C530" s="70"/>
      <c r="G530" s="30"/>
      <c r="H530" s="77"/>
      <c r="I530" s="77"/>
      <c r="J530" s="58"/>
      <c r="K530" s="58"/>
      <c r="L530" s="3"/>
    </row>
    <row r="531" spans="1:12" s="71" customFormat="1">
      <c r="A531" s="50"/>
      <c r="B531" s="30"/>
      <c r="C531" s="70"/>
      <c r="G531" s="30"/>
      <c r="H531" s="77"/>
      <c r="I531" s="77"/>
      <c r="J531" s="58"/>
      <c r="K531" s="58"/>
      <c r="L531" s="3"/>
    </row>
    <row r="532" spans="1:12" s="71" customFormat="1">
      <c r="A532" s="50"/>
      <c r="B532" s="30"/>
      <c r="C532" s="70"/>
      <c r="G532" s="30"/>
      <c r="H532" s="77"/>
      <c r="I532" s="77"/>
      <c r="J532" s="58"/>
      <c r="K532" s="58"/>
      <c r="L532" s="3"/>
    </row>
    <row r="533" spans="1:12" s="71" customFormat="1">
      <c r="A533" s="87"/>
      <c r="B533" s="30"/>
      <c r="C533" s="70"/>
      <c r="G533" s="30"/>
      <c r="H533" s="77"/>
      <c r="I533" s="77"/>
      <c r="J533" s="58"/>
      <c r="K533" s="58"/>
      <c r="L533" s="3"/>
    </row>
    <row r="534" spans="1:12" s="71" customFormat="1">
      <c r="A534" s="87"/>
      <c r="B534" s="30"/>
      <c r="C534" s="70"/>
      <c r="G534" s="30"/>
      <c r="H534" s="77"/>
      <c r="I534" s="77"/>
      <c r="J534" s="58"/>
      <c r="K534" s="58"/>
      <c r="L534" s="3"/>
    </row>
    <row r="535" spans="1:12" s="71" customFormat="1">
      <c r="A535" s="87"/>
      <c r="B535" s="30"/>
      <c r="C535" s="70"/>
      <c r="G535" s="30"/>
      <c r="H535" s="77"/>
      <c r="I535" s="77"/>
      <c r="J535" s="58"/>
      <c r="K535" s="58"/>
      <c r="L535" s="3"/>
    </row>
    <row r="536" spans="1:12" s="71" customFormat="1">
      <c r="A536" s="87"/>
      <c r="B536" s="30"/>
      <c r="C536" s="70"/>
      <c r="G536" s="30"/>
      <c r="H536" s="77"/>
      <c r="I536" s="77"/>
      <c r="J536" s="58"/>
      <c r="K536" s="58"/>
      <c r="L536" s="3"/>
    </row>
    <row r="537" spans="1:12" s="71" customFormat="1">
      <c r="A537" s="87"/>
      <c r="B537" s="30"/>
      <c r="C537" s="70"/>
      <c r="G537" s="30"/>
      <c r="H537" s="77"/>
      <c r="I537" s="77"/>
      <c r="J537" s="58"/>
      <c r="K537" s="58"/>
      <c r="L537" s="3"/>
    </row>
    <row r="538" spans="1:12" s="71" customFormat="1">
      <c r="A538" s="87"/>
      <c r="B538" s="30"/>
      <c r="C538" s="70"/>
      <c r="G538" s="30"/>
      <c r="H538" s="77"/>
      <c r="I538" s="77"/>
      <c r="J538" s="58"/>
      <c r="K538" s="58"/>
      <c r="L538" s="3"/>
    </row>
    <row r="539" spans="1:12" s="71" customFormat="1">
      <c r="A539" s="87"/>
      <c r="B539" s="30"/>
      <c r="C539" s="70"/>
      <c r="G539" s="30"/>
      <c r="H539" s="77"/>
      <c r="I539" s="77"/>
      <c r="J539" s="58"/>
      <c r="K539" s="58"/>
      <c r="L539" s="3"/>
    </row>
    <row r="540" spans="1:12" s="71" customFormat="1">
      <c r="A540" s="87"/>
      <c r="B540" s="30"/>
      <c r="C540" s="70"/>
      <c r="G540" s="30"/>
      <c r="H540" s="77"/>
      <c r="I540" s="77"/>
      <c r="J540" s="58"/>
      <c r="K540" s="58"/>
      <c r="L540" s="3"/>
    </row>
    <row r="541" spans="1:12" s="71" customFormat="1">
      <c r="A541" s="87"/>
      <c r="B541" s="30"/>
      <c r="C541" s="70"/>
      <c r="G541" s="30"/>
      <c r="H541" s="77"/>
      <c r="I541" s="77"/>
      <c r="J541" s="58"/>
      <c r="K541" s="58"/>
      <c r="L541" s="3"/>
    </row>
    <row r="542" spans="1:12" s="71" customFormat="1">
      <c r="A542" s="87"/>
      <c r="B542" s="30"/>
      <c r="C542" s="70"/>
      <c r="G542" s="30"/>
      <c r="H542" s="77"/>
      <c r="I542" s="77"/>
      <c r="J542" s="58"/>
      <c r="K542" s="58"/>
      <c r="L542" s="3"/>
    </row>
    <row r="543" spans="1:12" s="71" customFormat="1">
      <c r="A543" s="87"/>
      <c r="B543" s="30"/>
      <c r="C543" s="70"/>
      <c r="G543" s="30"/>
      <c r="H543" s="77"/>
      <c r="I543" s="77"/>
      <c r="J543" s="58"/>
      <c r="K543" s="58"/>
      <c r="L543" s="3"/>
    </row>
    <row r="544" spans="1:12" s="71" customFormat="1">
      <c r="A544" s="87"/>
      <c r="B544" s="30"/>
      <c r="C544" s="70"/>
      <c r="G544" s="30"/>
      <c r="H544" s="77"/>
      <c r="I544" s="77"/>
      <c r="J544" s="58"/>
      <c r="K544" s="58"/>
      <c r="L544" s="3"/>
    </row>
    <row r="545" spans="1:12" s="71" customFormat="1">
      <c r="A545" s="87"/>
      <c r="B545" s="30"/>
      <c r="C545" s="70"/>
      <c r="G545" s="30"/>
      <c r="H545" s="77"/>
      <c r="I545" s="77"/>
      <c r="J545" s="58"/>
      <c r="K545" s="58"/>
      <c r="L545" s="3"/>
    </row>
    <row r="546" spans="1:12" s="71" customFormat="1">
      <c r="A546" s="87"/>
      <c r="B546" s="30"/>
      <c r="C546" s="70"/>
      <c r="G546" s="30"/>
      <c r="H546" s="77"/>
      <c r="I546" s="77"/>
      <c r="J546" s="58"/>
      <c r="K546" s="58"/>
      <c r="L546" s="3"/>
    </row>
    <row r="547" spans="1:12" s="71" customFormat="1">
      <c r="A547" s="87"/>
      <c r="B547" s="30"/>
      <c r="C547" s="70"/>
      <c r="G547" s="30"/>
      <c r="H547" s="77"/>
      <c r="I547" s="77"/>
      <c r="J547" s="58"/>
      <c r="K547" s="58"/>
      <c r="L547" s="3"/>
    </row>
    <row r="548" spans="1:12" s="71" customFormat="1">
      <c r="A548" s="87"/>
      <c r="B548" s="30"/>
      <c r="C548" s="70"/>
      <c r="G548" s="30"/>
      <c r="H548" s="77"/>
      <c r="I548" s="77"/>
      <c r="J548" s="58"/>
      <c r="K548" s="58"/>
      <c r="L548" s="3"/>
    </row>
    <row r="549" spans="1:12" s="71" customFormat="1">
      <c r="A549" s="87"/>
      <c r="B549" s="30"/>
      <c r="C549" s="70"/>
      <c r="G549" s="30"/>
      <c r="H549" s="77"/>
      <c r="I549" s="77"/>
      <c r="J549" s="58"/>
      <c r="K549" s="58"/>
      <c r="L549" s="3"/>
    </row>
    <row r="550" spans="1:12" s="71" customFormat="1">
      <c r="A550" s="87"/>
      <c r="B550" s="30"/>
      <c r="C550" s="70"/>
      <c r="G550" s="30"/>
      <c r="H550" s="77"/>
      <c r="I550" s="77"/>
      <c r="J550" s="58"/>
      <c r="K550" s="58"/>
      <c r="L550" s="3"/>
    </row>
    <row r="551" spans="1:12" s="71" customFormat="1">
      <c r="A551" s="87"/>
      <c r="B551" s="30"/>
      <c r="C551" s="70"/>
      <c r="G551" s="30"/>
      <c r="H551" s="77"/>
      <c r="I551" s="77"/>
      <c r="J551" s="58"/>
      <c r="K551" s="58"/>
      <c r="L551" s="3"/>
    </row>
    <row r="552" spans="1:12" s="71" customFormat="1">
      <c r="A552" s="87"/>
      <c r="B552" s="30"/>
      <c r="C552" s="70"/>
      <c r="G552" s="30"/>
      <c r="H552" s="77"/>
      <c r="I552" s="77"/>
      <c r="J552" s="58"/>
      <c r="K552" s="58"/>
      <c r="L552" s="3"/>
    </row>
    <row r="553" spans="1:12" s="71" customFormat="1">
      <c r="A553" s="87"/>
      <c r="B553" s="30"/>
      <c r="C553" s="70"/>
      <c r="G553" s="30"/>
      <c r="H553" s="77"/>
      <c r="I553" s="77"/>
      <c r="J553" s="58"/>
      <c r="K553" s="58"/>
      <c r="L553" s="3"/>
    </row>
    <row r="554" spans="1:12" s="71" customFormat="1">
      <c r="A554" s="87"/>
      <c r="B554" s="30"/>
      <c r="C554" s="70"/>
      <c r="G554" s="30"/>
      <c r="H554" s="77"/>
      <c r="I554" s="77"/>
      <c r="J554" s="58"/>
      <c r="K554" s="58"/>
      <c r="L554" s="3"/>
    </row>
    <row r="555" spans="1:12" s="71" customFormat="1">
      <c r="A555" s="87"/>
      <c r="B555" s="30"/>
      <c r="C555" s="70"/>
      <c r="G555" s="30"/>
      <c r="H555" s="77"/>
      <c r="I555" s="77"/>
      <c r="J555" s="58"/>
      <c r="K555" s="58"/>
      <c r="L555" s="3"/>
    </row>
    <row r="556" spans="1:12" s="71" customFormat="1">
      <c r="A556" s="87"/>
      <c r="B556" s="30"/>
      <c r="C556" s="70"/>
      <c r="G556" s="30"/>
      <c r="H556" s="77"/>
      <c r="I556" s="77"/>
      <c r="J556" s="58"/>
      <c r="K556" s="58"/>
      <c r="L556" s="3"/>
    </row>
    <row r="557" spans="1:12" s="71" customFormat="1">
      <c r="A557" s="87"/>
      <c r="B557" s="30"/>
      <c r="C557" s="70"/>
      <c r="G557" s="30"/>
      <c r="H557" s="77"/>
      <c r="I557" s="77"/>
      <c r="J557" s="58"/>
      <c r="K557" s="58"/>
      <c r="L557" s="3"/>
    </row>
    <row r="558" spans="1:12" s="71" customFormat="1">
      <c r="A558" s="87"/>
      <c r="B558" s="30"/>
      <c r="C558" s="70"/>
      <c r="G558" s="30"/>
      <c r="H558" s="77"/>
      <c r="I558" s="77"/>
      <c r="J558" s="58"/>
      <c r="K558" s="58"/>
      <c r="L558" s="3"/>
    </row>
    <row r="559" spans="1:12" s="71" customFormat="1">
      <c r="A559" s="87"/>
      <c r="B559" s="30"/>
      <c r="C559" s="70"/>
      <c r="G559" s="30"/>
      <c r="H559" s="77"/>
      <c r="I559" s="77"/>
      <c r="J559" s="58"/>
      <c r="K559" s="58"/>
      <c r="L559" s="3"/>
    </row>
    <row r="560" spans="1:12" s="71" customFormat="1">
      <c r="A560" s="87"/>
      <c r="B560" s="30"/>
      <c r="C560" s="70"/>
      <c r="G560" s="30"/>
      <c r="H560" s="77"/>
      <c r="I560" s="77"/>
      <c r="J560" s="58"/>
      <c r="K560" s="58"/>
      <c r="L560" s="3"/>
    </row>
    <row r="561" spans="1:12" s="71" customFormat="1">
      <c r="A561" s="87"/>
      <c r="B561" s="30"/>
      <c r="C561" s="70"/>
      <c r="G561" s="30"/>
      <c r="H561" s="77"/>
      <c r="I561" s="77"/>
      <c r="J561" s="58"/>
      <c r="K561" s="58"/>
      <c r="L561" s="3"/>
    </row>
    <row r="562" spans="1:12" s="71" customFormat="1">
      <c r="A562" s="87"/>
      <c r="B562" s="30"/>
      <c r="C562" s="70"/>
      <c r="G562" s="30"/>
      <c r="H562" s="77"/>
      <c r="I562" s="77"/>
      <c r="J562" s="58"/>
      <c r="K562" s="58"/>
      <c r="L562" s="3"/>
    </row>
    <row r="563" spans="1:12" s="71" customFormat="1">
      <c r="A563" s="87"/>
      <c r="B563" s="30"/>
      <c r="C563" s="70"/>
      <c r="G563" s="30"/>
      <c r="H563" s="77"/>
      <c r="I563" s="77"/>
      <c r="J563" s="58"/>
      <c r="K563" s="58"/>
      <c r="L563" s="3"/>
    </row>
    <row r="564" spans="1:12" s="71" customFormat="1">
      <c r="A564" s="87"/>
      <c r="B564" s="30"/>
      <c r="C564" s="70"/>
      <c r="G564" s="30"/>
      <c r="H564" s="77"/>
      <c r="I564" s="77"/>
      <c r="J564" s="58"/>
      <c r="K564" s="58"/>
      <c r="L564" s="3"/>
    </row>
    <row r="565" spans="1:12" s="71" customFormat="1">
      <c r="A565" s="87"/>
      <c r="B565" s="30"/>
      <c r="C565" s="70"/>
      <c r="G565" s="30"/>
      <c r="H565" s="77"/>
      <c r="I565" s="77"/>
      <c r="J565" s="58"/>
      <c r="K565" s="58"/>
      <c r="L565" s="3"/>
    </row>
    <row r="566" spans="1:12" s="71" customFormat="1">
      <c r="A566" s="87"/>
      <c r="B566" s="30"/>
      <c r="C566" s="70"/>
      <c r="G566" s="30"/>
      <c r="H566" s="77"/>
      <c r="I566" s="77"/>
      <c r="J566" s="58"/>
      <c r="K566" s="58"/>
      <c r="L566" s="3"/>
    </row>
    <row r="567" spans="1:12" s="71" customFormat="1">
      <c r="A567" s="87"/>
      <c r="B567" s="30"/>
      <c r="C567" s="70"/>
      <c r="G567" s="30"/>
      <c r="H567" s="77"/>
      <c r="I567" s="77"/>
      <c r="J567" s="58"/>
      <c r="K567" s="58"/>
      <c r="L567" s="3"/>
    </row>
    <row r="568" spans="1:12" s="71" customFormat="1">
      <c r="A568" s="87"/>
      <c r="B568" s="30"/>
      <c r="C568" s="70"/>
      <c r="G568" s="30"/>
      <c r="H568" s="77"/>
      <c r="I568" s="77"/>
      <c r="J568" s="58"/>
      <c r="K568" s="58"/>
      <c r="L568" s="3"/>
    </row>
    <row r="569" spans="1:12" s="71" customFormat="1">
      <c r="A569" s="87"/>
      <c r="B569" s="30"/>
      <c r="C569" s="70"/>
      <c r="G569" s="30"/>
      <c r="H569" s="77"/>
      <c r="I569" s="77"/>
      <c r="J569" s="58"/>
      <c r="K569" s="58"/>
      <c r="L569" s="3"/>
    </row>
    <row r="570" spans="1:12" s="71" customFormat="1">
      <c r="A570" s="87"/>
      <c r="B570" s="30"/>
      <c r="C570" s="70"/>
      <c r="G570" s="30"/>
      <c r="H570" s="77"/>
      <c r="I570" s="77"/>
      <c r="J570" s="58"/>
      <c r="K570" s="58"/>
      <c r="L570" s="3"/>
    </row>
    <row r="571" spans="1:12" s="71" customFormat="1">
      <c r="A571" s="87"/>
      <c r="B571" s="30"/>
      <c r="C571" s="70"/>
      <c r="G571" s="30"/>
      <c r="H571" s="77"/>
      <c r="I571" s="77"/>
      <c r="J571" s="58"/>
      <c r="K571" s="58"/>
      <c r="L571" s="3"/>
    </row>
    <row r="572" spans="1:12" s="71" customFormat="1">
      <c r="A572" s="87"/>
      <c r="B572" s="30"/>
      <c r="C572" s="70"/>
      <c r="G572" s="30"/>
      <c r="H572" s="77"/>
      <c r="I572" s="77"/>
      <c r="J572" s="58"/>
      <c r="K572" s="58"/>
      <c r="L572" s="3"/>
    </row>
    <row r="573" spans="1:12" s="71" customFormat="1">
      <c r="A573" s="87"/>
      <c r="B573" s="30"/>
      <c r="C573" s="70"/>
      <c r="G573" s="30"/>
      <c r="H573" s="77"/>
      <c r="I573" s="77"/>
      <c r="J573" s="58"/>
      <c r="K573" s="58"/>
      <c r="L573" s="3"/>
    </row>
    <row r="574" spans="1:12" s="71" customFormat="1">
      <c r="A574" s="87"/>
      <c r="B574" s="30"/>
      <c r="C574" s="70"/>
      <c r="G574" s="30"/>
      <c r="H574" s="77"/>
      <c r="I574" s="77"/>
      <c r="J574" s="58"/>
      <c r="K574" s="58"/>
      <c r="L574" s="3"/>
    </row>
    <row r="575" spans="1:12" s="71" customFormat="1">
      <c r="A575" s="87"/>
      <c r="B575" s="30"/>
      <c r="C575" s="70"/>
      <c r="G575" s="30"/>
      <c r="H575" s="77"/>
      <c r="I575" s="77"/>
      <c r="J575" s="58"/>
      <c r="K575" s="58"/>
      <c r="L575" s="3"/>
    </row>
    <row r="576" spans="1:12" s="71" customFormat="1">
      <c r="A576" s="87"/>
      <c r="B576" s="30"/>
      <c r="C576" s="70"/>
      <c r="G576" s="30"/>
      <c r="H576" s="77"/>
      <c r="I576" s="77"/>
      <c r="J576" s="58"/>
      <c r="K576" s="58"/>
      <c r="L576" s="3"/>
    </row>
    <row r="577" spans="1:12" s="71" customFormat="1">
      <c r="A577" s="87"/>
      <c r="B577" s="30"/>
      <c r="C577" s="70"/>
      <c r="G577" s="30"/>
      <c r="H577" s="77"/>
      <c r="I577" s="77"/>
      <c r="J577" s="58"/>
      <c r="K577" s="58"/>
      <c r="L577" s="3"/>
    </row>
    <row r="578" spans="1:12" s="71" customFormat="1">
      <c r="A578" s="87"/>
      <c r="B578" s="30"/>
      <c r="C578" s="70"/>
      <c r="G578" s="30"/>
      <c r="H578" s="77"/>
      <c r="I578" s="77"/>
      <c r="J578" s="58"/>
      <c r="K578" s="58"/>
      <c r="L578" s="3"/>
    </row>
    <row r="579" spans="1:12" s="71" customFormat="1">
      <c r="A579" s="87"/>
      <c r="B579" s="30"/>
      <c r="C579" s="70"/>
      <c r="G579" s="30"/>
      <c r="H579" s="77"/>
      <c r="I579" s="77"/>
      <c r="J579" s="58"/>
      <c r="K579" s="58"/>
      <c r="L579" s="3"/>
    </row>
    <row r="580" spans="1:12" s="71" customFormat="1">
      <c r="A580" s="87"/>
      <c r="B580" s="30"/>
      <c r="C580" s="70"/>
      <c r="G580" s="30"/>
      <c r="H580" s="77"/>
      <c r="I580" s="77"/>
      <c r="J580" s="58"/>
      <c r="K580" s="58"/>
      <c r="L580" s="3"/>
    </row>
    <row r="581" spans="1:12" s="71" customFormat="1">
      <c r="A581" s="87"/>
      <c r="B581" s="30"/>
      <c r="C581" s="70"/>
      <c r="G581" s="30"/>
      <c r="H581" s="77"/>
      <c r="I581" s="77"/>
      <c r="J581" s="58"/>
      <c r="K581" s="58"/>
      <c r="L581" s="3"/>
    </row>
    <row r="582" spans="1:12" s="71" customFormat="1">
      <c r="A582" s="87"/>
      <c r="B582" s="30"/>
      <c r="C582" s="70"/>
      <c r="G582" s="30"/>
      <c r="H582" s="77"/>
      <c r="I582" s="77"/>
      <c r="J582" s="58"/>
      <c r="K582" s="58"/>
      <c r="L582" s="3"/>
    </row>
    <row r="583" spans="1:12" s="71" customFormat="1">
      <c r="A583" s="87"/>
      <c r="B583" s="30"/>
      <c r="C583" s="70"/>
      <c r="G583" s="30"/>
      <c r="H583" s="77"/>
      <c r="I583" s="77"/>
      <c r="J583" s="58"/>
      <c r="K583" s="58"/>
      <c r="L583" s="3"/>
    </row>
    <row r="584" spans="1:12" s="71" customFormat="1">
      <c r="A584" s="87"/>
      <c r="B584" s="30"/>
      <c r="C584" s="70"/>
      <c r="G584" s="30"/>
      <c r="H584" s="77"/>
      <c r="I584" s="77"/>
      <c r="J584" s="58"/>
      <c r="K584" s="58"/>
      <c r="L584" s="3"/>
    </row>
    <row r="585" spans="1:12" s="71" customFormat="1">
      <c r="A585" s="87"/>
      <c r="B585" s="30"/>
      <c r="C585" s="70"/>
      <c r="G585" s="30"/>
      <c r="H585" s="77"/>
      <c r="I585" s="77"/>
      <c r="J585" s="58"/>
      <c r="K585" s="58"/>
      <c r="L585" s="3"/>
    </row>
    <row r="586" spans="1:12" s="71" customFormat="1">
      <c r="A586" s="87"/>
      <c r="B586" s="30"/>
      <c r="C586" s="70"/>
      <c r="G586" s="30"/>
      <c r="H586" s="77"/>
      <c r="I586" s="77"/>
      <c r="J586" s="58"/>
      <c r="K586" s="58"/>
      <c r="L586" s="3"/>
    </row>
    <row r="587" spans="1:12" s="71" customFormat="1">
      <c r="A587" s="87"/>
      <c r="B587" s="30"/>
      <c r="C587" s="70"/>
      <c r="G587" s="30"/>
      <c r="H587" s="77"/>
      <c r="I587" s="77"/>
      <c r="J587" s="58"/>
      <c r="K587" s="58"/>
      <c r="L587" s="3"/>
    </row>
    <row r="588" spans="1:12" s="71" customFormat="1">
      <c r="A588" s="87"/>
      <c r="B588" s="30"/>
      <c r="C588" s="70"/>
      <c r="G588" s="30"/>
      <c r="H588" s="77"/>
      <c r="I588" s="77"/>
      <c r="J588" s="58"/>
      <c r="K588" s="58"/>
      <c r="L588" s="3"/>
    </row>
    <row r="589" spans="1:12" s="71" customFormat="1">
      <c r="A589" s="87"/>
      <c r="B589" s="30"/>
      <c r="C589" s="70"/>
      <c r="G589" s="30"/>
      <c r="H589" s="77"/>
      <c r="I589" s="77"/>
      <c r="J589" s="58"/>
      <c r="K589" s="58"/>
      <c r="L589" s="3"/>
    </row>
    <row r="590" spans="1:12" s="71" customFormat="1">
      <c r="A590" s="87"/>
      <c r="B590" s="30"/>
      <c r="C590" s="70"/>
      <c r="G590" s="30"/>
      <c r="H590" s="77"/>
      <c r="I590" s="77"/>
      <c r="J590" s="58"/>
      <c r="K590" s="58"/>
      <c r="L590" s="3"/>
    </row>
    <row r="591" spans="1:12" s="71" customFormat="1">
      <c r="A591" s="87"/>
      <c r="B591" s="30"/>
      <c r="C591" s="70"/>
      <c r="G591" s="30"/>
      <c r="H591" s="77"/>
      <c r="I591" s="77"/>
      <c r="J591" s="58"/>
      <c r="K591" s="58"/>
      <c r="L591" s="3"/>
    </row>
    <row r="592" spans="1:12" s="71" customFormat="1">
      <c r="A592" s="87"/>
      <c r="B592" s="30"/>
      <c r="C592" s="70"/>
      <c r="G592" s="30"/>
      <c r="H592" s="77"/>
      <c r="I592" s="77"/>
      <c r="J592" s="58"/>
      <c r="K592" s="58"/>
      <c r="L592" s="3"/>
    </row>
    <row r="593" spans="1:12" s="71" customFormat="1">
      <c r="A593" s="87"/>
      <c r="B593" s="30"/>
      <c r="C593" s="70"/>
      <c r="G593" s="30"/>
      <c r="H593" s="77"/>
      <c r="I593" s="77"/>
      <c r="J593" s="58"/>
      <c r="K593" s="58"/>
      <c r="L593" s="3"/>
    </row>
    <row r="594" spans="1:12" s="71" customFormat="1">
      <c r="A594" s="87"/>
      <c r="B594" s="30"/>
      <c r="C594" s="70"/>
      <c r="G594" s="30"/>
      <c r="H594" s="77"/>
      <c r="I594" s="77"/>
      <c r="J594" s="58"/>
      <c r="K594" s="58"/>
      <c r="L594" s="3"/>
    </row>
    <row r="595" spans="1:12" s="71" customFormat="1">
      <c r="A595" s="87"/>
      <c r="B595" s="30"/>
      <c r="C595" s="70"/>
      <c r="G595" s="30"/>
      <c r="H595" s="77"/>
      <c r="I595" s="77"/>
      <c r="J595" s="58"/>
      <c r="K595" s="58"/>
      <c r="L595" s="3"/>
    </row>
    <row r="596" spans="1:12" s="71" customFormat="1">
      <c r="A596" s="87"/>
      <c r="B596" s="30"/>
      <c r="C596" s="70"/>
      <c r="G596" s="30"/>
      <c r="H596" s="77"/>
      <c r="I596" s="77"/>
      <c r="J596" s="58"/>
      <c r="K596" s="58"/>
      <c r="L596" s="3"/>
    </row>
    <row r="597" spans="1:12" s="71" customFormat="1">
      <c r="A597" s="87"/>
      <c r="B597" s="30"/>
      <c r="C597" s="70"/>
      <c r="G597" s="30"/>
      <c r="H597" s="77"/>
      <c r="I597" s="77"/>
      <c r="J597" s="58"/>
      <c r="K597" s="58"/>
      <c r="L597" s="3"/>
    </row>
    <row r="598" spans="1:12" s="71" customFormat="1">
      <c r="A598" s="87"/>
      <c r="B598" s="30"/>
      <c r="C598" s="70"/>
      <c r="G598" s="30"/>
      <c r="H598" s="77"/>
      <c r="I598" s="77"/>
      <c r="J598" s="58"/>
      <c r="K598" s="58"/>
      <c r="L598" s="3"/>
    </row>
    <row r="599" spans="1:12" s="71" customFormat="1">
      <c r="A599" s="87"/>
      <c r="B599" s="30"/>
      <c r="C599" s="70"/>
      <c r="G599" s="30"/>
      <c r="H599" s="77"/>
      <c r="I599" s="77"/>
      <c r="J599" s="58"/>
      <c r="K599" s="58"/>
      <c r="L599" s="3"/>
    </row>
    <row r="600" spans="1:12" s="71" customFormat="1">
      <c r="A600" s="87"/>
      <c r="B600" s="30"/>
      <c r="C600" s="70"/>
      <c r="G600" s="30"/>
      <c r="H600" s="77"/>
      <c r="I600" s="77"/>
      <c r="J600" s="58"/>
      <c r="K600" s="58"/>
      <c r="L600" s="3"/>
    </row>
    <row r="601" spans="1:12" s="71" customFormat="1">
      <c r="A601" s="87"/>
      <c r="B601" s="30"/>
      <c r="C601" s="70"/>
      <c r="G601" s="30"/>
      <c r="H601" s="77"/>
      <c r="I601" s="77"/>
      <c r="J601" s="58"/>
      <c r="K601" s="58"/>
      <c r="L601" s="3"/>
    </row>
    <row r="602" spans="1:12" s="71" customFormat="1">
      <c r="A602" s="87"/>
      <c r="B602" s="30"/>
      <c r="C602" s="70"/>
      <c r="G602" s="30"/>
      <c r="H602" s="77"/>
      <c r="I602" s="77"/>
      <c r="J602" s="58"/>
      <c r="K602" s="58"/>
      <c r="L602" s="3"/>
    </row>
    <row r="603" spans="1:12" s="71" customFormat="1">
      <c r="A603" s="87"/>
      <c r="B603" s="30"/>
      <c r="C603" s="70"/>
      <c r="G603" s="30"/>
      <c r="H603" s="77"/>
      <c r="I603" s="77"/>
      <c r="J603" s="58"/>
      <c r="K603" s="58"/>
      <c r="L603" s="3"/>
    </row>
    <row r="604" spans="1:12" s="71" customFormat="1">
      <c r="A604" s="87"/>
      <c r="B604" s="30"/>
      <c r="C604" s="70"/>
      <c r="G604" s="30"/>
      <c r="H604" s="77"/>
      <c r="I604" s="77"/>
      <c r="J604" s="58"/>
      <c r="K604" s="58"/>
      <c r="L604" s="3"/>
    </row>
    <row r="605" spans="1:12" s="71" customFormat="1">
      <c r="A605" s="87"/>
      <c r="B605" s="30"/>
      <c r="C605" s="70"/>
      <c r="G605" s="30"/>
      <c r="H605" s="77"/>
      <c r="I605" s="77"/>
      <c r="J605" s="58"/>
      <c r="K605" s="58"/>
      <c r="L605" s="3"/>
    </row>
    <row r="606" spans="1:12" s="71" customFormat="1">
      <c r="A606" s="87"/>
      <c r="B606" s="30"/>
      <c r="C606" s="70"/>
      <c r="G606" s="30"/>
      <c r="H606" s="77"/>
      <c r="I606" s="77"/>
      <c r="J606" s="58"/>
      <c r="K606" s="58"/>
      <c r="L606" s="3"/>
    </row>
    <row r="607" spans="1:12" s="71" customFormat="1">
      <c r="A607" s="87"/>
      <c r="B607" s="30"/>
      <c r="C607" s="70"/>
      <c r="G607" s="30"/>
      <c r="H607" s="77"/>
      <c r="I607" s="77"/>
      <c r="J607" s="58"/>
      <c r="K607" s="58"/>
      <c r="L607" s="3"/>
    </row>
    <row r="608" spans="1:12" s="71" customFormat="1">
      <c r="A608" s="87"/>
      <c r="B608" s="30"/>
      <c r="C608" s="70"/>
      <c r="G608" s="30"/>
      <c r="H608" s="77"/>
      <c r="I608" s="77"/>
      <c r="J608" s="58"/>
      <c r="K608" s="58"/>
      <c r="L608" s="3"/>
    </row>
    <row r="609" spans="1:12" s="71" customFormat="1">
      <c r="A609" s="87"/>
      <c r="B609" s="30"/>
      <c r="C609" s="70"/>
      <c r="G609" s="30"/>
      <c r="H609" s="77"/>
      <c r="I609" s="77"/>
      <c r="J609" s="58"/>
      <c r="K609" s="58"/>
      <c r="L609" s="3"/>
    </row>
    <row r="610" spans="1:12" s="71" customFormat="1">
      <c r="A610" s="87"/>
      <c r="B610" s="30"/>
      <c r="C610" s="70"/>
      <c r="G610" s="30"/>
      <c r="H610" s="77"/>
      <c r="I610" s="77"/>
      <c r="J610" s="58"/>
      <c r="K610" s="58"/>
      <c r="L610" s="3"/>
    </row>
    <row r="611" spans="1:12" s="71" customFormat="1">
      <c r="A611" s="87"/>
      <c r="B611" s="30"/>
      <c r="C611" s="70"/>
      <c r="G611" s="30"/>
      <c r="H611" s="77"/>
      <c r="I611" s="77"/>
      <c r="J611" s="58"/>
      <c r="K611" s="58"/>
      <c r="L611" s="3"/>
    </row>
    <row r="612" spans="1:12" s="71" customFormat="1">
      <c r="A612" s="87"/>
      <c r="B612" s="30"/>
      <c r="C612" s="70"/>
      <c r="G612" s="30"/>
      <c r="H612" s="77"/>
      <c r="I612" s="77"/>
      <c r="J612" s="58"/>
      <c r="K612" s="58"/>
      <c r="L612" s="3"/>
    </row>
    <row r="613" spans="1:12" s="71" customFormat="1">
      <c r="A613" s="87"/>
      <c r="B613" s="30"/>
      <c r="C613" s="70"/>
      <c r="G613" s="30"/>
      <c r="H613" s="77"/>
      <c r="I613" s="77"/>
      <c r="J613" s="58"/>
      <c r="K613" s="58"/>
      <c r="L613" s="3"/>
    </row>
    <row r="614" spans="1:12" s="71" customFormat="1">
      <c r="A614" s="87"/>
      <c r="B614" s="30"/>
      <c r="C614" s="70"/>
      <c r="G614" s="30"/>
      <c r="H614" s="77"/>
      <c r="I614" s="77"/>
      <c r="J614" s="58"/>
      <c r="K614" s="58"/>
      <c r="L614" s="3"/>
    </row>
    <row r="615" spans="1:12" s="71" customFormat="1">
      <c r="A615" s="87"/>
      <c r="B615" s="30"/>
      <c r="C615" s="70"/>
      <c r="G615" s="30"/>
      <c r="H615" s="77"/>
      <c r="I615" s="77"/>
      <c r="J615" s="58"/>
      <c r="K615" s="58"/>
      <c r="L615" s="3"/>
    </row>
    <row r="616" spans="1:12" s="71" customFormat="1">
      <c r="A616" s="87"/>
      <c r="B616" s="30"/>
      <c r="C616" s="70"/>
      <c r="G616" s="30"/>
      <c r="H616" s="77"/>
      <c r="I616" s="77"/>
      <c r="J616" s="58"/>
      <c r="K616" s="58"/>
      <c r="L616" s="3"/>
    </row>
    <row r="617" spans="1:12" s="71" customFormat="1">
      <c r="A617" s="87"/>
      <c r="B617" s="30"/>
      <c r="C617" s="70"/>
      <c r="G617" s="30"/>
      <c r="H617" s="77"/>
      <c r="I617" s="77"/>
      <c r="J617" s="58"/>
      <c r="K617" s="58"/>
      <c r="L617" s="3"/>
    </row>
    <row r="618" spans="1:12" s="71" customFormat="1">
      <c r="A618" s="87"/>
      <c r="B618" s="30"/>
      <c r="C618" s="70"/>
      <c r="G618" s="30"/>
      <c r="H618" s="77"/>
      <c r="I618" s="77"/>
      <c r="J618" s="58"/>
      <c r="K618" s="58"/>
      <c r="L618" s="3"/>
    </row>
    <row r="619" spans="1:12" s="71" customFormat="1">
      <c r="A619" s="87"/>
      <c r="B619" s="30"/>
      <c r="C619" s="70"/>
      <c r="G619" s="30"/>
      <c r="H619" s="77"/>
      <c r="I619" s="77"/>
      <c r="J619" s="58"/>
      <c r="K619" s="58"/>
      <c r="L619" s="3"/>
    </row>
    <row r="620" spans="1:12" s="71" customFormat="1">
      <c r="A620" s="87"/>
      <c r="B620" s="30"/>
      <c r="C620" s="70"/>
      <c r="G620" s="30"/>
      <c r="H620" s="77"/>
      <c r="I620" s="77"/>
      <c r="J620" s="58"/>
      <c r="K620" s="58"/>
      <c r="L620" s="3"/>
    </row>
    <row r="621" spans="1:12" s="71" customFormat="1">
      <c r="A621" s="87"/>
      <c r="B621" s="30"/>
      <c r="C621" s="70"/>
      <c r="G621" s="30"/>
      <c r="H621" s="77"/>
      <c r="I621" s="77"/>
      <c r="J621" s="58"/>
      <c r="K621" s="58"/>
      <c r="L621" s="3"/>
    </row>
    <row r="622" spans="1:12" s="71" customFormat="1">
      <c r="A622" s="87"/>
      <c r="B622" s="30"/>
      <c r="C622" s="70"/>
      <c r="G622" s="30"/>
      <c r="H622" s="77"/>
      <c r="I622" s="77"/>
      <c r="J622" s="58"/>
      <c r="K622" s="58"/>
      <c r="L622" s="3"/>
    </row>
    <row r="623" spans="1:12" s="71" customFormat="1">
      <c r="A623" s="87"/>
      <c r="B623" s="30"/>
      <c r="C623" s="70"/>
      <c r="G623" s="30"/>
      <c r="H623" s="77"/>
      <c r="I623" s="77"/>
      <c r="J623" s="58"/>
      <c r="K623" s="58"/>
      <c r="L623" s="3"/>
    </row>
    <row r="624" spans="1:12" s="71" customFormat="1">
      <c r="A624" s="87"/>
      <c r="B624" s="30"/>
      <c r="C624" s="70"/>
      <c r="G624" s="30"/>
      <c r="H624" s="77"/>
      <c r="I624" s="77"/>
      <c r="J624" s="58"/>
      <c r="K624" s="58"/>
      <c r="L624" s="3"/>
    </row>
    <row r="625" spans="1:12" s="71" customFormat="1">
      <c r="A625" s="87"/>
      <c r="B625" s="30"/>
      <c r="C625" s="70"/>
      <c r="G625" s="30"/>
      <c r="H625" s="77"/>
      <c r="I625" s="77"/>
      <c r="J625" s="58"/>
      <c r="K625" s="58"/>
      <c r="L625" s="3"/>
    </row>
    <row r="626" spans="1:12" s="71" customFormat="1">
      <c r="A626" s="87"/>
      <c r="B626" s="30"/>
      <c r="C626" s="70"/>
      <c r="G626" s="30"/>
      <c r="H626" s="77"/>
      <c r="I626" s="77"/>
      <c r="J626" s="58"/>
      <c r="K626" s="58"/>
      <c r="L626" s="3"/>
    </row>
    <row r="627" spans="1:12" s="71" customFormat="1">
      <c r="A627" s="87"/>
      <c r="B627" s="30"/>
      <c r="C627" s="70"/>
      <c r="G627" s="30"/>
      <c r="H627" s="77"/>
      <c r="I627" s="77"/>
      <c r="J627" s="58"/>
      <c r="K627" s="58"/>
      <c r="L627" s="3"/>
    </row>
    <row r="628" spans="1:12" s="71" customFormat="1">
      <c r="A628" s="87"/>
      <c r="B628" s="30"/>
      <c r="C628" s="70"/>
      <c r="G628" s="30"/>
      <c r="H628" s="77"/>
      <c r="I628" s="77"/>
      <c r="J628" s="58"/>
      <c r="K628" s="58"/>
      <c r="L628" s="3"/>
    </row>
    <row r="629" spans="1:12" s="71" customFormat="1">
      <c r="A629" s="87"/>
      <c r="B629" s="30"/>
      <c r="C629" s="70"/>
      <c r="G629" s="30"/>
      <c r="H629" s="77"/>
      <c r="I629" s="77"/>
      <c r="J629" s="58"/>
      <c r="K629" s="58"/>
      <c r="L629" s="3"/>
    </row>
    <row r="630" spans="1:12" s="71" customFormat="1">
      <c r="A630" s="87"/>
      <c r="B630" s="30"/>
      <c r="C630" s="70"/>
      <c r="G630" s="30"/>
      <c r="H630" s="77"/>
      <c r="I630" s="77"/>
      <c r="J630" s="58"/>
      <c r="K630" s="58"/>
      <c r="L630" s="3"/>
    </row>
    <row r="631" spans="1:12" s="71" customFormat="1">
      <c r="A631" s="87"/>
      <c r="B631" s="30"/>
      <c r="C631" s="70"/>
      <c r="G631" s="30"/>
      <c r="H631" s="77"/>
      <c r="I631" s="77"/>
      <c r="J631" s="58"/>
      <c r="K631" s="58"/>
      <c r="L631" s="3"/>
    </row>
    <row r="632" spans="1:12" s="71" customFormat="1">
      <c r="A632" s="87"/>
      <c r="B632" s="30"/>
      <c r="C632" s="70"/>
      <c r="G632" s="30"/>
      <c r="H632" s="77"/>
      <c r="I632" s="77"/>
      <c r="J632" s="58"/>
      <c r="K632" s="58"/>
      <c r="L632" s="3"/>
    </row>
    <row r="633" spans="1:12" s="71" customFormat="1">
      <c r="A633" s="87"/>
      <c r="B633" s="30"/>
      <c r="C633" s="70"/>
      <c r="G633" s="30"/>
      <c r="H633" s="77"/>
      <c r="I633" s="77"/>
      <c r="J633" s="58"/>
      <c r="K633" s="58"/>
      <c r="L633" s="3"/>
    </row>
    <row r="634" spans="1:12" s="71" customFormat="1">
      <c r="A634" s="87"/>
      <c r="B634" s="30"/>
      <c r="C634" s="70"/>
      <c r="G634" s="30"/>
      <c r="H634" s="77"/>
      <c r="I634" s="77"/>
      <c r="J634" s="58"/>
      <c r="K634" s="58"/>
      <c r="L634" s="3"/>
    </row>
    <row r="635" spans="1:12" s="71" customFormat="1">
      <c r="A635" s="87"/>
      <c r="B635" s="30"/>
      <c r="C635" s="70"/>
      <c r="G635" s="30"/>
      <c r="H635" s="77"/>
      <c r="I635" s="77"/>
      <c r="J635" s="58"/>
      <c r="K635" s="58"/>
      <c r="L635" s="3"/>
    </row>
    <row r="636" spans="1:12" s="71" customFormat="1">
      <c r="A636" s="87"/>
      <c r="B636" s="30"/>
      <c r="C636" s="70"/>
      <c r="G636" s="30"/>
      <c r="H636" s="77"/>
      <c r="I636" s="77"/>
      <c r="J636" s="58"/>
      <c r="K636" s="58"/>
      <c r="L636" s="3"/>
    </row>
    <row r="637" spans="1:12" s="71" customFormat="1">
      <c r="A637" s="87"/>
      <c r="B637" s="30"/>
      <c r="C637" s="70"/>
      <c r="G637" s="30"/>
      <c r="H637" s="77"/>
      <c r="I637" s="77"/>
      <c r="J637" s="58"/>
      <c r="K637" s="58"/>
      <c r="L637" s="3"/>
    </row>
    <row r="638" spans="1:12" s="71" customFormat="1">
      <c r="A638" s="87"/>
      <c r="B638" s="30"/>
      <c r="C638" s="70"/>
      <c r="G638" s="30"/>
      <c r="H638" s="77"/>
      <c r="I638" s="77"/>
      <c r="J638" s="58"/>
      <c r="K638" s="58"/>
      <c r="L638" s="3"/>
    </row>
    <row r="639" spans="1:12" s="71" customFormat="1">
      <c r="A639" s="87"/>
      <c r="B639" s="30"/>
      <c r="C639" s="70"/>
      <c r="G639" s="30"/>
      <c r="H639" s="77"/>
      <c r="I639" s="77"/>
      <c r="J639" s="58"/>
      <c r="K639" s="58"/>
      <c r="L639" s="3"/>
    </row>
    <row r="640" spans="1:12" s="71" customFormat="1">
      <c r="A640" s="87"/>
      <c r="B640" s="30"/>
      <c r="C640" s="70"/>
      <c r="G640" s="30"/>
      <c r="H640" s="77"/>
      <c r="I640" s="77"/>
      <c r="J640" s="58"/>
      <c r="K640" s="58"/>
      <c r="L640" s="3"/>
    </row>
    <row r="641" spans="1:12" s="71" customFormat="1">
      <c r="A641" s="87"/>
      <c r="B641" s="30"/>
      <c r="C641" s="70"/>
      <c r="G641" s="30"/>
      <c r="H641" s="77"/>
      <c r="I641" s="77"/>
      <c r="J641" s="58"/>
      <c r="K641" s="58"/>
      <c r="L641" s="3"/>
    </row>
    <row r="642" spans="1:12" s="71" customFormat="1">
      <c r="A642" s="87"/>
      <c r="B642" s="30"/>
      <c r="C642" s="70"/>
      <c r="G642" s="30"/>
      <c r="H642" s="77"/>
      <c r="I642" s="77"/>
      <c r="J642" s="58"/>
      <c r="K642" s="58"/>
      <c r="L642" s="3"/>
    </row>
    <row r="643" spans="1:12" s="71" customFormat="1">
      <c r="A643" s="87"/>
      <c r="B643" s="30"/>
      <c r="C643" s="70"/>
      <c r="G643" s="30"/>
      <c r="H643" s="77"/>
      <c r="I643" s="77"/>
      <c r="J643" s="58"/>
      <c r="K643" s="58"/>
      <c r="L643" s="3"/>
    </row>
    <row r="644" spans="1:12" s="71" customFormat="1">
      <c r="A644" s="87"/>
      <c r="B644" s="30"/>
      <c r="C644" s="70"/>
      <c r="G644" s="30"/>
      <c r="H644" s="77"/>
      <c r="I644" s="77"/>
      <c r="J644" s="58"/>
      <c r="K644" s="58"/>
      <c r="L644" s="3"/>
    </row>
    <row r="645" spans="1:12" s="71" customFormat="1">
      <c r="A645" s="87"/>
      <c r="B645" s="30"/>
      <c r="C645" s="70"/>
      <c r="G645" s="30"/>
      <c r="H645" s="77"/>
      <c r="I645" s="77"/>
      <c r="J645" s="58"/>
      <c r="K645" s="58"/>
      <c r="L645" s="3"/>
    </row>
    <row r="646" spans="1:12" s="71" customFormat="1">
      <c r="A646" s="87"/>
      <c r="B646" s="30"/>
      <c r="C646" s="70"/>
      <c r="G646" s="30"/>
      <c r="H646" s="77"/>
      <c r="I646" s="77"/>
      <c r="J646" s="58"/>
      <c r="K646" s="58"/>
      <c r="L646" s="3"/>
    </row>
    <row r="647" spans="1:12" s="71" customFormat="1">
      <c r="A647" s="87"/>
      <c r="B647" s="30"/>
      <c r="C647" s="70"/>
      <c r="G647" s="30"/>
      <c r="H647" s="77"/>
      <c r="I647" s="77"/>
      <c r="J647" s="58"/>
      <c r="K647" s="58"/>
      <c r="L647" s="3"/>
    </row>
    <row r="648" spans="1:12" s="71" customFormat="1">
      <c r="A648" s="87"/>
      <c r="B648" s="30"/>
      <c r="C648" s="70"/>
      <c r="G648" s="30"/>
      <c r="H648" s="77"/>
      <c r="I648" s="77"/>
      <c r="J648" s="58"/>
      <c r="K648" s="58"/>
      <c r="L648" s="3"/>
    </row>
    <row r="649" spans="1:12" s="71" customFormat="1">
      <c r="A649" s="87"/>
      <c r="B649" s="30"/>
      <c r="C649" s="70"/>
      <c r="G649" s="30"/>
      <c r="H649" s="77"/>
      <c r="I649" s="77"/>
      <c r="J649" s="58"/>
      <c r="K649" s="58"/>
      <c r="L649" s="3"/>
    </row>
    <row r="650" spans="1:12" s="71" customFormat="1">
      <c r="A650" s="87"/>
      <c r="B650" s="30"/>
      <c r="C650" s="70"/>
      <c r="G650" s="30"/>
      <c r="H650" s="77"/>
      <c r="I650" s="77"/>
      <c r="J650" s="58"/>
      <c r="K650" s="58"/>
      <c r="L650" s="3"/>
    </row>
    <row r="651" spans="1:12" s="71" customFormat="1">
      <c r="A651" s="87"/>
      <c r="B651" s="30"/>
      <c r="C651" s="70"/>
      <c r="G651" s="30"/>
      <c r="H651" s="77"/>
      <c r="I651" s="77"/>
      <c r="J651" s="58"/>
      <c r="K651" s="58"/>
      <c r="L651" s="3"/>
    </row>
    <row r="652" spans="1:12" s="71" customFormat="1">
      <c r="A652" s="87"/>
      <c r="B652" s="30"/>
      <c r="C652" s="70"/>
      <c r="G652" s="30"/>
      <c r="H652" s="77"/>
      <c r="I652" s="77"/>
      <c r="J652" s="58"/>
      <c r="K652" s="58"/>
      <c r="L652" s="3"/>
    </row>
    <row r="653" spans="1:12" s="71" customFormat="1">
      <c r="A653" s="87"/>
      <c r="B653" s="30"/>
      <c r="C653" s="70"/>
      <c r="G653" s="30"/>
      <c r="H653" s="77"/>
      <c r="I653" s="77"/>
      <c r="J653" s="58"/>
      <c r="K653" s="58"/>
      <c r="L653" s="3"/>
    </row>
    <row r="654" spans="1:12" s="71" customFormat="1">
      <c r="A654" s="87"/>
      <c r="B654" s="30"/>
      <c r="C654" s="70"/>
      <c r="G654" s="30"/>
      <c r="H654" s="77"/>
      <c r="I654" s="77"/>
      <c r="J654" s="58"/>
      <c r="K654" s="58"/>
      <c r="L654" s="3"/>
    </row>
    <row r="655" spans="1:12" s="71" customFormat="1">
      <c r="A655" s="87"/>
      <c r="B655" s="30"/>
      <c r="C655" s="70"/>
      <c r="G655" s="30"/>
      <c r="H655" s="77"/>
      <c r="I655" s="77"/>
      <c r="J655" s="58"/>
      <c r="K655" s="58"/>
      <c r="L655" s="3"/>
    </row>
    <row r="656" spans="1:12" s="71" customFormat="1">
      <c r="A656" s="87"/>
      <c r="B656" s="30"/>
      <c r="C656" s="70"/>
      <c r="G656" s="30"/>
      <c r="H656" s="77"/>
      <c r="I656" s="77"/>
      <c r="J656" s="58"/>
      <c r="K656" s="58"/>
      <c r="L656" s="3"/>
    </row>
    <row r="657" spans="1:12" s="71" customFormat="1">
      <c r="A657" s="87"/>
      <c r="B657" s="30"/>
      <c r="C657" s="70"/>
      <c r="G657" s="30"/>
      <c r="H657" s="77"/>
      <c r="I657" s="77"/>
      <c r="J657" s="58"/>
      <c r="K657" s="58"/>
      <c r="L657" s="3"/>
    </row>
    <row r="658" spans="1:12" s="71" customFormat="1">
      <c r="A658" s="87"/>
      <c r="B658" s="30"/>
      <c r="C658" s="70"/>
      <c r="G658" s="30"/>
      <c r="H658" s="77"/>
      <c r="I658" s="77"/>
      <c r="J658" s="58"/>
      <c r="K658" s="58"/>
      <c r="L658" s="3"/>
    </row>
    <row r="659" spans="1:12" s="71" customFormat="1">
      <c r="A659" s="87"/>
      <c r="B659" s="30"/>
      <c r="C659" s="70"/>
      <c r="G659" s="30"/>
      <c r="H659" s="77"/>
      <c r="I659" s="77"/>
      <c r="J659" s="58"/>
      <c r="K659" s="58"/>
      <c r="L659" s="3"/>
    </row>
    <row r="660" spans="1:12" s="71" customFormat="1">
      <c r="A660" s="87"/>
      <c r="B660" s="30"/>
      <c r="C660" s="70"/>
      <c r="G660" s="30"/>
      <c r="H660" s="77"/>
      <c r="I660" s="77"/>
      <c r="J660" s="58"/>
      <c r="K660" s="58"/>
      <c r="L660" s="3"/>
    </row>
    <row r="661" spans="1:12" s="71" customFormat="1">
      <c r="A661" s="87"/>
      <c r="B661" s="30"/>
      <c r="C661" s="70"/>
      <c r="G661" s="30"/>
      <c r="H661" s="77"/>
      <c r="I661" s="77"/>
      <c r="J661" s="58"/>
      <c r="K661" s="58"/>
      <c r="L661" s="3"/>
    </row>
    <row r="662" spans="1:12" s="71" customFormat="1">
      <c r="A662" s="87"/>
      <c r="B662" s="30"/>
      <c r="C662" s="70"/>
      <c r="G662" s="30"/>
      <c r="H662" s="77"/>
      <c r="I662" s="77"/>
      <c r="J662" s="58"/>
      <c r="K662" s="58"/>
      <c r="L662" s="3"/>
    </row>
    <row r="663" spans="1:12" s="71" customFormat="1">
      <c r="A663" s="87"/>
      <c r="B663" s="30"/>
      <c r="C663" s="70"/>
      <c r="G663" s="30"/>
      <c r="H663" s="77"/>
      <c r="I663" s="77"/>
      <c r="J663" s="58"/>
      <c r="K663" s="58"/>
      <c r="L663" s="3"/>
    </row>
    <row r="664" spans="1:12" s="71" customFormat="1">
      <c r="A664" s="87"/>
      <c r="B664" s="30"/>
      <c r="C664" s="70"/>
      <c r="G664" s="30"/>
      <c r="H664" s="77"/>
      <c r="I664" s="77"/>
      <c r="J664" s="58"/>
      <c r="K664" s="58"/>
      <c r="L664" s="3"/>
    </row>
    <row r="665" spans="1:12" s="71" customFormat="1">
      <c r="A665" s="87"/>
      <c r="B665" s="30"/>
      <c r="C665" s="70"/>
      <c r="G665" s="30"/>
      <c r="H665" s="77"/>
      <c r="I665" s="77"/>
      <c r="J665" s="58"/>
      <c r="K665" s="58"/>
      <c r="L665" s="3"/>
    </row>
    <row r="666" spans="1:12" s="71" customFormat="1">
      <c r="A666" s="87"/>
      <c r="B666" s="30"/>
      <c r="C666" s="70"/>
      <c r="G666" s="30"/>
      <c r="H666" s="77"/>
      <c r="I666" s="77"/>
      <c r="J666" s="58"/>
      <c r="K666" s="58"/>
      <c r="L666" s="3"/>
    </row>
    <row r="667" spans="1:12" s="71" customFormat="1">
      <c r="A667" s="87"/>
      <c r="B667" s="30"/>
      <c r="C667" s="70"/>
      <c r="G667" s="30"/>
      <c r="H667" s="77"/>
      <c r="I667" s="77"/>
      <c r="J667" s="58"/>
      <c r="K667" s="58"/>
      <c r="L667" s="3"/>
    </row>
    <row r="668" spans="1:12" s="71" customFormat="1">
      <c r="A668" s="87"/>
      <c r="B668" s="30"/>
      <c r="C668" s="70"/>
      <c r="G668" s="30"/>
      <c r="H668" s="77"/>
      <c r="I668" s="77"/>
      <c r="J668" s="58"/>
      <c r="K668" s="58"/>
      <c r="L668" s="3"/>
    </row>
    <row r="669" spans="1:12" s="71" customFormat="1">
      <c r="A669" s="87"/>
      <c r="B669" s="30"/>
      <c r="C669" s="70"/>
      <c r="G669" s="30"/>
      <c r="H669" s="77"/>
      <c r="I669" s="77"/>
      <c r="J669" s="58"/>
      <c r="K669" s="58"/>
      <c r="L669" s="3"/>
    </row>
    <row r="670" spans="1:12" s="71" customFormat="1">
      <c r="A670" s="87"/>
      <c r="B670" s="30"/>
      <c r="C670" s="70"/>
      <c r="G670" s="30"/>
      <c r="H670" s="77"/>
      <c r="I670" s="77"/>
      <c r="J670" s="58"/>
      <c r="K670" s="58"/>
      <c r="L670" s="3"/>
    </row>
    <row r="671" spans="1:12" s="71" customFormat="1">
      <c r="A671" s="87"/>
      <c r="B671" s="30"/>
      <c r="C671" s="70"/>
      <c r="G671" s="30"/>
      <c r="H671" s="77"/>
      <c r="I671" s="77"/>
      <c r="J671" s="58"/>
      <c r="K671" s="58"/>
      <c r="L671" s="3"/>
    </row>
    <row r="672" spans="1:12" s="71" customFormat="1">
      <c r="A672" s="87"/>
      <c r="B672" s="30"/>
      <c r="C672" s="70"/>
      <c r="G672" s="30"/>
      <c r="H672" s="77"/>
      <c r="I672" s="77"/>
      <c r="J672" s="58"/>
      <c r="K672" s="58"/>
      <c r="L672" s="3"/>
    </row>
    <row r="673" spans="1:12" s="71" customFormat="1">
      <c r="A673" s="87"/>
      <c r="B673" s="30"/>
      <c r="C673" s="70"/>
      <c r="G673" s="30"/>
      <c r="H673" s="77"/>
      <c r="I673" s="77"/>
      <c r="J673" s="58"/>
      <c r="K673" s="58"/>
      <c r="L673" s="3"/>
    </row>
    <row r="674" spans="1:12" s="71" customFormat="1">
      <c r="A674" s="87"/>
      <c r="B674" s="30"/>
      <c r="C674" s="70"/>
      <c r="G674" s="30"/>
      <c r="H674" s="77"/>
      <c r="I674" s="77"/>
      <c r="J674" s="58"/>
      <c r="K674" s="58"/>
      <c r="L674" s="3"/>
    </row>
    <row r="675" spans="1:12" s="71" customFormat="1">
      <c r="A675" s="87"/>
      <c r="B675" s="30"/>
      <c r="C675" s="70"/>
      <c r="G675" s="30"/>
      <c r="H675" s="77"/>
      <c r="I675" s="77"/>
      <c r="J675" s="58"/>
      <c r="K675" s="58"/>
      <c r="L675" s="3"/>
    </row>
    <row r="676" spans="1:12" s="71" customFormat="1">
      <c r="A676" s="87"/>
      <c r="B676" s="30"/>
      <c r="C676" s="70"/>
      <c r="G676" s="30"/>
      <c r="H676" s="77"/>
      <c r="I676" s="77"/>
      <c r="J676" s="58"/>
      <c r="K676" s="58"/>
      <c r="L676" s="3"/>
    </row>
    <row r="677" spans="1:12" s="71" customFormat="1">
      <c r="A677" s="87"/>
      <c r="B677" s="30"/>
      <c r="C677" s="70"/>
      <c r="G677" s="30"/>
      <c r="H677" s="77"/>
      <c r="I677" s="77"/>
      <c r="J677" s="58"/>
      <c r="K677" s="58"/>
      <c r="L677" s="3"/>
    </row>
    <row r="678" spans="1:12" s="71" customFormat="1">
      <c r="A678" s="87"/>
      <c r="B678" s="30"/>
      <c r="C678" s="70"/>
      <c r="G678" s="30"/>
      <c r="H678" s="77"/>
      <c r="I678" s="77"/>
      <c r="J678" s="58"/>
      <c r="K678" s="58"/>
      <c r="L678" s="3"/>
    </row>
    <row r="679" spans="1:12" s="71" customFormat="1">
      <c r="A679" s="87"/>
      <c r="B679" s="30"/>
      <c r="C679" s="70"/>
      <c r="G679" s="30"/>
      <c r="H679" s="77"/>
      <c r="I679" s="77"/>
      <c r="J679" s="58"/>
      <c r="K679" s="58"/>
      <c r="L679" s="3"/>
    </row>
    <row r="680" spans="1:12" s="71" customFormat="1">
      <c r="A680" s="87"/>
      <c r="B680" s="30"/>
      <c r="C680" s="70"/>
      <c r="G680" s="30"/>
      <c r="H680" s="77"/>
      <c r="I680" s="77"/>
      <c r="J680" s="58"/>
      <c r="K680" s="58"/>
      <c r="L680" s="3"/>
    </row>
    <row r="681" spans="1:12" s="71" customFormat="1">
      <c r="A681" s="87"/>
      <c r="B681" s="30"/>
      <c r="C681" s="70"/>
      <c r="G681" s="30"/>
      <c r="H681" s="77"/>
      <c r="I681" s="77"/>
      <c r="J681" s="58"/>
      <c r="K681" s="58"/>
      <c r="L681" s="3"/>
    </row>
    <row r="682" spans="1:12" s="71" customFormat="1">
      <c r="A682" s="87"/>
      <c r="B682" s="30"/>
      <c r="C682" s="70"/>
      <c r="G682" s="30"/>
      <c r="H682" s="77"/>
      <c r="I682" s="77"/>
      <c r="J682" s="58"/>
      <c r="K682" s="58"/>
      <c r="L682" s="3"/>
    </row>
    <row r="683" spans="1:12" s="71" customFormat="1">
      <c r="A683" s="87"/>
      <c r="B683" s="30"/>
      <c r="C683" s="70"/>
      <c r="G683" s="30"/>
      <c r="H683" s="77"/>
      <c r="I683" s="77"/>
      <c r="J683" s="58"/>
      <c r="K683" s="58"/>
      <c r="L683" s="3"/>
    </row>
    <row r="684" spans="1:12" s="71" customFormat="1">
      <c r="A684" s="87"/>
      <c r="B684" s="30"/>
      <c r="C684" s="70"/>
      <c r="G684" s="30"/>
      <c r="H684" s="77"/>
      <c r="I684" s="77"/>
      <c r="J684" s="58"/>
      <c r="K684" s="58"/>
      <c r="L684" s="3"/>
    </row>
    <row r="685" spans="1:12" s="71" customFormat="1">
      <c r="A685" s="87"/>
      <c r="B685" s="30"/>
      <c r="C685" s="70"/>
      <c r="G685" s="30"/>
      <c r="H685" s="77"/>
      <c r="I685" s="77"/>
      <c r="J685" s="58"/>
      <c r="K685" s="58"/>
      <c r="L685" s="3"/>
    </row>
    <row r="686" spans="1:12" s="71" customFormat="1">
      <c r="A686" s="87"/>
      <c r="B686" s="30"/>
      <c r="C686" s="70"/>
      <c r="G686" s="30"/>
      <c r="H686" s="77"/>
      <c r="I686" s="77"/>
      <c r="J686" s="58"/>
      <c r="K686" s="58"/>
      <c r="L686" s="3"/>
    </row>
    <row r="687" spans="1:12" s="71" customFormat="1">
      <c r="A687" s="87"/>
      <c r="B687" s="30"/>
      <c r="C687" s="70"/>
      <c r="G687" s="30"/>
      <c r="H687" s="77"/>
      <c r="I687" s="77"/>
      <c r="J687" s="58"/>
      <c r="K687" s="58"/>
      <c r="L687" s="3"/>
    </row>
    <row r="688" spans="1:12" s="71" customFormat="1">
      <c r="A688" s="87"/>
      <c r="B688" s="30"/>
      <c r="C688" s="70"/>
      <c r="G688" s="30"/>
      <c r="H688" s="77"/>
      <c r="I688" s="77"/>
      <c r="J688" s="58"/>
      <c r="K688" s="58"/>
      <c r="L688" s="3"/>
    </row>
    <row r="689" spans="1:12" s="71" customFormat="1">
      <c r="A689" s="87"/>
      <c r="B689" s="30"/>
      <c r="C689" s="70"/>
      <c r="G689" s="30"/>
      <c r="H689" s="77"/>
      <c r="I689" s="77"/>
      <c r="J689" s="58"/>
      <c r="K689" s="58"/>
      <c r="L689" s="3"/>
    </row>
    <row r="690" spans="1:12" s="71" customFormat="1">
      <c r="A690" s="87"/>
      <c r="B690" s="30"/>
      <c r="C690" s="70"/>
      <c r="G690" s="30"/>
      <c r="H690" s="77"/>
      <c r="I690" s="77"/>
      <c r="J690" s="58"/>
      <c r="K690" s="58"/>
      <c r="L690" s="3"/>
    </row>
    <row r="691" spans="1:12" s="71" customFormat="1">
      <c r="A691" s="87"/>
      <c r="B691" s="30"/>
      <c r="C691" s="70"/>
      <c r="G691" s="30"/>
      <c r="H691" s="77"/>
      <c r="I691" s="77"/>
      <c r="J691" s="58"/>
      <c r="K691" s="58"/>
      <c r="L691" s="3"/>
    </row>
    <row r="692" spans="1:12" s="71" customFormat="1">
      <c r="A692" s="87"/>
      <c r="B692" s="30"/>
      <c r="C692" s="70"/>
      <c r="G692" s="30"/>
      <c r="H692" s="77"/>
      <c r="I692" s="77"/>
      <c r="J692" s="58"/>
      <c r="K692" s="58"/>
      <c r="L692" s="3"/>
    </row>
    <row r="693" spans="1:12" s="71" customFormat="1">
      <c r="A693" s="87"/>
      <c r="B693" s="30"/>
      <c r="C693" s="70"/>
      <c r="G693" s="30"/>
      <c r="H693" s="77"/>
      <c r="I693" s="77"/>
      <c r="J693" s="58"/>
      <c r="K693" s="58"/>
      <c r="L693" s="3"/>
    </row>
    <row r="694" spans="1:12" s="71" customFormat="1">
      <c r="A694" s="87"/>
      <c r="B694" s="30"/>
      <c r="C694" s="70"/>
      <c r="G694" s="30"/>
      <c r="H694" s="77"/>
      <c r="I694" s="77"/>
      <c r="J694" s="58"/>
      <c r="K694" s="58"/>
      <c r="L694" s="3"/>
    </row>
    <row r="695" spans="1:12" s="71" customFormat="1">
      <c r="A695" s="87"/>
      <c r="B695" s="30"/>
      <c r="C695" s="70"/>
      <c r="G695" s="30"/>
      <c r="H695" s="77"/>
      <c r="I695" s="77"/>
      <c r="J695" s="58"/>
      <c r="K695" s="58"/>
      <c r="L695" s="3"/>
    </row>
    <row r="696" spans="1:12" s="71" customFormat="1">
      <c r="A696" s="87"/>
      <c r="B696" s="30"/>
      <c r="C696" s="70"/>
      <c r="G696" s="30"/>
      <c r="H696" s="77"/>
      <c r="I696" s="77"/>
      <c r="J696" s="58"/>
      <c r="K696" s="58"/>
      <c r="L696" s="3"/>
    </row>
    <row r="697" spans="1:12" s="71" customFormat="1">
      <c r="A697" s="87"/>
      <c r="B697" s="30"/>
      <c r="C697" s="70"/>
      <c r="G697" s="30"/>
      <c r="H697" s="77"/>
      <c r="I697" s="77"/>
      <c r="J697" s="58"/>
      <c r="K697" s="58"/>
      <c r="L697" s="3"/>
    </row>
    <row r="698" spans="1:12" s="71" customFormat="1">
      <c r="A698" s="87"/>
      <c r="B698" s="30"/>
      <c r="C698" s="70"/>
      <c r="G698" s="30"/>
      <c r="H698" s="77"/>
      <c r="I698" s="77"/>
      <c r="J698" s="58"/>
      <c r="K698" s="58"/>
      <c r="L698" s="3"/>
    </row>
    <row r="699" spans="1:12" s="71" customFormat="1">
      <c r="A699" s="87"/>
      <c r="B699" s="30"/>
      <c r="C699" s="70"/>
      <c r="G699" s="30"/>
      <c r="H699" s="77"/>
      <c r="I699" s="77"/>
      <c r="J699" s="58"/>
      <c r="K699" s="58"/>
      <c r="L699" s="3"/>
    </row>
    <row r="700" spans="1:12" s="71" customFormat="1">
      <c r="A700" s="87"/>
      <c r="B700" s="30"/>
      <c r="C700" s="70"/>
      <c r="G700" s="30"/>
      <c r="H700" s="77"/>
      <c r="I700" s="77"/>
      <c r="J700" s="58"/>
      <c r="K700" s="58"/>
      <c r="L700" s="3"/>
    </row>
    <row r="701" spans="1:12" s="71" customFormat="1">
      <c r="A701" s="87"/>
      <c r="B701" s="30"/>
      <c r="C701" s="70"/>
      <c r="G701" s="30"/>
      <c r="H701" s="77"/>
      <c r="I701" s="77"/>
      <c r="J701" s="58"/>
      <c r="K701" s="58"/>
      <c r="L701" s="3"/>
    </row>
    <row r="702" spans="1:12" s="71" customFormat="1">
      <c r="A702" s="87"/>
      <c r="B702" s="30"/>
      <c r="C702" s="70"/>
      <c r="G702" s="30"/>
      <c r="H702" s="77"/>
      <c r="I702" s="77"/>
      <c r="J702" s="58"/>
      <c r="K702" s="58"/>
      <c r="L702" s="3"/>
    </row>
    <row r="703" spans="1:12" s="71" customFormat="1">
      <c r="A703" s="87"/>
      <c r="B703" s="30"/>
      <c r="C703" s="70"/>
      <c r="G703" s="30"/>
      <c r="H703" s="77"/>
      <c r="I703" s="77"/>
      <c r="J703" s="58"/>
      <c r="K703" s="58"/>
      <c r="L703" s="3"/>
    </row>
    <row r="704" spans="1:12" s="71" customFormat="1">
      <c r="A704" s="87"/>
      <c r="B704" s="30"/>
      <c r="C704" s="70"/>
      <c r="G704" s="30"/>
      <c r="H704" s="77"/>
      <c r="I704" s="77"/>
      <c r="J704" s="58"/>
      <c r="K704" s="58"/>
      <c r="L704" s="3"/>
    </row>
    <row r="705" spans="1:12" s="71" customFormat="1">
      <c r="A705" s="87"/>
      <c r="B705" s="30"/>
      <c r="C705" s="70"/>
      <c r="G705" s="30"/>
      <c r="H705" s="77"/>
      <c r="I705" s="77"/>
      <c r="J705" s="58"/>
      <c r="K705" s="58"/>
      <c r="L705" s="3"/>
    </row>
    <row r="706" spans="1:12" s="71" customFormat="1">
      <c r="A706" s="87"/>
      <c r="B706" s="30"/>
      <c r="C706" s="70"/>
      <c r="G706" s="30"/>
      <c r="H706" s="77"/>
      <c r="I706" s="77"/>
      <c r="J706" s="58"/>
      <c r="K706" s="58"/>
      <c r="L706" s="3"/>
    </row>
    <row r="707" spans="1:12" s="71" customFormat="1">
      <c r="A707" s="87"/>
      <c r="B707" s="30"/>
      <c r="C707" s="70"/>
      <c r="G707" s="30"/>
      <c r="H707" s="77"/>
      <c r="I707" s="77"/>
      <c r="J707" s="58"/>
      <c r="K707" s="58"/>
      <c r="L707" s="3"/>
    </row>
    <row r="708" spans="1:12" s="71" customFormat="1">
      <c r="A708" s="87"/>
      <c r="B708" s="30"/>
      <c r="C708" s="70"/>
      <c r="G708" s="30"/>
      <c r="H708" s="77"/>
      <c r="I708" s="77"/>
      <c r="J708" s="58"/>
      <c r="K708" s="58"/>
      <c r="L708" s="3"/>
    </row>
    <row r="709" spans="1:12" s="71" customFormat="1">
      <c r="A709" s="87"/>
      <c r="B709" s="30"/>
      <c r="C709" s="70"/>
      <c r="G709" s="30"/>
      <c r="H709" s="77"/>
      <c r="I709" s="77"/>
      <c r="J709" s="58"/>
      <c r="K709" s="58"/>
      <c r="L709" s="3"/>
    </row>
    <row r="710" spans="1:12" s="71" customFormat="1">
      <c r="A710" s="87"/>
      <c r="B710" s="30"/>
      <c r="C710" s="70"/>
      <c r="G710" s="30"/>
      <c r="H710" s="77"/>
      <c r="I710" s="77"/>
      <c r="J710" s="58"/>
      <c r="K710" s="58"/>
      <c r="L710" s="3"/>
    </row>
    <row r="711" spans="1:12" s="71" customFormat="1">
      <c r="A711" s="87"/>
      <c r="B711" s="30"/>
      <c r="C711" s="70"/>
      <c r="G711" s="30"/>
      <c r="H711" s="77"/>
      <c r="I711" s="77"/>
      <c r="J711" s="58"/>
      <c r="K711" s="58"/>
      <c r="L711" s="3"/>
    </row>
    <row r="712" spans="1:12" s="71" customFormat="1">
      <c r="A712" s="87"/>
      <c r="B712" s="30"/>
      <c r="C712" s="70"/>
      <c r="G712" s="30"/>
      <c r="H712" s="77"/>
      <c r="I712" s="77"/>
      <c r="J712" s="58"/>
      <c r="K712" s="58"/>
      <c r="L712" s="3"/>
    </row>
    <row r="713" spans="1:12" s="71" customFormat="1">
      <c r="A713" s="87"/>
      <c r="B713" s="30"/>
      <c r="C713" s="70"/>
      <c r="G713" s="30"/>
      <c r="H713" s="77"/>
      <c r="I713" s="77"/>
      <c r="J713" s="58"/>
      <c r="K713" s="58"/>
      <c r="L713" s="3"/>
    </row>
    <row r="714" spans="1:12" s="71" customFormat="1">
      <c r="A714" s="87"/>
      <c r="B714" s="30"/>
      <c r="C714" s="70"/>
      <c r="G714" s="30"/>
      <c r="H714" s="77"/>
      <c r="I714" s="77"/>
      <c r="J714" s="58"/>
      <c r="K714" s="58"/>
      <c r="L714" s="3"/>
    </row>
    <row r="715" spans="1:12" s="71" customFormat="1">
      <c r="A715" s="87"/>
      <c r="B715" s="30"/>
      <c r="C715" s="70"/>
      <c r="G715" s="30"/>
      <c r="H715" s="77"/>
      <c r="I715" s="77"/>
      <c r="J715" s="58"/>
      <c r="K715" s="58"/>
      <c r="L715" s="3"/>
    </row>
    <row r="716" spans="1:12" s="71" customFormat="1">
      <c r="A716" s="87"/>
      <c r="B716" s="30"/>
      <c r="C716" s="70"/>
      <c r="G716" s="30"/>
      <c r="H716" s="77"/>
      <c r="I716" s="77"/>
      <c r="J716" s="58"/>
      <c r="K716" s="58"/>
      <c r="L716" s="3"/>
    </row>
    <row r="717" spans="1:12" s="71" customFormat="1">
      <c r="A717" s="87"/>
      <c r="B717" s="30"/>
      <c r="C717" s="70"/>
      <c r="G717" s="30"/>
      <c r="H717" s="77"/>
      <c r="I717" s="77"/>
      <c r="J717" s="58"/>
      <c r="K717" s="58"/>
      <c r="L717" s="3"/>
    </row>
    <row r="718" spans="1:12" s="71" customFormat="1">
      <c r="A718" s="87"/>
      <c r="B718" s="30"/>
      <c r="C718" s="70"/>
      <c r="G718" s="30"/>
      <c r="H718" s="77"/>
      <c r="I718" s="77"/>
      <c r="J718" s="58"/>
      <c r="K718" s="58"/>
      <c r="L718" s="3"/>
    </row>
    <row r="719" spans="1:12" s="71" customFormat="1">
      <c r="A719" s="87"/>
      <c r="B719" s="30"/>
      <c r="C719" s="70"/>
      <c r="G719" s="30"/>
      <c r="H719" s="77"/>
      <c r="I719" s="77"/>
      <c r="J719" s="58"/>
      <c r="K719" s="58"/>
      <c r="L719" s="3"/>
    </row>
    <row r="720" spans="1:12" s="71" customFormat="1">
      <c r="A720" s="87"/>
      <c r="B720" s="30"/>
      <c r="C720" s="70"/>
      <c r="G720" s="30"/>
      <c r="H720" s="77"/>
      <c r="I720" s="77"/>
      <c r="J720" s="58"/>
      <c r="K720" s="58"/>
      <c r="L720" s="3"/>
    </row>
    <row r="721" spans="1:12" s="71" customFormat="1">
      <c r="A721" s="87"/>
      <c r="B721" s="30"/>
      <c r="C721" s="70"/>
      <c r="G721" s="30"/>
      <c r="H721" s="77"/>
      <c r="I721" s="77"/>
      <c r="J721" s="58"/>
      <c r="K721" s="58"/>
      <c r="L721" s="3"/>
    </row>
    <row r="722" spans="1:12" s="71" customFormat="1">
      <c r="A722" s="87"/>
      <c r="B722" s="30"/>
      <c r="C722" s="70"/>
      <c r="G722" s="30"/>
      <c r="H722" s="77"/>
      <c r="I722" s="77"/>
      <c r="J722" s="58"/>
      <c r="K722" s="58"/>
      <c r="L722" s="3"/>
    </row>
    <row r="723" spans="1:12" s="71" customFormat="1">
      <c r="A723" s="87"/>
      <c r="B723" s="30"/>
      <c r="C723" s="70"/>
      <c r="G723" s="30"/>
      <c r="H723" s="77"/>
      <c r="I723" s="77"/>
      <c r="J723" s="58"/>
      <c r="K723" s="58"/>
      <c r="L723" s="3"/>
    </row>
    <row r="724" spans="1:12" s="71" customFormat="1">
      <c r="A724" s="87"/>
      <c r="B724" s="30"/>
      <c r="C724" s="70"/>
      <c r="G724" s="30"/>
      <c r="H724" s="77"/>
      <c r="I724" s="77"/>
      <c r="J724" s="58"/>
      <c r="K724" s="58"/>
      <c r="L724" s="3"/>
    </row>
    <row r="725" spans="1:12" s="71" customFormat="1">
      <c r="A725" s="87"/>
      <c r="B725" s="30"/>
      <c r="C725" s="70"/>
      <c r="G725" s="30"/>
      <c r="H725" s="77"/>
      <c r="I725" s="77"/>
      <c r="J725" s="58"/>
      <c r="K725" s="58"/>
      <c r="L725" s="3"/>
    </row>
    <row r="726" spans="1:12" s="71" customFormat="1">
      <c r="A726" s="87"/>
      <c r="B726" s="30"/>
      <c r="C726" s="70"/>
      <c r="G726" s="30"/>
      <c r="H726" s="77"/>
      <c r="I726" s="77"/>
      <c r="J726" s="58"/>
      <c r="K726" s="58"/>
      <c r="L726" s="3"/>
    </row>
    <row r="727" spans="1:12" s="71" customFormat="1">
      <c r="A727" s="87"/>
      <c r="B727" s="30"/>
      <c r="C727" s="70"/>
      <c r="G727" s="30"/>
      <c r="H727" s="77"/>
      <c r="I727" s="77"/>
      <c r="J727" s="58"/>
      <c r="K727" s="58"/>
      <c r="L727" s="3"/>
    </row>
    <row r="728" spans="1:12" s="71" customFormat="1">
      <c r="A728" s="87"/>
      <c r="B728" s="30"/>
      <c r="C728" s="70"/>
      <c r="G728" s="30"/>
      <c r="H728" s="77"/>
      <c r="I728" s="77"/>
      <c r="J728" s="58"/>
      <c r="K728" s="58"/>
      <c r="L728" s="3"/>
    </row>
    <row r="729" spans="1:12" s="71" customFormat="1">
      <c r="A729" s="87"/>
      <c r="B729" s="30"/>
      <c r="C729" s="70"/>
      <c r="G729" s="30"/>
      <c r="H729" s="77"/>
      <c r="I729" s="77"/>
      <c r="J729" s="58"/>
      <c r="K729" s="58"/>
      <c r="L729" s="3"/>
    </row>
    <row r="730" spans="1:12" s="71" customFormat="1">
      <c r="A730" s="87"/>
      <c r="B730" s="30"/>
      <c r="C730" s="70"/>
      <c r="G730" s="30"/>
      <c r="H730" s="77"/>
      <c r="I730" s="77"/>
      <c r="J730" s="58"/>
      <c r="K730" s="58"/>
      <c r="L730" s="3"/>
    </row>
    <row r="731" spans="1:12" s="71" customFormat="1">
      <c r="A731" s="87"/>
      <c r="B731" s="30"/>
      <c r="C731" s="70"/>
      <c r="G731" s="30"/>
      <c r="H731" s="77"/>
      <c r="I731" s="77"/>
      <c r="J731" s="58"/>
      <c r="K731" s="58"/>
      <c r="L731" s="3"/>
    </row>
    <row r="732" spans="1:12" s="71" customFormat="1">
      <c r="A732" s="87"/>
      <c r="B732" s="30"/>
      <c r="C732" s="70"/>
      <c r="G732" s="30"/>
      <c r="H732" s="77"/>
      <c r="I732" s="77"/>
      <c r="J732" s="58"/>
      <c r="K732" s="58"/>
      <c r="L732" s="3"/>
    </row>
    <row r="733" spans="1:12" s="71" customFormat="1">
      <c r="A733" s="87"/>
      <c r="B733" s="30"/>
      <c r="C733" s="70"/>
      <c r="G733" s="30"/>
      <c r="H733" s="77"/>
      <c r="I733" s="77"/>
      <c r="J733" s="58"/>
      <c r="K733" s="58"/>
      <c r="L733" s="3"/>
    </row>
    <row r="734" spans="1:12" s="71" customFormat="1">
      <c r="A734" s="87"/>
      <c r="B734" s="30"/>
      <c r="C734" s="70"/>
      <c r="G734" s="30"/>
      <c r="H734" s="77"/>
      <c r="I734" s="77"/>
      <c r="J734" s="58"/>
      <c r="K734" s="58"/>
      <c r="L734" s="3"/>
    </row>
    <row r="735" spans="1:12" s="71" customFormat="1">
      <c r="A735" s="87"/>
      <c r="B735" s="30"/>
      <c r="C735" s="70"/>
      <c r="G735" s="30"/>
      <c r="H735" s="77"/>
      <c r="I735" s="77"/>
      <c r="J735" s="58"/>
      <c r="K735" s="58"/>
      <c r="L735" s="3"/>
    </row>
    <row r="736" spans="1:12" s="71" customFormat="1">
      <c r="A736" s="87"/>
      <c r="B736" s="30"/>
      <c r="C736" s="70"/>
      <c r="G736" s="30"/>
      <c r="H736" s="77"/>
      <c r="I736" s="77"/>
      <c r="J736" s="58"/>
      <c r="K736" s="58"/>
      <c r="L736" s="3"/>
    </row>
    <row r="737" spans="1:12" s="71" customFormat="1">
      <c r="A737" s="87"/>
      <c r="B737" s="30"/>
      <c r="C737" s="70"/>
      <c r="G737" s="30"/>
      <c r="H737" s="77"/>
      <c r="I737" s="77"/>
      <c r="J737" s="58"/>
      <c r="K737" s="58"/>
      <c r="L737" s="3"/>
    </row>
    <row r="738" spans="1:12" s="71" customFormat="1">
      <c r="A738" s="87"/>
      <c r="B738" s="30"/>
      <c r="C738" s="70"/>
      <c r="G738" s="30"/>
      <c r="H738" s="77"/>
      <c r="I738" s="77"/>
      <c r="J738" s="58"/>
      <c r="K738" s="58"/>
      <c r="L738" s="3"/>
    </row>
    <row r="739" spans="1:12" s="71" customFormat="1">
      <c r="A739" s="87"/>
      <c r="B739" s="30"/>
      <c r="C739" s="70"/>
      <c r="G739" s="30"/>
      <c r="H739" s="77"/>
      <c r="I739" s="77"/>
      <c r="J739" s="58"/>
      <c r="K739" s="58"/>
      <c r="L739" s="3"/>
    </row>
    <row r="740" spans="1:12" s="71" customFormat="1">
      <c r="A740" s="87"/>
      <c r="B740" s="30"/>
      <c r="C740" s="70"/>
      <c r="G740" s="30"/>
      <c r="H740" s="77"/>
      <c r="I740" s="77"/>
      <c r="J740" s="58"/>
      <c r="K740" s="58"/>
      <c r="L740" s="3"/>
    </row>
    <row r="741" spans="1:12" s="71" customFormat="1">
      <c r="A741" s="87"/>
      <c r="B741" s="30"/>
      <c r="C741" s="70"/>
      <c r="G741" s="30"/>
      <c r="H741" s="77"/>
      <c r="I741" s="77"/>
      <c r="J741" s="58"/>
      <c r="K741" s="58"/>
      <c r="L741" s="3"/>
    </row>
    <row r="742" spans="1:12" s="71" customFormat="1">
      <c r="A742" s="87"/>
      <c r="B742" s="30"/>
      <c r="C742" s="70"/>
      <c r="G742" s="30"/>
      <c r="H742" s="77"/>
      <c r="I742" s="77"/>
      <c r="J742" s="58"/>
      <c r="K742" s="58"/>
      <c r="L742" s="3"/>
    </row>
    <row r="743" spans="1:12" s="71" customFormat="1">
      <c r="A743" s="87"/>
      <c r="B743" s="30"/>
      <c r="C743" s="70"/>
      <c r="G743" s="30"/>
      <c r="H743" s="77"/>
      <c r="I743" s="77"/>
      <c r="J743" s="58"/>
      <c r="K743" s="58"/>
      <c r="L743" s="3"/>
    </row>
    <row r="744" spans="1:12" s="71" customFormat="1">
      <c r="A744" s="87"/>
      <c r="B744" s="30"/>
      <c r="C744" s="70"/>
      <c r="G744" s="30"/>
      <c r="H744" s="77"/>
      <c r="I744" s="77"/>
      <c r="J744" s="58"/>
      <c r="K744" s="58"/>
      <c r="L744" s="3"/>
    </row>
    <row r="745" spans="1:12" s="71" customFormat="1">
      <c r="A745" s="87"/>
      <c r="B745" s="30"/>
      <c r="C745" s="70"/>
      <c r="G745" s="30"/>
      <c r="H745" s="77"/>
      <c r="I745" s="77"/>
      <c r="J745" s="58"/>
      <c r="K745" s="58"/>
      <c r="L745" s="3"/>
    </row>
    <row r="746" spans="1:12" s="71" customFormat="1">
      <c r="A746" s="87"/>
      <c r="B746" s="30"/>
      <c r="C746" s="70"/>
      <c r="G746" s="30"/>
      <c r="H746" s="77"/>
      <c r="I746" s="77"/>
      <c r="J746" s="58"/>
      <c r="K746" s="58"/>
      <c r="L746" s="3"/>
    </row>
    <row r="747" spans="1:12" s="71" customFormat="1">
      <c r="A747" s="87"/>
      <c r="B747" s="30"/>
      <c r="C747" s="70"/>
      <c r="G747" s="30"/>
      <c r="H747" s="77"/>
      <c r="I747" s="77"/>
      <c r="J747" s="58"/>
      <c r="K747" s="58"/>
      <c r="L747" s="3"/>
    </row>
    <row r="748" spans="1:12" s="71" customFormat="1">
      <c r="A748" s="87"/>
      <c r="B748" s="30"/>
      <c r="C748" s="70"/>
      <c r="G748" s="30"/>
      <c r="H748" s="77"/>
      <c r="I748" s="77"/>
      <c r="J748" s="58"/>
      <c r="K748" s="58"/>
      <c r="L748" s="3"/>
    </row>
    <row r="749" spans="1:12" s="71" customFormat="1">
      <c r="A749" s="87"/>
      <c r="B749" s="30"/>
      <c r="C749" s="70"/>
      <c r="G749" s="30"/>
      <c r="H749" s="77"/>
      <c r="I749" s="77"/>
      <c r="J749" s="58"/>
      <c r="K749" s="58"/>
      <c r="L749" s="3"/>
    </row>
    <row r="750" spans="1:12" s="71" customFormat="1">
      <c r="A750" s="87"/>
      <c r="B750" s="30"/>
      <c r="C750" s="70"/>
      <c r="G750" s="30"/>
      <c r="H750" s="77"/>
      <c r="I750" s="77"/>
      <c r="J750" s="58"/>
      <c r="K750" s="58"/>
      <c r="L750" s="3"/>
    </row>
    <row r="751" spans="1:12" s="71" customFormat="1">
      <c r="A751" s="87"/>
      <c r="B751" s="30"/>
      <c r="C751" s="70"/>
      <c r="G751" s="30"/>
      <c r="H751" s="77"/>
      <c r="I751" s="77"/>
      <c r="J751" s="58"/>
      <c r="K751" s="58"/>
      <c r="L751" s="3"/>
    </row>
    <row r="752" spans="1:12" s="71" customFormat="1">
      <c r="A752" s="87"/>
      <c r="B752" s="30"/>
      <c r="C752" s="70"/>
      <c r="G752" s="30"/>
      <c r="H752" s="77"/>
      <c r="I752" s="77"/>
      <c r="J752" s="58"/>
      <c r="K752" s="58"/>
      <c r="L752" s="3"/>
    </row>
    <row r="753" spans="1:12" s="71" customFormat="1">
      <c r="A753" s="87"/>
      <c r="B753" s="30"/>
      <c r="C753" s="70"/>
      <c r="G753" s="30"/>
      <c r="H753" s="77"/>
      <c r="I753" s="77"/>
      <c r="J753" s="58"/>
      <c r="K753" s="58"/>
      <c r="L753" s="3"/>
    </row>
    <row r="754" spans="1:12" s="71" customFormat="1">
      <c r="A754" s="87"/>
      <c r="B754" s="30"/>
      <c r="C754" s="70"/>
      <c r="G754" s="30"/>
      <c r="H754" s="77"/>
      <c r="I754" s="77"/>
      <c r="J754" s="58"/>
      <c r="K754" s="58"/>
      <c r="L754" s="3"/>
    </row>
    <row r="755" spans="1:12" s="71" customFormat="1">
      <c r="A755" s="87"/>
      <c r="B755" s="30"/>
      <c r="C755" s="70"/>
      <c r="G755" s="30"/>
      <c r="H755" s="77"/>
      <c r="I755" s="77"/>
      <c r="J755" s="58"/>
      <c r="K755" s="58"/>
      <c r="L755" s="3"/>
    </row>
    <row r="756" spans="1:12" s="71" customFormat="1">
      <c r="A756" s="87"/>
      <c r="B756" s="30"/>
      <c r="C756" s="70"/>
      <c r="G756" s="30"/>
      <c r="H756" s="77"/>
      <c r="I756" s="77"/>
      <c r="J756" s="58"/>
      <c r="K756" s="58"/>
      <c r="L756" s="3"/>
    </row>
    <row r="757" spans="1:12" s="71" customFormat="1">
      <c r="A757" s="87"/>
      <c r="B757" s="30"/>
      <c r="C757" s="70"/>
      <c r="G757" s="30"/>
      <c r="H757" s="77"/>
      <c r="I757" s="77"/>
      <c r="J757" s="58"/>
      <c r="K757" s="58"/>
      <c r="L757" s="3"/>
    </row>
    <row r="758" spans="1:12" s="71" customFormat="1">
      <c r="A758" s="87"/>
      <c r="B758" s="30"/>
      <c r="C758" s="70"/>
      <c r="G758" s="30"/>
      <c r="H758" s="77"/>
      <c r="I758" s="77"/>
      <c r="J758" s="58"/>
      <c r="K758" s="58"/>
      <c r="L758" s="3"/>
    </row>
    <row r="759" spans="1:12" s="71" customFormat="1">
      <c r="A759" s="87"/>
      <c r="B759" s="30"/>
      <c r="C759" s="70"/>
      <c r="G759" s="30"/>
      <c r="H759" s="77"/>
      <c r="I759" s="77"/>
      <c r="J759" s="58"/>
      <c r="K759" s="58"/>
      <c r="L759" s="3"/>
    </row>
    <row r="760" spans="1:12" s="71" customFormat="1">
      <c r="A760" s="87"/>
      <c r="B760" s="30"/>
      <c r="C760" s="70"/>
      <c r="G760" s="30"/>
      <c r="H760" s="77"/>
      <c r="I760" s="77"/>
      <c r="J760" s="58"/>
      <c r="K760" s="58"/>
      <c r="L760" s="3"/>
    </row>
    <row r="761" spans="1:12" s="71" customFormat="1">
      <c r="A761" s="87"/>
      <c r="B761" s="30"/>
      <c r="C761" s="70"/>
      <c r="G761" s="30"/>
      <c r="H761" s="77"/>
      <c r="I761" s="77"/>
      <c r="J761" s="58"/>
      <c r="K761" s="58"/>
      <c r="L761" s="3"/>
    </row>
    <row r="762" spans="1:12" s="71" customFormat="1">
      <c r="A762" s="87"/>
      <c r="B762" s="30"/>
      <c r="C762" s="70"/>
      <c r="G762" s="30"/>
      <c r="H762" s="77"/>
      <c r="I762" s="77"/>
      <c r="J762" s="58"/>
      <c r="K762" s="58"/>
      <c r="L762" s="3"/>
    </row>
    <row r="763" spans="1:12" s="71" customFormat="1">
      <c r="A763" s="87"/>
      <c r="B763" s="30"/>
      <c r="C763" s="70"/>
      <c r="G763" s="30"/>
      <c r="H763" s="77"/>
      <c r="I763" s="77"/>
      <c r="J763" s="58"/>
      <c r="K763" s="58"/>
      <c r="L763" s="3"/>
    </row>
    <row r="764" spans="1:12" s="71" customFormat="1">
      <c r="A764" s="87"/>
      <c r="B764" s="30"/>
      <c r="C764" s="70"/>
      <c r="G764" s="30"/>
      <c r="H764" s="77"/>
      <c r="I764" s="77"/>
      <c r="J764" s="58"/>
      <c r="K764" s="58"/>
      <c r="L764" s="3"/>
    </row>
    <row r="765" spans="1:12" s="71" customFormat="1">
      <c r="A765" s="87"/>
      <c r="B765" s="30"/>
      <c r="C765" s="70"/>
      <c r="G765" s="30"/>
      <c r="H765" s="77"/>
      <c r="I765" s="77"/>
      <c r="J765" s="58"/>
      <c r="K765" s="58"/>
      <c r="L765" s="3"/>
    </row>
    <row r="766" spans="1:12" s="71" customFormat="1">
      <c r="A766" s="87"/>
      <c r="B766" s="30"/>
      <c r="C766" s="70"/>
      <c r="G766" s="30"/>
      <c r="H766" s="77"/>
      <c r="I766" s="77"/>
      <c r="J766" s="58"/>
      <c r="K766" s="58"/>
      <c r="L766" s="3"/>
    </row>
    <row r="767" spans="1:12" s="71" customFormat="1">
      <c r="A767" s="87"/>
      <c r="B767" s="30"/>
      <c r="C767" s="70"/>
      <c r="G767" s="30"/>
      <c r="H767" s="77"/>
      <c r="I767" s="77"/>
      <c r="J767" s="58"/>
      <c r="K767" s="58"/>
      <c r="L767" s="3"/>
    </row>
    <row r="768" spans="1:12" s="71" customFormat="1">
      <c r="A768" s="87"/>
      <c r="B768" s="30"/>
      <c r="C768" s="70"/>
      <c r="G768" s="30"/>
      <c r="H768" s="77"/>
      <c r="I768" s="77"/>
      <c r="J768" s="58"/>
      <c r="K768" s="58"/>
      <c r="L768" s="3"/>
    </row>
    <row r="769" spans="1:12" s="71" customFormat="1">
      <c r="A769" s="87"/>
      <c r="B769" s="30"/>
      <c r="C769" s="70"/>
      <c r="G769" s="30"/>
      <c r="H769" s="77"/>
      <c r="I769" s="77"/>
      <c r="J769" s="58"/>
      <c r="K769" s="58"/>
      <c r="L769" s="3"/>
    </row>
    <row r="770" spans="1:12" s="71" customFormat="1">
      <c r="A770" s="87"/>
      <c r="B770" s="30"/>
      <c r="C770" s="70"/>
      <c r="G770" s="30"/>
      <c r="H770" s="77"/>
      <c r="I770" s="77"/>
      <c r="J770" s="58"/>
      <c r="K770" s="58"/>
      <c r="L770" s="3"/>
    </row>
    <row r="771" spans="1:12" s="71" customFormat="1">
      <c r="A771" s="87"/>
      <c r="B771" s="30"/>
      <c r="C771" s="70"/>
      <c r="G771" s="30"/>
      <c r="H771" s="77"/>
      <c r="I771" s="77"/>
      <c r="J771" s="58"/>
      <c r="K771" s="58"/>
      <c r="L771" s="3"/>
    </row>
    <row r="772" spans="1:12" s="71" customFormat="1">
      <c r="A772" s="87"/>
      <c r="B772" s="30"/>
      <c r="C772" s="70"/>
      <c r="G772" s="30"/>
      <c r="H772" s="77"/>
      <c r="I772" s="77"/>
      <c r="J772" s="58"/>
      <c r="K772" s="58"/>
      <c r="L772" s="3"/>
    </row>
    <row r="773" spans="1:12" s="71" customFormat="1">
      <c r="A773" s="87"/>
      <c r="B773" s="30"/>
      <c r="C773" s="70"/>
      <c r="G773" s="30"/>
      <c r="H773" s="77"/>
      <c r="I773" s="77"/>
      <c r="J773" s="58"/>
      <c r="K773" s="58"/>
      <c r="L773" s="3"/>
    </row>
    <row r="774" spans="1:12" s="71" customFormat="1">
      <c r="A774" s="87"/>
      <c r="B774" s="30"/>
      <c r="C774" s="70"/>
      <c r="G774" s="30"/>
      <c r="H774" s="77"/>
      <c r="I774" s="77"/>
      <c r="J774" s="58"/>
      <c r="K774" s="58"/>
      <c r="L774" s="3"/>
    </row>
    <row r="775" spans="1:12" s="71" customFormat="1">
      <c r="A775" s="87"/>
      <c r="B775" s="30"/>
      <c r="C775" s="70"/>
      <c r="G775" s="30"/>
      <c r="H775" s="77"/>
      <c r="I775" s="77"/>
      <c r="J775" s="58"/>
      <c r="K775" s="58"/>
      <c r="L775" s="3"/>
    </row>
    <row r="776" spans="1:12" s="71" customFormat="1">
      <c r="A776" s="87"/>
      <c r="B776" s="30"/>
      <c r="C776" s="70"/>
      <c r="G776" s="30"/>
      <c r="H776" s="77"/>
      <c r="I776" s="77"/>
      <c r="J776" s="58"/>
      <c r="K776" s="58"/>
      <c r="L776" s="3"/>
    </row>
    <row r="777" spans="1:12" s="71" customFormat="1">
      <c r="A777" s="87"/>
      <c r="B777" s="30"/>
      <c r="C777" s="70"/>
      <c r="G777" s="30"/>
      <c r="H777" s="77"/>
      <c r="I777" s="77"/>
      <c r="J777" s="58"/>
      <c r="K777" s="58"/>
      <c r="L777" s="3"/>
    </row>
    <row r="778" spans="1:12" s="71" customFormat="1">
      <c r="A778" s="87"/>
      <c r="B778" s="30"/>
      <c r="C778" s="70"/>
      <c r="G778" s="30"/>
      <c r="H778" s="77"/>
      <c r="I778" s="77"/>
      <c r="J778" s="58"/>
      <c r="K778" s="58"/>
      <c r="L778" s="3"/>
    </row>
    <row r="779" spans="1:12" s="71" customFormat="1">
      <c r="A779" s="87"/>
      <c r="B779" s="30"/>
      <c r="C779" s="70"/>
      <c r="G779" s="30"/>
      <c r="H779" s="77"/>
      <c r="I779" s="77"/>
      <c r="J779" s="58"/>
      <c r="K779" s="58"/>
      <c r="L779" s="3"/>
    </row>
    <row r="780" spans="1:12" s="71" customFormat="1">
      <c r="A780" s="87"/>
      <c r="B780" s="30"/>
      <c r="C780" s="70"/>
      <c r="G780" s="30"/>
      <c r="H780" s="77"/>
      <c r="I780" s="77"/>
      <c r="J780" s="58"/>
      <c r="K780" s="58"/>
      <c r="L780" s="3"/>
    </row>
    <row r="781" spans="1:12" s="71" customFormat="1">
      <c r="A781" s="87"/>
      <c r="B781" s="30"/>
      <c r="C781" s="70"/>
      <c r="G781" s="30"/>
      <c r="H781" s="77"/>
      <c r="I781" s="77"/>
      <c r="J781" s="58"/>
      <c r="K781" s="58"/>
      <c r="L781" s="3"/>
    </row>
    <row r="782" spans="1:12" s="71" customFormat="1">
      <c r="A782" s="87"/>
      <c r="B782" s="30"/>
      <c r="C782" s="70"/>
      <c r="G782" s="30"/>
      <c r="H782" s="77"/>
      <c r="I782" s="77"/>
      <c r="J782" s="58"/>
      <c r="K782" s="58"/>
      <c r="L782" s="3"/>
    </row>
    <row r="783" spans="1:12" s="71" customFormat="1">
      <c r="A783" s="87"/>
      <c r="B783" s="30"/>
      <c r="C783" s="70"/>
      <c r="G783" s="30"/>
      <c r="H783" s="77"/>
      <c r="I783" s="77"/>
      <c r="J783" s="58"/>
      <c r="K783" s="58"/>
      <c r="L783" s="3"/>
    </row>
    <row r="784" spans="1:12" s="71" customFormat="1">
      <c r="A784" s="87"/>
      <c r="B784" s="30"/>
      <c r="C784" s="70"/>
      <c r="G784" s="30"/>
      <c r="H784" s="77"/>
      <c r="I784" s="77"/>
      <c r="J784" s="58"/>
      <c r="K784" s="58"/>
      <c r="L784" s="3"/>
    </row>
    <row r="785" spans="1:12" s="71" customFormat="1">
      <c r="A785" s="87"/>
      <c r="B785" s="30"/>
      <c r="C785" s="70"/>
      <c r="G785" s="30"/>
      <c r="H785" s="77"/>
      <c r="I785" s="77"/>
      <c r="J785" s="58"/>
      <c r="K785" s="58"/>
      <c r="L785" s="3"/>
    </row>
    <row r="786" spans="1:12" s="71" customFormat="1">
      <c r="A786" s="87"/>
      <c r="B786" s="30"/>
      <c r="C786" s="70"/>
      <c r="G786" s="30"/>
      <c r="H786" s="77"/>
      <c r="I786" s="77"/>
      <c r="J786" s="58"/>
      <c r="K786" s="58"/>
      <c r="L786" s="3"/>
    </row>
    <row r="787" spans="1:12" s="71" customFormat="1">
      <c r="A787" s="87"/>
      <c r="B787" s="30"/>
      <c r="C787" s="70"/>
      <c r="G787" s="30"/>
      <c r="H787" s="77"/>
      <c r="I787" s="77"/>
      <c r="J787" s="58"/>
      <c r="K787" s="58"/>
      <c r="L787" s="3"/>
    </row>
    <row r="788" spans="1:12" s="71" customFormat="1">
      <c r="A788" s="87"/>
      <c r="B788" s="30"/>
      <c r="C788" s="70"/>
      <c r="G788" s="30"/>
      <c r="H788" s="77"/>
      <c r="I788" s="77"/>
      <c r="J788" s="58"/>
      <c r="K788" s="58"/>
      <c r="L788" s="3"/>
    </row>
    <row r="789" spans="1:12" s="71" customFormat="1">
      <c r="A789" s="87"/>
      <c r="B789" s="30"/>
      <c r="C789" s="70"/>
      <c r="G789" s="30"/>
      <c r="H789" s="77"/>
      <c r="I789" s="77"/>
      <c r="J789" s="58"/>
      <c r="K789" s="58"/>
      <c r="L789" s="3"/>
    </row>
    <row r="790" spans="1:12" s="71" customFormat="1">
      <c r="A790" s="87"/>
      <c r="B790" s="30"/>
      <c r="C790" s="70"/>
      <c r="G790" s="30"/>
      <c r="H790" s="77"/>
      <c r="I790" s="77"/>
      <c r="J790" s="58"/>
      <c r="K790" s="58"/>
      <c r="L790" s="3"/>
    </row>
    <row r="791" spans="1:12" s="71" customFormat="1">
      <c r="A791" s="87"/>
      <c r="B791" s="30"/>
      <c r="C791" s="70"/>
      <c r="G791" s="30"/>
      <c r="H791" s="77"/>
      <c r="I791" s="77"/>
      <c r="J791" s="58"/>
      <c r="K791" s="58"/>
      <c r="L791" s="3"/>
    </row>
    <row r="792" spans="1:12" s="71" customFormat="1">
      <c r="A792" s="87"/>
      <c r="B792" s="30"/>
      <c r="C792" s="70"/>
      <c r="G792" s="30"/>
      <c r="H792" s="77"/>
      <c r="I792" s="77"/>
      <c r="J792" s="58"/>
      <c r="K792" s="58"/>
      <c r="L792" s="3"/>
    </row>
    <row r="793" spans="1:12" s="71" customFormat="1">
      <c r="A793" s="87"/>
      <c r="B793" s="30"/>
      <c r="C793" s="70"/>
      <c r="G793" s="30"/>
      <c r="H793" s="77"/>
      <c r="I793" s="77"/>
      <c r="J793" s="58"/>
      <c r="K793" s="58"/>
      <c r="L793" s="3"/>
    </row>
    <row r="794" spans="1:12" s="71" customFormat="1">
      <c r="A794" s="87"/>
      <c r="B794" s="30"/>
      <c r="C794" s="70"/>
      <c r="G794" s="30"/>
      <c r="H794" s="77"/>
      <c r="I794" s="77"/>
      <c r="J794" s="58"/>
      <c r="K794" s="58"/>
      <c r="L794" s="3"/>
    </row>
    <row r="795" spans="1:12" s="71" customFormat="1">
      <c r="A795" s="87"/>
      <c r="B795" s="30"/>
      <c r="C795" s="70"/>
      <c r="G795" s="30"/>
      <c r="H795" s="77"/>
      <c r="I795" s="77"/>
      <c r="J795" s="58"/>
      <c r="K795" s="58"/>
      <c r="L795" s="3"/>
    </row>
    <row r="796" spans="1:12" s="71" customFormat="1">
      <c r="A796" s="87"/>
      <c r="B796" s="30"/>
      <c r="C796" s="70"/>
      <c r="G796" s="30"/>
      <c r="H796" s="77"/>
      <c r="I796" s="77"/>
      <c r="J796" s="58"/>
      <c r="K796" s="58"/>
      <c r="L796" s="3"/>
    </row>
    <row r="797" spans="1:12" s="71" customFormat="1">
      <c r="A797" s="87"/>
      <c r="B797" s="30"/>
      <c r="C797" s="70"/>
      <c r="G797" s="30"/>
      <c r="H797" s="77"/>
      <c r="I797" s="77"/>
      <c r="J797" s="58"/>
      <c r="K797" s="58"/>
      <c r="L797" s="3"/>
    </row>
    <row r="798" spans="1:12" s="71" customFormat="1">
      <c r="A798" s="87"/>
      <c r="B798" s="30"/>
      <c r="C798" s="70"/>
      <c r="G798" s="30"/>
      <c r="H798" s="77"/>
      <c r="I798" s="77"/>
      <c r="J798" s="58"/>
      <c r="K798" s="58"/>
      <c r="L798" s="3"/>
    </row>
    <row r="799" spans="1:12" s="71" customFormat="1">
      <c r="A799" s="87"/>
      <c r="B799" s="30"/>
      <c r="C799" s="70"/>
      <c r="G799" s="30"/>
      <c r="H799" s="77"/>
      <c r="I799" s="77"/>
      <c r="J799" s="58"/>
      <c r="K799" s="58"/>
      <c r="L799" s="3"/>
    </row>
    <row r="800" spans="1:12" s="71" customFormat="1">
      <c r="A800" s="87"/>
      <c r="B800" s="30"/>
      <c r="C800" s="70"/>
      <c r="G800" s="30"/>
      <c r="H800" s="77"/>
      <c r="I800" s="77"/>
      <c r="J800" s="58"/>
      <c r="K800" s="58"/>
      <c r="L800" s="3"/>
    </row>
    <row r="801" spans="1:12" s="71" customFormat="1">
      <c r="A801" s="87"/>
      <c r="B801" s="30"/>
      <c r="C801" s="70"/>
      <c r="G801" s="30"/>
      <c r="H801" s="77"/>
      <c r="I801" s="77"/>
      <c r="J801" s="58"/>
      <c r="K801" s="58"/>
      <c r="L801" s="3"/>
    </row>
    <row r="802" spans="1:12" s="71" customFormat="1">
      <c r="A802" s="87"/>
      <c r="B802" s="30"/>
      <c r="C802" s="70"/>
      <c r="G802" s="30"/>
      <c r="H802" s="77"/>
      <c r="I802" s="77"/>
      <c r="J802" s="58"/>
      <c r="K802" s="58"/>
      <c r="L802" s="3"/>
    </row>
    <row r="803" spans="1:12" s="71" customFormat="1">
      <c r="A803" s="87"/>
      <c r="B803" s="30"/>
      <c r="C803" s="70"/>
      <c r="G803" s="30"/>
      <c r="H803" s="77"/>
      <c r="I803" s="77"/>
      <c r="J803" s="58"/>
      <c r="K803" s="58"/>
      <c r="L803" s="3"/>
    </row>
    <row r="804" spans="1:12" s="71" customFormat="1">
      <c r="A804" s="87"/>
      <c r="B804" s="30"/>
      <c r="C804" s="70"/>
      <c r="G804" s="30"/>
      <c r="H804" s="77"/>
      <c r="I804" s="77"/>
      <c r="J804" s="58"/>
      <c r="K804" s="58"/>
      <c r="L804" s="3"/>
    </row>
    <row r="805" spans="1:12" s="71" customFormat="1">
      <c r="A805" s="87"/>
      <c r="B805" s="30"/>
      <c r="C805" s="70"/>
      <c r="G805" s="30"/>
      <c r="H805" s="77"/>
      <c r="I805" s="77"/>
      <c r="J805" s="58"/>
      <c r="K805" s="58"/>
      <c r="L805" s="3"/>
    </row>
    <row r="806" spans="1:12" s="71" customFormat="1">
      <c r="A806" s="87"/>
      <c r="B806" s="30"/>
      <c r="C806" s="70"/>
      <c r="G806" s="30"/>
      <c r="H806" s="77"/>
      <c r="I806" s="77"/>
      <c r="J806" s="58"/>
      <c r="K806" s="58"/>
      <c r="L806" s="3"/>
    </row>
    <row r="807" spans="1:12" s="71" customFormat="1">
      <c r="A807" s="87"/>
      <c r="B807" s="30"/>
      <c r="C807" s="70"/>
      <c r="G807" s="30"/>
      <c r="H807" s="77"/>
      <c r="I807" s="77"/>
      <c r="J807" s="58"/>
      <c r="K807" s="58"/>
      <c r="L807" s="3"/>
    </row>
    <row r="808" spans="1:12" s="71" customFormat="1">
      <c r="A808" s="87"/>
      <c r="B808" s="30"/>
      <c r="C808" s="70"/>
      <c r="G808" s="30"/>
      <c r="H808" s="77"/>
      <c r="I808" s="77"/>
      <c r="J808" s="58"/>
      <c r="K808" s="58"/>
      <c r="L808" s="3"/>
    </row>
    <row r="809" spans="1:12" s="71" customFormat="1">
      <c r="A809" s="87"/>
      <c r="B809" s="30"/>
      <c r="C809" s="70"/>
      <c r="G809" s="30"/>
      <c r="H809" s="77"/>
      <c r="I809" s="77"/>
      <c r="J809" s="58"/>
      <c r="K809" s="58"/>
      <c r="L809" s="3"/>
    </row>
    <row r="810" spans="1:12" s="71" customFormat="1">
      <c r="A810" s="87"/>
      <c r="B810" s="30"/>
      <c r="C810" s="70"/>
      <c r="G810" s="30"/>
      <c r="H810" s="77"/>
      <c r="I810" s="77"/>
      <c r="J810" s="58"/>
      <c r="K810" s="58"/>
      <c r="L810" s="3"/>
    </row>
    <row r="811" spans="1:12" s="71" customFormat="1">
      <c r="A811" s="87"/>
      <c r="B811" s="30"/>
      <c r="C811" s="70"/>
      <c r="G811" s="30"/>
      <c r="H811" s="77"/>
      <c r="I811" s="77"/>
      <c r="J811" s="58"/>
      <c r="K811" s="58"/>
      <c r="L811" s="3"/>
    </row>
    <row r="812" spans="1:12" s="71" customFormat="1">
      <c r="A812" s="87"/>
      <c r="B812" s="30"/>
      <c r="C812" s="70"/>
      <c r="G812" s="30"/>
      <c r="H812" s="77"/>
      <c r="I812" s="77"/>
      <c r="J812" s="58"/>
      <c r="K812" s="58"/>
      <c r="L812" s="3"/>
    </row>
    <row r="813" spans="1:12" s="71" customFormat="1">
      <c r="A813" s="87"/>
      <c r="B813" s="30"/>
      <c r="C813" s="70"/>
      <c r="G813" s="30"/>
      <c r="H813" s="77"/>
      <c r="I813" s="77"/>
      <c r="J813" s="58"/>
      <c r="K813" s="58"/>
      <c r="L813" s="3"/>
    </row>
    <row r="814" spans="1:12" s="71" customFormat="1">
      <c r="A814" s="87"/>
      <c r="B814" s="30"/>
      <c r="C814" s="70"/>
      <c r="G814" s="30"/>
      <c r="H814" s="77"/>
      <c r="I814" s="77"/>
      <c r="J814" s="58"/>
      <c r="K814" s="58"/>
      <c r="L814" s="3"/>
    </row>
    <row r="815" spans="1:12" s="71" customFormat="1">
      <c r="A815" s="87"/>
      <c r="B815" s="30"/>
      <c r="C815" s="70"/>
      <c r="G815" s="30"/>
      <c r="H815" s="77"/>
      <c r="I815" s="77"/>
      <c r="J815" s="58"/>
      <c r="K815" s="58"/>
      <c r="L815" s="3"/>
    </row>
    <row r="816" spans="1:12" s="71" customFormat="1">
      <c r="A816" s="87"/>
      <c r="B816" s="30"/>
      <c r="C816" s="70"/>
      <c r="G816" s="30"/>
      <c r="H816" s="77"/>
      <c r="I816" s="77"/>
      <c r="J816" s="58"/>
      <c r="K816" s="58"/>
      <c r="L816" s="3"/>
    </row>
    <row r="817" spans="1:12" s="71" customFormat="1">
      <c r="A817" s="87"/>
      <c r="B817" s="30"/>
      <c r="C817" s="70"/>
      <c r="G817" s="30"/>
      <c r="H817" s="77"/>
      <c r="I817" s="77"/>
      <c r="J817" s="58"/>
      <c r="K817" s="58"/>
      <c r="L817" s="3"/>
    </row>
    <row r="818" spans="1:12" s="71" customFormat="1">
      <c r="A818" s="87"/>
      <c r="B818" s="30"/>
      <c r="C818" s="70"/>
      <c r="G818" s="30"/>
      <c r="H818" s="77"/>
      <c r="I818" s="77"/>
      <c r="J818" s="58"/>
      <c r="K818" s="58"/>
      <c r="L818" s="3"/>
    </row>
    <row r="819" spans="1:12" s="71" customFormat="1">
      <c r="A819" s="87"/>
      <c r="B819" s="30"/>
      <c r="C819" s="70"/>
      <c r="G819" s="30"/>
      <c r="H819" s="77"/>
      <c r="I819" s="77"/>
      <c r="J819" s="58"/>
      <c r="K819" s="58"/>
      <c r="L819" s="3"/>
    </row>
    <row r="820" spans="1:12" s="71" customFormat="1">
      <c r="A820" s="87"/>
      <c r="B820" s="30"/>
      <c r="C820" s="70"/>
      <c r="G820" s="30"/>
      <c r="H820" s="77"/>
      <c r="I820" s="77"/>
      <c r="J820" s="58"/>
      <c r="K820" s="58"/>
      <c r="L820" s="3"/>
    </row>
    <row r="821" spans="1:12" s="71" customFormat="1">
      <c r="A821" s="87"/>
      <c r="B821" s="30"/>
      <c r="C821" s="70"/>
      <c r="G821" s="30"/>
      <c r="H821" s="77"/>
      <c r="I821" s="77"/>
      <c r="J821" s="58"/>
      <c r="K821" s="58"/>
      <c r="L821" s="3"/>
    </row>
    <row r="822" spans="1:12" s="71" customFormat="1">
      <c r="A822" s="87"/>
      <c r="B822" s="30"/>
      <c r="C822" s="70"/>
      <c r="G822" s="30"/>
      <c r="H822" s="77"/>
      <c r="I822" s="77"/>
      <c r="J822" s="58"/>
      <c r="K822" s="58"/>
      <c r="L822" s="3"/>
    </row>
    <row r="823" spans="1:12" s="71" customFormat="1">
      <c r="A823" s="87"/>
      <c r="B823" s="30"/>
      <c r="C823" s="70"/>
      <c r="G823" s="30"/>
      <c r="H823" s="77"/>
      <c r="I823" s="77"/>
      <c r="J823" s="58"/>
      <c r="K823" s="58"/>
      <c r="L823" s="3"/>
    </row>
    <row r="824" spans="1:12" s="71" customFormat="1">
      <c r="A824" s="87"/>
      <c r="B824" s="30"/>
      <c r="C824" s="70"/>
      <c r="G824" s="30"/>
      <c r="H824" s="77"/>
      <c r="I824" s="77"/>
      <c r="J824" s="58"/>
      <c r="K824" s="58"/>
      <c r="L824" s="3"/>
    </row>
    <row r="825" spans="1:12" s="71" customFormat="1">
      <c r="A825" s="87"/>
      <c r="B825" s="30"/>
      <c r="C825" s="70"/>
      <c r="G825" s="30"/>
      <c r="H825" s="77"/>
      <c r="I825" s="77"/>
      <c r="J825" s="58"/>
      <c r="K825" s="58"/>
      <c r="L825" s="3"/>
    </row>
    <row r="826" spans="1:12" s="71" customFormat="1">
      <c r="A826" s="87"/>
      <c r="B826" s="30"/>
      <c r="C826" s="70"/>
      <c r="G826" s="30"/>
      <c r="H826" s="77"/>
      <c r="I826" s="77"/>
      <c r="J826" s="58"/>
      <c r="K826" s="58"/>
      <c r="L826" s="3"/>
    </row>
    <row r="827" spans="1:12" s="71" customFormat="1">
      <c r="A827" s="87"/>
      <c r="B827" s="30"/>
      <c r="C827" s="70"/>
      <c r="G827" s="30"/>
      <c r="H827" s="77"/>
      <c r="I827" s="77"/>
      <c r="J827" s="58"/>
      <c r="K827" s="58"/>
      <c r="L827" s="3"/>
    </row>
    <row r="828" spans="1:12" s="71" customFormat="1">
      <c r="A828" s="87"/>
      <c r="B828" s="30"/>
      <c r="C828" s="70"/>
      <c r="G828" s="30"/>
      <c r="H828" s="77"/>
      <c r="I828" s="77"/>
      <c r="J828" s="58"/>
      <c r="K828" s="58"/>
      <c r="L828" s="3"/>
    </row>
    <row r="829" spans="1:12" s="71" customFormat="1">
      <c r="A829" s="87"/>
      <c r="B829" s="30"/>
      <c r="C829" s="70"/>
      <c r="G829" s="30"/>
      <c r="H829" s="77"/>
      <c r="I829" s="77"/>
      <c r="J829" s="58"/>
      <c r="K829" s="58"/>
      <c r="L829" s="3"/>
    </row>
    <row r="830" spans="1:12" s="71" customFormat="1">
      <c r="A830" s="87"/>
      <c r="B830" s="30"/>
      <c r="C830" s="70"/>
      <c r="G830" s="30"/>
      <c r="H830" s="77"/>
      <c r="I830" s="77"/>
      <c r="J830" s="58"/>
      <c r="K830" s="58"/>
      <c r="L830" s="3"/>
    </row>
    <row r="831" spans="1:12" s="71" customFormat="1">
      <c r="A831" s="87"/>
      <c r="B831" s="30"/>
      <c r="C831" s="70"/>
      <c r="G831" s="30"/>
      <c r="H831" s="77"/>
      <c r="I831" s="77"/>
      <c r="J831" s="58"/>
      <c r="K831" s="58"/>
      <c r="L831" s="3"/>
    </row>
    <row r="832" spans="1:12" s="71" customFormat="1">
      <c r="A832" s="87"/>
      <c r="B832" s="30"/>
      <c r="C832" s="70"/>
      <c r="G832" s="30"/>
      <c r="H832" s="77"/>
      <c r="I832" s="77"/>
      <c r="J832" s="58"/>
      <c r="K832" s="58"/>
      <c r="L832" s="3"/>
    </row>
    <row r="833" spans="1:12" s="71" customFormat="1">
      <c r="A833" s="87"/>
      <c r="B833" s="30"/>
      <c r="C833" s="70"/>
      <c r="G833" s="30"/>
      <c r="H833" s="77"/>
      <c r="I833" s="77"/>
      <c r="J833" s="58"/>
      <c r="K833" s="58"/>
      <c r="L833" s="3"/>
    </row>
    <row r="834" spans="1:12" s="71" customFormat="1">
      <c r="A834" s="87"/>
      <c r="B834" s="30"/>
      <c r="C834" s="70"/>
      <c r="G834" s="30"/>
      <c r="H834" s="77"/>
      <c r="I834" s="77"/>
      <c r="J834" s="58"/>
      <c r="K834" s="58"/>
      <c r="L834" s="3"/>
    </row>
    <row r="835" spans="1:12" s="71" customFormat="1">
      <c r="A835" s="87"/>
      <c r="B835" s="30"/>
      <c r="C835" s="70"/>
      <c r="G835" s="30"/>
      <c r="H835" s="77"/>
      <c r="I835" s="77"/>
      <c r="J835" s="58"/>
      <c r="K835" s="58"/>
      <c r="L835" s="3"/>
    </row>
    <row r="836" spans="1:12" s="71" customFormat="1">
      <c r="A836" s="87"/>
      <c r="B836" s="30"/>
      <c r="C836" s="70"/>
      <c r="G836" s="30"/>
      <c r="H836" s="77"/>
      <c r="I836" s="77"/>
      <c r="J836" s="58"/>
      <c r="K836" s="58"/>
      <c r="L836" s="3"/>
    </row>
    <row r="837" spans="1:12" s="71" customFormat="1">
      <c r="A837" s="87"/>
      <c r="B837" s="30"/>
      <c r="C837" s="70"/>
      <c r="G837" s="30"/>
      <c r="H837" s="77"/>
      <c r="I837" s="77"/>
      <c r="J837" s="58"/>
      <c r="K837" s="58"/>
      <c r="L837" s="3"/>
    </row>
    <row r="838" spans="1:12" s="71" customFormat="1">
      <c r="A838" s="87"/>
      <c r="B838" s="30"/>
      <c r="C838" s="70"/>
      <c r="G838" s="30"/>
      <c r="H838" s="77"/>
      <c r="I838" s="77"/>
      <c r="J838" s="58"/>
      <c r="K838" s="58"/>
      <c r="L838" s="3"/>
    </row>
    <row r="839" spans="1:12" s="71" customFormat="1">
      <c r="A839" s="87"/>
      <c r="B839" s="30"/>
      <c r="C839" s="70"/>
      <c r="G839" s="30"/>
      <c r="H839" s="77"/>
      <c r="I839" s="77"/>
      <c r="J839" s="58"/>
      <c r="K839" s="58"/>
      <c r="L839" s="3"/>
    </row>
    <row r="840" spans="1:12" s="71" customFormat="1">
      <c r="A840" s="87"/>
      <c r="B840" s="30"/>
      <c r="C840" s="70"/>
      <c r="G840" s="30"/>
      <c r="H840" s="77"/>
      <c r="I840" s="77"/>
      <c r="J840" s="58"/>
      <c r="K840" s="58"/>
      <c r="L840" s="3"/>
    </row>
    <row r="841" spans="1:12" s="71" customFormat="1">
      <c r="A841" s="87"/>
      <c r="B841" s="30"/>
      <c r="C841" s="70"/>
      <c r="G841" s="30"/>
      <c r="H841" s="77"/>
      <c r="I841" s="77"/>
      <c r="J841" s="58"/>
      <c r="K841" s="58"/>
      <c r="L841" s="3"/>
    </row>
    <row r="842" spans="1:12" s="71" customFormat="1">
      <c r="A842" s="87"/>
      <c r="B842" s="30"/>
      <c r="C842" s="70"/>
      <c r="G842" s="30"/>
      <c r="H842" s="77"/>
      <c r="I842" s="77"/>
      <c r="J842" s="58"/>
      <c r="K842" s="58"/>
      <c r="L842" s="3"/>
    </row>
    <row r="843" spans="1:12" s="71" customFormat="1">
      <c r="A843" s="87"/>
      <c r="B843" s="30"/>
      <c r="C843" s="70"/>
      <c r="G843" s="30"/>
      <c r="H843" s="77"/>
      <c r="I843" s="77"/>
      <c r="J843" s="58"/>
      <c r="K843" s="58"/>
      <c r="L843" s="3"/>
    </row>
    <row r="844" spans="1:12" s="71" customFormat="1">
      <c r="A844" s="87"/>
      <c r="B844" s="30"/>
      <c r="C844" s="70"/>
      <c r="G844" s="30"/>
      <c r="H844" s="77"/>
      <c r="I844" s="77"/>
      <c r="J844" s="58"/>
      <c r="K844" s="58"/>
      <c r="L844" s="3"/>
    </row>
    <row r="845" spans="1:12" s="71" customFormat="1">
      <c r="A845" s="87"/>
      <c r="B845" s="30"/>
      <c r="C845" s="70"/>
      <c r="G845" s="30"/>
      <c r="H845" s="77"/>
      <c r="I845" s="77"/>
      <c r="J845" s="58"/>
      <c r="K845" s="58"/>
      <c r="L845" s="3"/>
    </row>
    <row r="846" spans="1:12" s="71" customFormat="1">
      <c r="A846" s="87"/>
      <c r="B846" s="30"/>
      <c r="C846" s="70"/>
      <c r="G846" s="30"/>
      <c r="H846" s="77"/>
      <c r="I846" s="77"/>
      <c r="J846" s="58"/>
      <c r="K846" s="58"/>
      <c r="L846" s="3"/>
    </row>
    <row r="847" spans="1:12" s="71" customFormat="1">
      <c r="A847" s="87"/>
      <c r="B847" s="30"/>
      <c r="C847" s="70"/>
      <c r="G847" s="30"/>
      <c r="H847" s="77"/>
      <c r="I847" s="77"/>
      <c r="J847" s="58"/>
      <c r="K847" s="58"/>
      <c r="L847" s="3"/>
    </row>
    <row r="848" spans="1:12" s="71" customFormat="1">
      <c r="A848" s="87"/>
      <c r="B848" s="30"/>
      <c r="C848" s="70"/>
      <c r="G848" s="30"/>
      <c r="H848" s="77"/>
      <c r="I848" s="77"/>
      <c r="J848" s="58"/>
      <c r="K848" s="58"/>
      <c r="L848" s="3"/>
    </row>
    <row r="849" spans="1:12" s="71" customFormat="1">
      <c r="A849" s="87"/>
      <c r="B849" s="30"/>
      <c r="C849" s="70"/>
      <c r="G849" s="30"/>
      <c r="H849" s="77"/>
      <c r="I849" s="77"/>
      <c r="J849" s="58"/>
      <c r="K849" s="58"/>
      <c r="L849" s="3"/>
    </row>
    <row r="850" spans="1:12" s="71" customFormat="1">
      <c r="A850" s="87"/>
      <c r="B850" s="30"/>
      <c r="C850" s="70"/>
      <c r="G850" s="30"/>
      <c r="H850" s="77"/>
      <c r="I850" s="77"/>
      <c r="J850" s="58"/>
      <c r="K850" s="58"/>
      <c r="L850" s="3"/>
    </row>
    <row r="851" spans="1:12" s="71" customFormat="1">
      <c r="A851" s="87"/>
      <c r="B851" s="30"/>
      <c r="C851" s="70"/>
      <c r="G851" s="30"/>
      <c r="H851" s="77"/>
      <c r="I851" s="77"/>
      <c r="J851" s="58"/>
      <c r="K851" s="58"/>
      <c r="L851" s="3"/>
    </row>
    <row r="852" spans="1:12" s="71" customFormat="1">
      <c r="A852" s="87"/>
      <c r="B852" s="30"/>
      <c r="C852" s="70"/>
      <c r="G852" s="30"/>
      <c r="H852" s="77"/>
      <c r="I852" s="77"/>
      <c r="J852" s="58"/>
      <c r="K852" s="58"/>
      <c r="L852" s="3"/>
    </row>
    <row r="853" spans="1:12" s="71" customFormat="1">
      <c r="A853" s="87"/>
      <c r="B853" s="30"/>
      <c r="C853" s="70"/>
      <c r="G853" s="30"/>
      <c r="H853" s="77"/>
      <c r="I853" s="77"/>
      <c r="J853" s="58"/>
      <c r="K853" s="58"/>
      <c r="L853" s="3"/>
    </row>
    <row r="854" spans="1:12" s="71" customFormat="1">
      <c r="A854" s="87"/>
      <c r="B854" s="30"/>
      <c r="C854" s="70"/>
      <c r="G854" s="30"/>
      <c r="H854" s="77"/>
      <c r="I854" s="77"/>
      <c r="J854" s="58"/>
      <c r="K854" s="58"/>
      <c r="L854" s="3"/>
    </row>
    <row r="855" spans="1:12" s="71" customFormat="1">
      <c r="A855" s="87"/>
      <c r="B855" s="30"/>
      <c r="C855" s="70"/>
      <c r="G855" s="30"/>
      <c r="H855" s="77"/>
      <c r="I855" s="77"/>
      <c r="J855" s="58"/>
      <c r="K855" s="58"/>
      <c r="L855" s="3"/>
    </row>
    <row r="856" spans="1:12" s="71" customFormat="1">
      <c r="A856" s="87"/>
      <c r="B856" s="30"/>
      <c r="C856" s="70"/>
      <c r="G856" s="30"/>
      <c r="H856" s="77"/>
      <c r="I856" s="77"/>
      <c r="J856" s="58"/>
      <c r="K856" s="58"/>
      <c r="L856" s="3"/>
    </row>
    <row r="857" spans="1:12" s="71" customFormat="1">
      <c r="A857" s="87"/>
      <c r="B857" s="30"/>
      <c r="C857" s="70"/>
      <c r="G857" s="30"/>
      <c r="H857" s="77"/>
      <c r="I857" s="77"/>
      <c r="J857" s="58"/>
      <c r="K857" s="58"/>
      <c r="L857" s="3"/>
    </row>
    <row r="858" spans="1:12" s="71" customFormat="1">
      <c r="A858" s="87"/>
      <c r="B858" s="30"/>
      <c r="C858" s="70"/>
      <c r="G858" s="30"/>
      <c r="H858" s="77"/>
      <c r="I858" s="77"/>
      <c r="J858" s="58"/>
      <c r="K858" s="58"/>
      <c r="L858" s="3"/>
    </row>
    <row r="859" spans="1:12" s="71" customFormat="1">
      <c r="A859" s="87"/>
      <c r="B859" s="30"/>
      <c r="C859" s="70"/>
      <c r="G859" s="30"/>
      <c r="H859" s="77"/>
      <c r="I859" s="77"/>
      <c r="J859" s="58"/>
      <c r="K859" s="58"/>
      <c r="L859" s="3"/>
    </row>
    <row r="860" spans="1:12" s="71" customFormat="1">
      <c r="A860" s="87"/>
      <c r="B860" s="30"/>
      <c r="C860" s="70"/>
      <c r="G860" s="30"/>
      <c r="H860" s="77"/>
      <c r="I860" s="77"/>
      <c r="J860" s="58"/>
      <c r="K860" s="58"/>
      <c r="L860" s="3"/>
    </row>
    <row r="861" spans="1:12" s="71" customFormat="1">
      <c r="A861" s="87"/>
      <c r="B861" s="30"/>
      <c r="C861" s="70"/>
      <c r="G861" s="30"/>
      <c r="H861" s="77"/>
      <c r="I861" s="77"/>
      <c r="J861" s="58"/>
      <c r="K861" s="58"/>
      <c r="L861" s="3"/>
    </row>
    <row r="862" spans="1:12" s="71" customFormat="1">
      <c r="A862" s="87"/>
      <c r="B862" s="30"/>
      <c r="C862" s="70"/>
      <c r="G862" s="30"/>
      <c r="H862" s="77"/>
      <c r="I862" s="77"/>
      <c r="J862" s="58"/>
      <c r="K862" s="58"/>
      <c r="L862" s="3"/>
    </row>
    <row r="863" spans="1:12" s="71" customFormat="1">
      <c r="A863" s="87"/>
      <c r="B863" s="30"/>
      <c r="C863" s="70"/>
      <c r="G863" s="30"/>
      <c r="H863" s="77"/>
      <c r="I863" s="77"/>
      <c r="J863" s="58"/>
      <c r="K863" s="58"/>
      <c r="L863" s="3"/>
    </row>
    <row r="864" spans="1:12" s="71" customFormat="1">
      <c r="A864" s="87"/>
      <c r="B864" s="30"/>
      <c r="C864" s="70"/>
      <c r="G864" s="30"/>
      <c r="H864" s="77"/>
      <c r="I864" s="77"/>
      <c r="J864" s="58"/>
      <c r="K864" s="58"/>
      <c r="L864" s="3"/>
    </row>
    <row r="865" spans="1:12" s="71" customFormat="1">
      <c r="A865" s="87"/>
      <c r="B865" s="30"/>
      <c r="C865" s="70"/>
      <c r="G865" s="30"/>
      <c r="H865" s="77"/>
      <c r="I865" s="77"/>
      <c r="J865" s="58"/>
      <c r="K865" s="58"/>
      <c r="L865" s="3"/>
    </row>
    <row r="866" spans="1:12" s="71" customFormat="1">
      <c r="A866" s="87"/>
      <c r="B866" s="30"/>
      <c r="C866" s="70"/>
      <c r="G866" s="30"/>
      <c r="H866" s="77"/>
      <c r="I866" s="77"/>
      <c r="J866" s="58"/>
      <c r="K866" s="58"/>
      <c r="L866" s="3"/>
    </row>
    <row r="867" spans="1:12" s="71" customFormat="1">
      <c r="A867" s="87"/>
      <c r="B867" s="30"/>
      <c r="C867" s="70"/>
      <c r="G867" s="30"/>
      <c r="H867" s="77"/>
      <c r="I867" s="77"/>
      <c r="J867" s="58"/>
      <c r="K867" s="58"/>
      <c r="L867" s="3"/>
    </row>
    <row r="868" spans="1:12" s="71" customFormat="1">
      <c r="A868" s="87"/>
      <c r="B868" s="30"/>
      <c r="C868" s="70"/>
      <c r="G868" s="30"/>
      <c r="H868" s="77"/>
      <c r="I868" s="77"/>
      <c r="J868" s="58"/>
      <c r="K868" s="58"/>
      <c r="L868" s="3"/>
    </row>
    <row r="869" spans="1:12" s="71" customFormat="1">
      <c r="A869" s="87"/>
      <c r="B869" s="30"/>
      <c r="C869" s="70"/>
      <c r="G869" s="30"/>
      <c r="H869" s="77"/>
      <c r="I869" s="77"/>
      <c r="J869" s="58"/>
      <c r="K869" s="58"/>
      <c r="L869" s="3"/>
    </row>
    <row r="870" spans="1:12" s="71" customFormat="1">
      <c r="A870" s="87"/>
      <c r="B870" s="30"/>
      <c r="C870" s="70"/>
      <c r="G870" s="30"/>
      <c r="H870" s="77"/>
      <c r="I870" s="77"/>
      <c r="J870" s="58"/>
      <c r="K870" s="58"/>
      <c r="L870" s="3"/>
    </row>
    <row r="871" spans="1:12" s="71" customFormat="1">
      <c r="A871" s="87"/>
      <c r="B871" s="30"/>
      <c r="C871" s="70"/>
      <c r="G871" s="30"/>
      <c r="H871" s="77"/>
      <c r="I871" s="77"/>
      <c r="J871" s="58"/>
      <c r="K871" s="58"/>
      <c r="L871" s="3"/>
    </row>
    <row r="872" spans="1:12" s="71" customFormat="1">
      <c r="A872" s="87"/>
      <c r="B872" s="30"/>
      <c r="C872" s="70"/>
      <c r="G872" s="30"/>
      <c r="H872" s="77"/>
      <c r="I872" s="77"/>
      <c r="J872" s="58"/>
      <c r="K872" s="58"/>
      <c r="L872" s="3"/>
    </row>
    <row r="873" spans="1:12" s="71" customFormat="1">
      <c r="A873" s="87"/>
      <c r="B873" s="30"/>
      <c r="C873" s="70"/>
      <c r="G873" s="30"/>
      <c r="H873" s="77"/>
      <c r="I873" s="77"/>
      <c r="J873" s="58"/>
      <c r="K873" s="58"/>
      <c r="L873" s="3"/>
    </row>
    <row r="874" spans="1:12" s="71" customFormat="1">
      <c r="A874" s="87"/>
      <c r="B874" s="30"/>
      <c r="C874" s="70"/>
      <c r="G874" s="30"/>
      <c r="H874" s="77"/>
      <c r="I874" s="77"/>
      <c r="J874" s="58"/>
      <c r="K874" s="58"/>
      <c r="L874" s="3"/>
    </row>
    <row r="875" spans="1:12" s="71" customFormat="1">
      <c r="A875" s="87"/>
      <c r="B875" s="30"/>
      <c r="C875" s="70"/>
      <c r="G875" s="30"/>
      <c r="H875" s="77"/>
      <c r="I875" s="77"/>
      <c r="J875" s="58"/>
      <c r="K875" s="58"/>
      <c r="L875" s="3"/>
    </row>
    <row r="876" spans="1:12" s="71" customFormat="1">
      <c r="A876" s="87"/>
      <c r="B876" s="30"/>
      <c r="C876" s="70"/>
      <c r="G876" s="30"/>
      <c r="H876" s="77"/>
      <c r="I876" s="77"/>
      <c r="J876" s="58"/>
      <c r="K876" s="58"/>
      <c r="L876" s="3"/>
    </row>
    <row r="877" spans="1:12" s="71" customFormat="1">
      <c r="A877" s="87"/>
      <c r="B877" s="30"/>
      <c r="C877" s="70"/>
      <c r="G877" s="30"/>
      <c r="H877" s="77"/>
      <c r="I877" s="77"/>
      <c r="J877" s="58"/>
      <c r="K877" s="58"/>
      <c r="L877" s="3"/>
    </row>
    <row r="878" spans="1:12" s="71" customFormat="1">
      <c r="A878" s="87"/>
      <c r="B878" s="30"/>
      <c r="C878" s="70"/>
      <c r="G878" s="30"/>
      <c r="H878" s="77"/>
      <c r="I878" s="77"/>
      <c r="J878" s="58"/>
      <c r="K878" s="58"/>
      <c r="L878" s="3"/>
    </row>
    <row r="879" spans="1:12" s="71" customFormat="1">
      <c r="A879" s="87"/>
      <c r="B879" s="30"/>
      <c r="C879" s="70"/>
      <c r="G879" s="30"/>
      <c r="H879" s="77"/>
      <c r="I879" s="77"/>
      <c r="J879" s="58"/>
      <c r="K879" s="58"/>
      <c r="L879" s="3"/>
    </row>
    <row r="880" spans="1:12" s="71" customFormat="1">
      <c r="A880" s="87"/>
      <c r="B880" s="30"/>
      <c r="C880" s="70"/>
      <c r="G880" s="30"/>
      <c r="H880" s="77"/>
      <c r="I880" s="77"/>
      <c r="J880" s="58"/>
      <c r="K880" s="58"/>
      <c r="L880" s="3"/>
    </row>
    <row r="881" spans="1:12" s="71" customFormat="1">
      <c r="A881" s="87"/>
      <c r="B881" s="30"/>
      <c r="C881" s="70"/>
      <c r="G881" s="30"/>
      <c r="H881" s="77"/>
      <c r="I881" s="77"/>
      <c r="J881" s="58"/>
      <c r="K881" s="58"/>
      <c r="L881" s="3"/>
    </row>
    <row r="882" spans="1:12" s="71" customFormat="1">
      <c r="A882" s="87"/>
      <c r="B882" s="30"/>
      <c r="C882" s="70"/>
      <c r="G882" s="30"/>
      <c r="H882" s="77"/>
      <c r="I882" s="77"/>
      <c r="J882" s="58"/>
      <c r="K882" s="58"/>
      <c r="L882" s="3"/>
    </row>
    <row r="883" spans="1:12" s="71" customFormat="1">
      <c r="A883" s="87"/>
      <c r="B883" s="30"/>
      <c r="C883" s="70"/>
      <c r="G883" s="30"/>
      <c r="H883" s="77"/>
      <c r="I883" s="77"/>
      <c r="J883" s="58"/>
      <c r="K883" s="58"/>
      <c r="L883" s="3"/>
    </row>
    <row r="884" spans="1:12" s="71" customFormat="1">
      <c r="A884" s="87"/>
      <c r="B884" s="30"/>
      <c r="C884" s="70"/>
      <c r="G884" s="30"/>
      <c r="H884" s="77"/>
      <c r="I884" s="77"/>
      <c r="J884" s="58"/>
      <c r="K884" s="58"/>
      <c r="L884" s="3"/>
    </row>
    <row r="885" spans="1:12" s="71" customFormat="1">
      <c r="A885" s="87"/>
      <c r="B885" s="30"/>
      <c r="C885" s="70"/>
      <c r="G885" s="30"/>
      <c r="H885" s="77"/>
      <c r="I885" s="77"/>
      <c r="J885" s="58"/>
      <c r="K885" s="58"/>
      <c r="L885" s="3"/>
    </row>
    <row r="886" spans="1:12" s="71" customFormat="1">
      <c r="A886" s="87"/>
      <c r="B886" s="30"/>
      <c r="C886" s="70"/>
      <c r="G886" s="30"/>
      <c r="H886" s="77"/>
      <c r="I886" s="77"/>
      <c r="J886" s="58"/>
      <c r="K886" s="58"/>
      <c r="L886" s="3"/>
    </row>
    <row r="887" spans="1:12" s="71" customFormat="1">
      <c r="A887" s="87"/>
      <c r="B887" s="30"/>
      <c r="C887" s="70"/>
      <c r="G887" s="30"/>
      <c r="H887" s="77"/>
      <c r="I887" s="77"/>
      <c r="J887" s="58"/>
      <c r="K887" s="58"/>
      <c r="L887" s="3"/>
    </row>
    <row r="888" spans="1:12" s="71" customFormat="1">
      <c r="A888" s="87"/>
      <c r="B888" s="30"/>
      <c r="C888" s="70"/>
      <c r="G888" s="30"/>
      <c r="H888" s="77"/>
      <c r="I888" s="77"/>
      <c r="J888" s="58"/>
      <c r="K888" s="58"/>
      <c r="L888" s="3"/>
    </row>
    <row r="889" spans="1:12" s="71" customFormat="1">
      <c r="A889" s="87"/>
      <c r="B889" s="30"/>
      <c r="C889" s="70"/>
      <c r="G889" s="30"/>
      <c r="H889" s="77"/>
      <c r="I889" s="77"/>
      <c r="J889" s="58"/>
      <c r="K889" s="58"/>
      <c r="L889" s="3"/>
    </row>
    <row r="890" spans="1:12" s="71" customFormat="1">
      <c r="A890" s="87"/>
      <c r="B890" s="30"/>
      <c r="C890" s="70"/>
      <c r="G890" s="30"/>
      <c r="H890" s="77"/>
      <c r="I890" s="77"/>
      <c r="J890" s="58"/>
      <c r="K890" s="58"/>
      <c r="L890" s="3"/>
    </row>
    <row r="891" spans="1:12" s="71" customFormat="1">
      <c r="A891" s="87"/>
      <c r="B891" s="30"/>
      <c r="C891" s="70"/>
      <c r="G891" s="30"/>
      <c r="H891" s="77"/>
      <c r="I891" s="77"/>
      <c r="J891" s="58"/>
      <c r="K891" s="58"/>
      <c r="L891" s="3"/>
    </row>
    <row r="892" spans="1:12" s="71" customFormat="1">
      <c r="A892" s="87"/>
      <c r="B892" s="30"/>
      <c r="C892" s="70"/>
      <c r="G892" s="30"/>
      <c r="H892" s="77"/>
      <c r="I892" s="77"/>
      <c r="J892" s="58"/>
      <c r="K892" s="58"/>
      <c r="L892" s="3"/>
    </row>
    <row r="893" spans="1:12" s="71" customFormat="1">
      <c r="A893" s="87"/>
      <c r="B893" s="30"/>
      <c r="C893" s="70"/>
      <c r="G893" s="30"/>
      <c r="H893" s="77"/>
      <c r="I893" s="77"/>
      <c r="J893" s="58"/>
      <c r="K893" s="58"/>
      <c r="L893" s="3"/>
    </row>
    <row r="894" spans="1:12" s="71" customFormat="1">
      <c r="A894" s="87"/>
      <c r="B894" s="30"/>
      <c r="C894" s="70"/>
      <c r="G894" s="30"/>
      <c r="H894" s="77"/>
      <c r="I894" s="77"/>
      <c r="J894" s="58"/>
      <c r="K894" s="58"/>
      <c r="L894" s="3"/>
    </row>
    <row r="895" spans="1:12" s="71" customFormat="1">
      <c r="A895" s="87"/>
      <c r="B895" s="30"/>
      <c r="C895" s="70"/>
      <c r="G895" s="30"/>
      <c r="H895" s="77"/>
      <c r="I895" s="77"/>
      <c r="J895" s="58"/>
      <c r="K895" s="58"/>
      <c r="L895" s="3"/>
    </row>
    <row r="896" spans="1:12" s="71" customFormat="1">
      <c r="A896" s="87"/>
      <c r="B896" s="30"/>
      <c r="C896" s="70"/>
      <c r="G896" s="30"/>
      <c r="H896" s="77"/>
      <c r="I896" s="77"/>
      <c r="J896" s="58"/>
      <c r="K896" s="58"/>
      <c r="L896" s="3"/>
    </row>
    <row r="897" spans="1:12" s="71" customFormat="1">
      <c r="A897" s="87"/>
      <c r="B897" s="30"/>
      <c r="C897" s="70"/>
      <c r="G897" s="30"/>
      <c r="H897" s="77"/>
      <c r="I897" s="77"/>
      <c r="J897" s="58"/>
      <c r="K897" s="58"/>
      <c r="L897" s="3"/>
    </row>
    <row r="898" spans="1:12" s="71" customFormat="1">
      <c r="A898" s="87"/>
      <c r="B898" s="30"/>
      <c r="C898" s="70"/>
      <c r="G898" s="30"/>
      <c r="H898" s="77"/>
      <c r="I898" s="77"/>
      <c r="J898" s="58"/>
      <c r="K898" s="58"/>
      <c r="L898" s="3"/>
    </row>
    <row r="899" spans="1:12" s="71" customFormat="1">
      <c r="A899" s="87"/>
      <c r="B899" s="30"/>
      <c r="C899" s="70"/>
      <c r="G899" s="30"/>
      <c r="H899" s="77"/>
      <c r="I899" s="77"/>
      <c r="J899" s="58"/>
      <c r="K899" s="58"/>
      <c r="L899" s="3"/>
    </row>
    <row r="900" spans="1:12" s="71" customFormat="1">
      <c r="A900" s="87"/>
      <c r="B900" s="30"/>
      <c r="C900" s="70"/>
      <c r="G900" s="30"/>
      <c r="H900" s="77"/>
      <c r="I900" s="77"/>
      <c r="J900" s="58"/>
      <c r="K900" s="58"/>
      <c r="L900" s="3"/>
    </row>
    <row r="901" spans="1:12" s="71" customFormat="1">
      <c r="A901" s="87"/>
      <c r="B901" s="30"/>
      <c r="C901" s="70"/>
      <c r="G901" s="30"/>
      <c r="H901" s="77"/>
      <c r="I901" s="77"/>
      <c r="J901" s="58"/>
      <c r="K901" s="58"/>
      <c r="L901" s="3"/>
    </row>
    <row r="902" spans="1:12" s="71" customFormat="1">
      <c r="A902" s="87"/>
      <c r="B902" s="30"/>
      <c r="C902" s="70"/>
      <c r="G902" s="30"/>
      <c r="H902" s="77"/>
      <c r="I902" s="77"/>
      <c r="J902" s="58"/>
      <c r="K902" s="58"/>
      <c r="L902" s="3"/>
    </row>
    <row r="903" spans="1:12" s="71" customFormat="1">
      <c r="A903" s="87"/>
      <c r="B903" s="30"/>
      <c r="C903" s="70"/>
      <c r="G903" s="30"/>
      <c r="H903" s="77"/>
      <c r="I903" s="77"/>
      <c r="J903" s="58"/>
      <c r="K903" s="58"/>
      <c r="L903" s="3"/>
    </row>
    <row r="904" spans="1:12" s="71" customFormat="1">
      <c r="A904" s="87"/>
      <c r="B904" s="30"/>
      <c r="C904" s="70"/>
      <c r="G904" s="30"/>
      <c r="H904" s="77"/>
      <c r="I904" s="77"/>
      <c r="J904" s="58"/>
      <c r="K904" s="58"/>
      <c r="L904" s="3"/>
    </row>
    <row r="905" spans="1:12" s="71" customFormat="1">
      <c r="A905" s="87"/>
      <c r="B905" s="30"/>
      <c r="C905" s="70"/>
      <c r="G905" s="30"/>
      <c r="H905" s="77"/>
      <c r="I905" s="77"/>
      <c r="J905" s="58"/>
      <c r="K905" s="58"/>
      <c r="L905" s="3"/>
    </row>
    <row r="906" spans="1:12" s="71" customFormat="1">
      <c r="A906" s="87"/>
      <c r="B906" s="30"/>
      <c r="C906" s="70"/>
      <c r="G906" s="30"/>
      <c r="H906" s="77"/>
      <c r="I906" s="77"/>
      <c r="J906" s="58"/>
      <c r="K906" s="58"/>
      <c r="L906" s="3"/>
    </row>
    <row r="907" spans="1:12" s="71" customFormat="1">
      <c r="A907" s="87"/>
      <c r="B907" s="30"/>
      <c r="C907" s="70"/>
      <c r="G907" s="30"/>
      <c r="H907" s="77"/>
      <c r="I907" s="77"/>
      <c r="J907" s="58"/>
      <c r="K907" s="58"/>
      <c r="L907" s="3"/>
    </row>
    <row r="908" spans="1:12" s="71" customFormat="1">
      <c r="A908" s="87"/>
      <c r="B908" s="30"/>
      <c r="C908" s="70"/>
      <c r="G908" s="30"/>
      <c r="H908" s="77"/>
      <c r="I908" s="77"/>
      <c r="J908" s="58"/>
      <c r="K908" s="58"/>
      <c r="L908" s="3"/>
    </row>
    <row r="909" spans="1:12" s="71" customFormat="1">
      <c r="A909" s="87"/>
      <c r="B909" s="30"/>
      <c r="C909" s="70"/>
      <c r="G909" s="30"/>
      <c r="H909" s="77"/>
      <c r="I909" s="77"/>
      <c r="J909" s="58"/>
      <c r="K909" s="58"/>
      <c r="L909" s="3"/>
    </row>
    <row r="910" spans="1:12" s="71" customFormat="1">
      <c r="A910" s="87"/>
      <c r="B910" s="30"/>
      <c r="C910" s="70"/>
      <c r="G910" s="30"/>
      <c r="H910" s="77"/>
      <c r="I910" s="77"/>
      <c r="J910" s="58"/>
      <c r="K910" s="58"/>
      <c r="L910" s="3"/>
    </row>
    <row r="911" spans="1:12" s="71" customFormat="1">
      <c r="A911" s="87"/>
      <c r="B911" s="30"/>
      <c r="C911" s="70"/>
      <c r="G911" s="30"/>
      <c r="H911" s="77"/>
      <c r="I911" s="77"/>
      <c r="J911" s="58"/>
      <c r="K911" s="58"/>
      <c r="L911" s="3"/>
    </row>
    <row r="912" spans="1:12" s="71" customFormat="1">
      <c r="A912" s="87"/>
      <c r="B912" s="30"/>
      <c r="C912" s="70"/>
      <c r="G912" s="30"/>
      <c r="H912" s="77"/>
      <c r="I912" s="77"/>
      <c r="J912" s="58"/>
      <c r="K912" s="58"/>
      <c r="L912" s="3"/>
    </row>
    <row r="913" spans="1:12" s="71" customFormat="1">
      <c r="A913" s="87"/>
      <c r="B913" s="30"/>
      <c r="C913" s="70"/>
      <c r="G913" s="30"/>
      <c r="H913" s="77"/>
      <c r="I913" s="77"/>
      <c r="J913" s="58"/>
      <c r="K913" s="58"/>
      <c r="L913" s="3"/>
    </row>
    <row r="914" spans="1:12" s="71" customFormat="1">
      <c r="A914" s="87"/>
      <c r="B914" s="30"/>
      <c r="C914" s="70"/>
      <c r="G914" s="30"/>
      <c r="H914" s="77"/>
      <c r="I914" s="77"/>
      <c r="J914" s="58"/>
      <c r="K914" s="58"/>
      <c r="L914" s="3"/>
    </row>
    <row r="915" spans="1:12" s="71" customFormat="1">
      <c r="A915" s="87"/>
      <c r="B915" s="30"/>
      <c r="C915" s="70"/>
      <c r="G915" s="30"/>
      <c r="H915" s="77"/>
      <c r="I915" s="77"/>
      <c r="J915" s="58"/>
      <c r="K915" s="58"/>
      <c r="L915" s="3"/>
    </row>
    <row r="916" spans="1:12" s="71" customFormat="1">
      <c r="A916" s="87"/>
      <c r="B916" s="30"/>
      <c r="C916" s="70"/>
      <c r="G916" s="30"/>
      <c r="H916" s="77"/>
      <c r="I916" s="77"/>
      <c r="J916" s="58"/>
      <c r="K916" s="58"/>
      <c r="L916" s="3"/>
    </row>
    <row r="917" spans="1:12" s="71" customFormat="1">
      <c r="A917" s="87"/>
      <c r="B917" s="30"/>
      <c r="C917" s="70"/>
      <c r="G917" s="30"/>
      <c r="H917" s="77"/>
      <c r="I917" s="77"/>
      <c r="J917" s="58"/>
      <c r="K917" s="58"/>
      <c r="L917" s="3"/>
    </row>
    <row r="918" spans="1:12" s="71" customFormat="1">
      <c r="A918" s="87"/>
      <c r="B918" s="30"/>
      <c r="C918" s="70"/>
      <c r="G918" s="30"/>
      <c r="H918" s="77"/>
      <c r="I918" s="77"/>
      <c r="J918" s="58"/>
      <c r="K918" s="58"/>
      <c r="L918" s="3"/>
    </row>
    <row r="919" spans="1:12" s="71" customFormat="1">
      <c r="A919" s="87"/>
      <c r="B919" s="30"/>
      <c r="C919" s="70"/>
      <c r="G919" s="30"/>
      <c r="H919" s="77"/>
      <c r="I919" s="77"/>
      <c r="J919" s="58"/>
      <c r="K919" s="58"/>
      <c r="L919" s="3"/>
    </row>
    <row r="920" spans="1:12" s="71" customFormat="1">
      <c r="A920" s="87"/>
      <c r="B920" s="30"/>
      <c r="C920" s="70"/>
      <c r="G920" s="30"/>
      <c r="H920" s="77"/>
      <c r="I920" s="77"/>
      <c r="J920" s="58"/>
      <c r="K920" s="58"/>
      <c r="L920" s="3"/>
    </row>
    <row r="921" spans="1:12" s="71" customFormat="1">
      <c r="A921" s="87"/>
      <c r="B921" s="30"/>
      <c r="C921" s="70"/>
      <c r="G921" s="30"/>
      <c r="H921" s="77"/>
      <c r="I921" s="77"/>
      <c r="J921" s="58"/>
      <c r="K921" s="58"/>
      <c r="L921" s="3"/>
    </row>
    <row r="922" spans="1:12" s="71" customFormat="1">
      <c r="A922" s="87"/>
      <c r="B922" s="30"/>
      <c r="C922" s="70"/>
      <c r="G922" s="30"/>
      <c r="H922" s="77"/>
      <c r="I922" s="77"/>
      <c r="J922" s="58"/>
      <c r="K922" s="58"/>
      <c r="L922" s="3"/>
    </row>
    <row r="923" spans="1:12" s="71" customFormat="1">
      <c r="A923" s="87"/>
      <c r="B923" s="30"/>
      <c r="C923" s="70"/>
      <c r="G923" s="30"/>
      <c r="H923" s="77"/>
      <c r="I923" s="77"/>
      <c r="J923" s="58"/>
      <c r="K923" s="58"/>
      <c r="L923" s="3"/>
    </row>
    <row r="924" spans="1:12" s="71" customFormat="1">
      <c r="A924" s="87"/>
      <c r="B924" s="30"/>
      <c r="C924" s="70"/>
      <c r="G924" s="30"/>
      <c r="H924" s="77"/>
      <c r="I924" s="77"/>
      <c r="J924" s="58"/>
      <c r="K924" s="58"/>
      <c r="L924" s="3"/>
    </row>
    <row r="925" spans="1:12" s="71" customFormat="1">
      <c r="A925" s="87"/>
      <c r="B925" s="30"/>
      <c r="C925" s="70"/>
      <c r="G925" s="30"/>
      <c r="H925" s="77"/>
      <c r="I925" s="77"/>
      <c r="J925" s="58"/>
      <c r="K925" s="58"/>
      <c r="L925" s="3"/>
    </row>
    <row r="926" spans="1:12" s="71" customFormat="1">
      <c r="A926" s="87"/>
      <c r="B926" s="30"/>
      <c r="C926" s="70"/>
      <c r="G926" s="30"/>
      <c r="H926" s="77"/>
      <c r="I926" s="77"/>
      <c r="J926" s="58"/>
      <c r="K926" s="58"/>
      <c r="L926" s="3"/>
    </row>
    <row r="927" spans="1:12" s="71" customFormat="1">
      <c r="A927" s="87"/>
      <c r="B927" s="30"/>
      <c r="C927" s="70"/>
      <c r="G927" s="30"/>
      <c r="H927" s="77"/>
      <c r="I927" s="77"/>
      <c r="J927" s="58"/>
      <c r="K927" s="58"/>
      <c r="L927" s="3"/>
    </row>
    <row r="928" spans="1:12" s="71" customFormat="1">
      <c r="A928" s="87"/>
      <c r="B928" s="30"/>
      <c r="C928" s="70"/>
      <c r="G928" s="30"/>
      <c r="H928" s="77"/>
      <c r="I928" s="77"/>
      <c r="J928" s="58"/>
      <c r="K928" s="58"/>
      <c r="L928" s="3"/>
    </row>
    <row r="929" spans="1:12" s="71" customFormat="1">
      <c r="A929" s="87"/>
      <c r="B929" s="30"/>
      <c r="C929" s="70"/>
      <c r="G929" s="30"/>
      <c r="H929" s="77"/>
      <c r="I929" s="77"/>
      <c r="J929" s="58"/>
      <c r="K929" s="58"/>
      <c r="L929" s="3"/>
    </row>
    <row r="930" spans="1:12" s="71" customFormat="1">
      <c r="A930" s="87"/>
      <c r="B930" s="30"/>
      <c r="C930" s="70"/>
      <c r="G930" s="30"/>
      <c r="H930" s="77"/>
      <c r="I930" s="77"/>
      <c r="J930" s="58"/>
      <c r="K930" s="58"/>
      <c r="L930" s="3"/>
    </row>
    <row r="931" spans="1:12" s="71" customFormat="1">
      <c r="A931" s="87"/>
      <c r="B931" s="30"/>
      <c r="C931" s="70"/>
      <c r="G931" s="30"/>
      <c r="H931" s="77"/>
      <c r="I931" s="77"/>
      <c r="J931" s="58"/>
      <c r="K931" s="58"/>
      <c r="L931" s="3"/>
    </row>
    <row r="932" spans="1:12" s="71" customFormat="1">
      <c r="A932" s="87"/>
      <c r="B932" s="30"/>
      <c r="C932" s="70"/>
      <c r="G932" s="30"/>
      <c r="H932" s="77"/>
      <c r="I932" s="77"/>
      <c r="J932" s="58"/>
      <c r="K932" s="58"/>
      <c r="L932" s="3"/>
    </row>
    <row r="933" spans="1:12" s="71" customFormat="1">
      <c r="A933" s="87"/>
      <c r="B933" s="30"/>
      <c r="C933" s="70"/>
      <c r="G933" s="30"/>
      <c r="H933" s="77"/>
      <c r="I933" s="77"/>
      <c r="J933" s="58"/>
      <c r="K933" s="58"/>
      <c r="L933" s="3"/>
    </row>
    <row r="934" spans="1:12" s="71" customFormat="1">
      <c r="A934" s="87"/>
      <c r="B934" s="30"/>
      <c r="C934" s="70"/>
      <c r="G934" s="30"/>
      <c r="H934" s="77"/>
      <c r="I934" s="77"/>
      <c r="J934" s="58"/>
      <c r="K934" s="58"/>
      <c r="L934" s="3"/>
    </row>
    <row r="935" spans="1:12" s="71" customFormat="1">
      <c r="A935" s="87"/>
      <c r="B935" s="30"/>
      <c r="C935" s="70"/>
      <c r="G935" s="30"/>
      <c r="H935" s="77"/>
      <c r="I935" s="77"/>
      <c r="J935" s="58"/>
      <c r="K935" s="58"/>
      <c r="L935" s="3"/>
    </row>
    <row r="936" spans="1:12" s="71" customFormat="1">
      <c r="A936" s="87"/>
      <c r="B936" s="30"/>
      <c r="C936" s="70"/>
      <c r="G936" s="30"/>
      <c r="H936" s="77"/>
      <c r="I936" s="77"/>
      <c r="J936" s="58"/>
      <c r="K936" s="58"/>
      <c r="L936" s="3"/>
    </row>
    <row r="937" spans="1:12" s="71" customFormat="1">
      <c r="A937" s="87"/>
      <c r="B937" s="30"/>
      <c r="C937" s="70"/>
      <c r="G937" s="30"/>
      <c r="H937" s="77"/>
      <c r="I937" s="77"/>
      <c r="J937" s="58"/>
      <c r="K937" s="58"/>
      <c r="L937" s="3"/>
    </row>
    <row r="938" spans="1:12" s="71" customFormat="1">
      <c r="A938" s="87"/>
      <c r="B938" s="30"/>
      <c r="C938" s="70"/>
      <c r="G938" s="30"/>
      <c r="H938" s="77"/>
      <c r="I938" s="77"/>
      <c r="J938" s="58"/>
      <c r="K938" s="58"/>
      <c r="L938" s="3"/>
    </row>
    <row r="939" spans="1:12" s="71" customFormat="1">
      <c r="A939" s="87"/>
      <c r="B939" s="30"/>
      <c r="C939" s="70"/>
      <c r="G939" s="30"/>
      <c r="H939" s="77"/>
      <c r="I939" s="77"/>
      <c r="J939" s="58"/>
      <c r="K939" s="58"/>
      <c r="L939" s="3"/>
    </row>
    <row r="940" spans="1:12" s="71" customFormat="1">
      <c r="A940" s="87"/>
      <c r="B940" s="30"/>
      <c r="C940" s="70"/>
      <c r="G940" s="30"/>
      <c r="H940" s="77"/>
      <c r="I940" s="77"/>
      <c r="J940" s="58"/>
      <c r="K940" s="58"/>
      <c r="L940" s="3"/>
    </row>
    <row r="941" spans="1:12" s="71" customFormat="1">
      <c r="A941" s="87"/>
      <c r="B941" s="30"/>
      <c r="C941" s="70"/>
      <c r="G941" s="30"/>
      <c r="H941" s="77"/>
      <c r="I941" s="77"/>
      <c r="J941" s="58"/>
      <c r="K941" s="58"/>
      <c r="L941" s="3"/>
    </row>
    <row r="942" spans="1:12" s="71" customFormat="1">
      <c r="A942" s="87"/>
      <c r="B942" s="30"/>
      <c r="C942" s="70"/>
      <c r="G942" s="30"/>
      <c r="H942" s="77"/>
      <c r="I942" s="77"/>
      <c r="J942" s="58"/>
      <c r="K942" s="58"/>
      <c r="L942" s="3"/>
    </row>
    <row r="943" spans="1:12" s="71" customFormat="1">
      <c r="A943" s="87"/>
      <c r="B943" s="30"/>
      <c r="C943" s="70"/>
      <c r="G943" s="30"/>
      <c r="H943" s="77"/>
      <c r="I943" s="77"/>
      <c r="J943" s="58"/>
      <c r="K943" s="58"/>
      <c r="L943" s="3"/>
    </row>
    <row r="944" spans="1:12" s="71" customFormat="1">
      <c r="A944" s="87"/>
      <c r="B944" s="30"/>
      <c r="C944" s="70"/>
      <c r="G944" s="30"/>
      <c r="H944" s="77"/>
      <c r="I944" s="77"/>
      <c r="J944" s="58"/>
      <c r="K944" s="58"/>
      <c r="L944" s="3"/>
    </row>
    <row r="945" spans="1:12" s="71" customFormat="1">
      <c r="A945" s="87"/>
      <c r="B945" s="30"/>
      <c r="C945" s="70"/>
      <c r="G945" s="30"/>
      <c r="H945" s="77"/>
      <c r="I945" s="77"/>
      <c r="J945" s="58"/>
      <c r="K945" s="58"/>
      <c r="L945" s="3"/>
    </row>
    <row r="946" spans="1:12" s="71" customFormat="1">
      <c r="A946" s="87"/>
      <c r="B946" s="30"/>
      <c r="C946" s="70"/>
      <c r="G946" s="30"/>
      <c r="H946" s="77"/>
      <c r="I946" s="77"/>
      <c r="J946" s="58"/>
      <c r="K946" s="58"/>
      <c r="L946" s="3"/>
    </row>
    <row r="947" spans="1:12" s="71" customFormat="1">
      <c r="A947" s="87"/>
      <c r="B947" s="30"/>
      <c r="C947" s="70"/>
      <c r="G947" s="30"/>
      <c r="H947" s="77"/>
      <c r="I947" s="77"/>
      <c r="J947" s="58"/>
      <c r="K947" s="58"/>
      <c r="L947" s="3"/>
    </row>
    <row r="948" spans="1:12" s="71" customFormat="1">
      <c r="A948" s="87"/>
      <c r="B948" s="30"/>
      <c r="C948" s="70"/>
      <c r="G948" s="30"/>
      <c r="H948" s="77"/>
      <c r="I948" s="77"/>
      <c r="J948" s="58"/>
      <c r="K948" s="58"/>
      <c r="L948" s="3"/>
    </row>
    <row r="949" spans="1:12" s="71" customFormat="1">
      <c r="A949" s="87"/>
      <c r="B949" s="30"/>
      <c r="C949" s="70"/>
      <c r="G949" s="30"/>
      <c r="H949" s="77"/>
      <c r="I949" s="77"/>
      <c r="J949" s="58"/>
      <c r="K949" s="58"/>
      <c r="L949" s="3"/>
    </row>
    <row r="950" spans="1:12" s="71" customFormat="1">
      <c r="A950" s="87"/>
      <c r="B950" s="30"/>
      <c r="C950" s="70"/>
      <c r="G950" s="30"/>
      <c r="H950" s="77"/>
      <c r="I950" s="77"/>
      <c r="J950" s="58"/>
      <c r="K950" s="58"/>
      <c r="L950" s="3"/>
    </row>
    <row r="951" spans="1:12" s="71" customFormat="1">
      <c r="A951" s="87"/>
      <c r="B951" s="30"/>
      <c r="C951" s="70"/>
      <c r="G951" s="30"/>
      <c r="H951" s="77"/>
      <c r="I951" s="77"/>
      <c r="J951" s="58"/>
      <c r="K951" s="58"/>
      <c r="L951" s="3"/>
    </row>
    <row r="952" spans="1:12" s="71" customFormat="1">
      <c r="A952" s="87"/>
      <c r="B952" s="30"/>
      <c r="C952" s="70"/>
      <c r="G952" s="30"/>
      <c r="H952" s="77"/>
      <c r="I952" s="77"/>
      <c r="J952" s="58"/>
      <c r="K952" s="58"/>
      <c r="L952" s="3"/>
    </row>
    <row r="953" spans="1:12" s="71" customFormat="1">
      <c r="A953" s="87"/>
      <c r="B953" s="30"/>
      <c r="C953" s="70"/>
      <c r="G953" s="30"/>
      <c r="H953" s="77"/>
      <c r="I953" s="77"/>
      <c r="J953" s="58"/>
      <c r="K953" s="58"/>
      <c r="L953" s="3"/>
    </row>
    <row r="954" spans="1:12" s="71" customFormat="1">
      <c r="A954" s="87"/>
      <c r="B954" s="30"/>
      <c r="C954" s="70"/>
      <c r="G954" s="30"/>
      <c r="H954" s="77"/>
      <c r="I954" s="77"/>
      <c r="J954" s="58"/>
      <c r="K954" s="58"/>
      <c r="L954" s="3"/>
    </row>
    <row r="955" spans="1:12" s="71" customFormat="1">
      <c r="A955" s="87"/>
      <c r="B955" s="30"/>
      <c r="C955" s="70"/>
      <c r="G955" s="30"/>
      <c r="H955" s="77"/>
      <c r="I955" s="77"/>
      <c r="J955" s="58"/>
      <c r="K955" s="58"/>
      <c r="L955" s="3"/>
    </row>
    <row r="956" spans="1:12" s="71" customFormat="1">
      <c r="A956" s="87"/>
      <c r="B956" s="30"/>
      <c r="C956" s="70"/>
      <c r="G956" s="30"/>
      <c r="H956" s="77"/>
      <c r="I956" s="77"/>
      <c r="J956" s="58"/>
      <c r="K956" s="58"/>
      <c r="L956" s="3"/>
    </row>
    <row r="957" spans="1:12" s="71" customFormat="1">
      <c r="A957" s="87"/>
      <c r="B957" s="30"/>
      <c r="C957" s="70"/>
      <c r="G957" s="30"/>
      <c r="H957" s="77"/>
      <c r="I957" s="77"/>
      <c r="J957" s="58"/>
      <c r="K957" s="58"/>
      <c r="L957" s="3"/>
    </row>
    <row r="958" spans="1:12" s="71" customFormat="1">
      <c r="A958" s="87"/>
      <c r="B958" s="30"/>
      <c r="C958" s="70"/>
      <c r="G958" s="30"/>
      <c r="H958" s="77"/>
      <c r="I958" s="77"/>
      <c r="J958" s="58"/>
      <c r="K958" s="58"/>
      <c r="L958" s="3"/>
    </row>
    <row r="959" spans="1:12" s="71" customFormat="1">
      <c r="A959" s="87"/>
      <c r="B959" s="30"/>
      <c r="C959" s="70"/>
      <c r="G959" s="30"/>
      <c r="H959" s="77"/>
      <c r="I959" s="77"/>
      <c r="J959" s="58"/>
      <c r="K959" s="58"/>
      <c r="L959" s="3"/>
    </row>
    <row r="960" spans="1:12" s="71" customFormat="1">
      <c r="A960" s="87"/>
      <c r="B960" s="30"/>
      <c r="C960" s="70"/>
      <c r="G960" s="30"/>
      <c r="H960" s="77"/>
      <c r="I960" s="77"/>
      <c r="J960" s="58"/>
      <c r="K960" s="58"/>
      <c r="L960" s="3"/>
    </row>
    <row r="961" spans="1:12" s="71" customFormat="1">
      <c r="A961" s="87"/>
      <c r="B961" s="30"/>
      <c r="C961" s="70"/>
      <c r="G961" s="30"/>
      <c r="H961" s="77"/>
      <c r="I961" s="77"/>
      <c r="J961" s="58"/>
      <c r="K961" s="58"/>
      <c r="L961" s="3"/>
    </row>
    <row r="962" spans="1:12" s="71" customFormat="1">
      <c r="A962" s="87"/>
      <c r="B962" s="30"/>
      <c r="C962" s="70"/>
      <c r="G962" s="30"/>
      <c r="H962" s="77"/>
      <c r="I962" s="77"/>
      <c r="J962" s="58"/>
      <c r="K962" s="58"/>
      <c r="L962" s="3"/>
    </row>
    <row r="963" spans="1:12" s="71" customFormat="1">
      <c r="A963" s="87"/>
      <c r="B963" s="30"/>
      <c r="C963" s="70"/>
      <c r="G963" s="30"/>
      <c r="H963" s="77"/>
      <c r="I963" s="77"/>
      <c r="J963" s="58"/>
      <c r="K963" s="58"/>
      <c r="L963" s="3"/>
    </row>
    <row r="964" spans="1:12" s="71" customFormat="1">
      <c r="A964" s="87"/>
      <c r="B964" s="30"/>
      <c r="C964" s="70"/>
      <c r="G964" s="30"/>
      <c r="H964" s="77"/>
      <c r="I964" s="77"/>
      <c r="J964" s="58"/>
      <c r="K964" s="58"/>
      <c r="L964" s="3"/>
    </row>
    <row r="965" spans="1:12" s="71" customFormat="1">
      <c r="A965" s="87"/>
      <c r="B965" s="30"/>
      <c r="C965" s="70"/>
      <c r="G965" s="30"/>
      <c r="H965" s="77"/>
      <c r="I965" s="77"/>
      <c r="J965" s="58"/>
      <c r="K965" s="58"/>
      <c r="L965" s="3"/>
    </row>
    <row r="966" spans="1:12" s="71" customFormat="1">
      <c r="A966" s="87"/>
      <c r="B966" s="30"/>
      <c r="C966" s="70"/>
      <c r="G966" s="30"/>
      <c r="H966" s="77"/>
      <c r="I966" s="77"/>
      <c r="J966" s="58"/>
      <c r="K966" s="58"/>
      <c r="L966" s="3"/>
    </row>
    <row r="967" spans="1:12" s="71" customFormat="1">
      <c r="A967" s="87"/>
      <c r="B967" s="30"/>
      <c r="C967" s="70"/>
      <c r="G967" s="30"/>
      <c r="H967" s="77"/>
      <c r="I967" s="77"/>
      <c r="J967" s="58"/>
      <c r="K967" s="58"/>
      <c r="L967" s="3"/>
    </row>
    <row r="968" spans="1:12" s="71" customFormat="1">
      <c r="A968" s="87"/>
      <c r="B968" s="30"/>
      <c r="C968" s="70"/>
      <c r="G968" s="30"/>
      <c r="H968" s="77"/>
      <c r="I968" s="77"/>
      <c r="J968" s="58"/>
      <c r="K968" s="58"/>
      <c r="L968" s="3"/>
    </row>
    <row r="969" spans="1:12" s="71" customFormat="1">
      <c r="A969" s="87"/>
      <c r="B969" s="30"/>
      <c r="C969" s="70"/>
      <c r="G969" s="30"/>
      <c r="H969" s="77"/>
      <c r="I969" s="77"/>
      <c r="J969" s="58"/>
      <c r="K969" s="58"/>
      <c r="L969" s="3"/>
    </row>
    <row r="970" spans="1:12" s="71" customFormat="1">
      <c r="A970" s="87"/>
      <c r="B970" s="30"/>
      <c r="C970" s="70"/>
      <c r="G970" s="30"/>
      <c r="H970" s="77"/>
      <c r="I970" s="77"/>
      <c r="J970" s="58"/>
      <c r="K970" s="58"/>
      <c r="L970" s="3"/>
    </row>
    <row r="971" spans="1:12" s="71" customFormat="1">
      <c r="A971" s="87"/>
      <c r="B971" s="30"/>
      <c r="C971" s="70"/>
      <c r="G971" s="30"/>
      <c r="H971" s="77"/>
      <c r="I971" s="77"/>
      <c r="J971" s="58"/>
      <c r="K971" s="58"/>
      <c r="L971" s="3"/>
    </row>
    <row r="972" spans="1:12" s="71" customFormat="1">
      <c r="A972" s="87"/>
      <c r="B972" s="30"/>
      <c r="C972" s="70"/>
      <c r="G972" s="30"/>
      <c r="H972" s="77"/>
      <c r="I972" s="77"/>
      <c r="J972" s="58"/>
      <c r="K972" s="58"/>
      <c r="L972" s="3"/>
    </row>
    <row r="973" spans="1:12" s="71" customFormat="1">
      <c r="A973" s="87"/>
      <c r="B973" s="30"/>
      <c r="C973" s="70"/>
      <c r="G973" s="30"/>
      <c r="H973" s="77"/>
      <c r="I973" s="77"/>
      <c r="J973" s="58"/>
      <c r="K973" s="58"/>
      <c r="L973" s="3"/>
    </row>
    <row r="974" spans="1:12" s="71" customFormat="1">
      <c r="A974" s="87"/>
      <c r="B974" s="30"/>
      <c r="C974" s="70"/>
      <c r="G974" s="30"/>
      <c r="H974" s="77"/>
      <c r="I974" s="77"/>
      <c r="J974" s="58"/>
      <c r="K974" s="58"/>
      <c r="L974" s="3"/>
    </row>
    <row r="975" spans="1:12" s="71" customFormat="1">
      <c r="A975" s="87"/>
      <c r="B975" s="30"/>
      <c r="C975" s="70"/>
      <c r="G975" s="30"/>
      <c r="H975" s="77"/>
      <c r="I975" s="77"/>
      <c r="J975" s="58"/>
      <c r="K975" s="58"/>
      <c r="L975" s="3"/>
    </row>
    <row r="976" spans="1:12" s="71" customFormat="1">
      <c r="A976" s="87"/>
      <c r="B976" s="30"/>
      <c r="C976" s="70"/>
      <c r="G976" s="30"/>
      <c r="H976" s="77"/>
      <c r="I976" s="77"/>
      <c r="J976" s="58"/>
      <c r="K976" s="58"/>
      <c r="L976" s="3"/>
    </row>
    <row r="977" spans="1:12" s="71" customFormat="1">
      <c r="A977" s="87"/>
      <c r="B977" s="30"/>
      <c r="C977" s="70"/>
      <c r="G977" s="30"/>
      <c r="H977" s="77"/>
      <c r="I977" s="77"/>
      <c r="J977" s="58"/>
      <c r="K977" s="58"/>
      <c r="L977" s="3"/>
    </row>
    <row r="978" spans="1:12" s="71" customFormat="1">
      <c r="A978" s="87"/>
      <c r="B978" s="30"/>
      <c r="C978" s="70"/>
      <c r="G978" s="30"/>
      <c r="H978" s="77"/>
      <c r="I978" s="77"/>
      <c r="J978" s="58"/>
      <c r="K978" s="58"/>
      <c r="L978" s="3"/>
    </row>
    <row r="979" spans="1:12" s="71" customFormat="1">
      <c r="A979" s="87"/>
      <c r="B979" s="30"/>
      <c r="C979" s="70"/>
      <c r="G979" s="30"/>
      <c r="H979" s="77"/>
      <c r="I979" s="77"/>
      <c r="J979" s="58"/>
      <c r="K979" s="58"/>
      <c r="L979" s="3"/>
    </row>
    <row r="980" spans="1:12" s="71" customFormat="1">
      <c r="A980" s="87"/>
      <c r="B980" s="30"/>
      <c r="C980" s="70"/>
      <c r="G980" s="30"/>
      <c r="H980" s="77"/>
      <c r="I980" s="77"/>
      <c r="J980" s="58"/>
      <c r="K980" s="58"/>
      <c r="L980" s="3"/>
    </row>
    <row r="981" spans="1:12" s="71" customFormat="1">
      <c r="A981" s="87"/>
      <c r="B981" s="30"/>
      <c r="C981" s="70"/>
      <c r="G981" s="30"/>
      <c r="H981" s="77"/>
      <c r="I981" s="77"/>
      <c r="J981" s="58"/>
      <c r="K981" s="58"/>
      <c r="L981" s="3"/>
    </row>
    <row r="982" spans="1:12" s="71" customFormat="1">
      <c r="A982" s="87"/>
      <c r="B982" s="30"/>
      <c r="C982" s="70"/>
      <c r="G982" s="30"/>
      <c r="H982" s="77"/>
      <c r="I982" s="77"/>
      <c r="J982" s="58"/>
      <c r="K982" s="58"/>
      <c r="L982" s="3"/>
    </row>
    <row r="983" spans="1:12" s="71" customFormat="1">
      <c r="A983" s="87"/>
      <c r="B983" s="30"/>
      <c r="C983" s="70"/>
      <c r="G983" s="30"/>
      <c r="H983" s="77"/>
      <c r="I983" s="77"/>
      <c r="J983" s="58"/>
      <c r="K983" s="58"/>
      <c r="L983" s="3"/>
    </row>
    <row r="984" spans="1:12" s="71" customFormat="1">
      <c r="A984" s="87"/>
      <c r="B984" s="30"/>
      <c r="C984" s="70"/>
      <c r="G984" s="30"/>
      <c r="H984" s="77"/>
      <c r="I984" s="77"/>
      <c r="J984" s="58"/>
      <c r="K984" s="58"/>
      <c r="L984" s="3"/>
    </row>
    <row r="985" spans="1:12" s="71" customFormat="1">
      <c r="A985" s="87"/>
      <c r="B985" s="30"/>
      <c r="C985" s="70"/>
      <c r="G985" s="30"/>
      <c r="H985" s="77"/>
      <c r="I985" s="77"/>
      <c r="J985" s="58"/>
      <c r="K985" s="58"/>
      <c r="L985" s="3"/>
    </row>
    <row r="986" spans="1:12" s="71" customFormat="1">
      <c r="A986" s="87"/>
      <c r="B986" s="30"/>
      <c r="C986" s="70"/>
      <c r="G986" s="30"/>
      <c r="H986" s="77"/>
      <c r="I986" s="77"/>
      <c r="J986" s="58"/>
      <c r="K986" s="58"/>
      <c r="L986" s="3"/>
    </row>
    <row r="987" spans="1:12" s="71" customFormat="1">
      <c r="A987" s="87"/>
      <c r="B987" s="30"/>
      <c r="C987" s="70"/>
      <c r="G987" s="30"/>
      <c r="H987" s="77"/>
      <c r="I987" s="77"/>
      <c r="J987" s="58"/>
      <c r="K987" s="58"/>
      <c r="L987" s="3"/>
    </row>
    <row r="988" spans="1:12" s="71" customFormat="1">
      <c r="A988" s="87"/>
      <c r="B988" s="30"/>
      <c r="C988" s="70"/>
      <c r="G988" s="30"/>
      <c r="H988" s="77"/>
      <c r="I988" s="77"/>
      <c r="J988" s="58"/>
      <c r="K988" s="58"/>
      <c r="L988" s="3"/>
    </row>
    <row r="989" spans="1:12" s="71" customFormat="1">
      <c r="A989" s="87"/>
      <c r="B989" s="30"/>
      <c r="C989" s="70"/>
      <c r="G989" s="30"/>
      <c r="H989" s="77"/>
      <c r="I989" s="77"/>
      <c r="J989" s="58"/>
      <c r="K989" s="58"/>
      <c r="L989" s="3"/>
    </row>
    <row r="990" spans="1:12" s="71" customFormat="1">
      <c r="A990" s="87"/>
      <c r="B990" s="30"/>
      <c r="C990" s="70"/>
      <c r="G990" s="30"/>
      <c r="H990" s="77"/>
      <c r="I990" s="77"/>
      <c r="J990" s="58"/>
      <c r="K990" s="58"/>
      <c r="L990" s="3"/>
    </row>
    <row r="991" spans="1:12" s="71" customFormat="1">
      <c r="A991" s="87"/>
      <c r="B991" s="30"/>
      <c r="C991" s="70"/>
      <c r="G991" s="30"/>
      <c r="H991" s="77"/>
      <c r="I991" s="77"/>
      <c r="J991" s="58"/>
      <c r="K991" s="58"/>
      <c r="L991" s="3"/>
    </row>
    <row r="992" spans="1:12" s="71" customFormat="1">
      <c r="A992" s="87"/>
      <c r="B992" s="30"/>
      <c r="C992" s="70"/>
      <c r="G992" s="30"/>
      <c r="H992" s="77"/>
      <c r="I992" s="77"/>
      <c r="J992" s="58"/>
      <c r="K992" s="58"/>
      <c r="L992" s="3"/>
    </row>
    <row r="993" spans="1:12" s="71" customFormat="1">
      <c r="A993" s="87"/>
      <c r="B993" s="30"/>
      <c r="C993" s="70"/>
      <c r="G993" s="30"/>
      <c r="H993" s="77"/>
      <c r="I993" s="77"/>
      <c r="J993" s="58"/>
      <c r="K993" s="58"/>
      <c r="L993" s="3"/>
    </row>
    <row r="994" spans="1:12" s="71" customFormat="1">
      <c r="A994" s="87"/>
      <c r="B994" s="30"/>
      <c r="C994" s="70"/>
      <c r="G994" s="30"/>
      <c r="H994" s="77"/>
      <c r="I994" s="77"/>
      <c r="J994" s="58"/>
      <c r="K994" s="58"/>
      <c r="L994" s="3"/>
    </row>
    <row r="995" spans="1:12" s="71" customFormat="1">
      <c r="A995" s="87"/>
      <c r="B995" s="30"/>
      <c r="C995" s="70"/>
      <c r="G995" s="30"/>
      <c r="H995" s="77"/>
      <c r="I995" s="77"/>
      <c r="J995" s="58"/>
      <c r="K995" s="58"/>
      <c r="L995" s="3"/>
    </row>
    <row r="996" spans="1:12" s="71" customFormat="1">
      <c r="A996" s="87"/>
      <c r="B996" s="30"/>
      <c r="C996" s="70"/>
      <c r="G996" s="30"/>
      <c r="H996" s="77"/>
      <c r="I996" s="77"/>
      <c r="J996" s="58"/>
      <c r="K996" s="58"/>
      <c r="L996" s="3"/>
    </row>
    <row r="997" spans="1:12" s="71" customFormat="1">
      <c r="A997" s="87"/>
      <c r="B997" s="30"/>
      <c r="C997" s="70"/>
      <c r="G997" s="30"/>
      <c r="H997" s="77"/>
      <c r="I997" s="77"/>
      <c r="J997" s="58"/>
      <c r="K997" s="58"/>
      <c r="L997" s="3"/>
    </row>
    <row r="998" spans="1:12" s="71" customFormat="1">
      <c r="A998" s="87"/>
      <c r="B998" s="30"/>
      <c r="C998" s="70"/>
      <c r="G998" s="30"/>
      <c r="H998" s="77"/>
      <c r="I998" s="77"/>
      <c r="J998" s="58"/>
      <c r="K998" s="58"/>
      <c r="L998" s="3"/>
    </row>
    <row r="999" spans="1:12" s="71" customFormat="1">
      <c r="A999" s="87"/>
      <c r="B999" s="30"/>
      <c r="C999" s="70"/>
      <c r="G999" s="30"/>
      <c r="H999" s="77"/>
      <c r="I999" s="77"/>
      <c r="J999" s="58"/>
      <c r="K999" s="58"/>
      <c r="L999" s="3"/>
    </row>
    <row r="1000" spans="1:12" s="71" customFormat="1">
      <c r="A1000" s="87"/>
      <c r="B1000" s="30"/>
      <c r="C1000" s="70"/>
      <c r="G1000" s="30"/>
      <c r="H1000" s="77"/>
      <c r="I1000" s="77"/>
      <c r="J1000" s="58"/>
      <c r="K1000" s="58"/>
      <c r="L1000" s="3"/>
    </row>
    <row r="1001" spans="1:12" s="71" customFormat="1">
      <c r="A1001" s="87"/>
      <c r="B1001" s="30"/>
      <c r="C1001" s="70"/>
      <c r="G1001" s="30"/>
      <c r="H1001" s="77"/>
      <c r="I1001" s="77"/>
      <c r="J1001" s="58"/>
      <c r="K1001" s="58"/>
      <c r="L1001" s="3"/>
    </row>
    <row r="1002" spans="1:12" s="71" customFormat="1">
      <c r="A1002" s="87"/>
      <c r="B1002" s="30"/>
      <c r="C1002" s="70"/>
      <c r="G1002" s="30"/>
      <c r="H1002" s="77"/>
      <c r="I1002" s="77"/>
      <c r="J1002" s="58"/>
      <c r="K1002" s="58"/>
      <c r="L1002" s="3"/>
    </row>
    <row r="1003" spans="1:12" s="71" customFormat="1">
      <c r="A1003" s="87"/>
      <c r="B1003" s="30"/>
      <c r="C1003" s="70"/>
      <c r="G1003" s="30"/>
      <c r="H1003" s="77"/>
      <c r="I1003" s="77"/>
      <c r="J1003" s="58"/>
      <c r="K1003" s="58"/>
      <c r="L1003" s="3"/>
    </row>
    <row r="1004" spans="1:12" s="71" customFormat="1">
      <c r="A1004" s="87"/>
      <c r="B1004" s="30"/>
      <c r="C1004" s="70"/>
      <c r="G1004" s="30"/>
      <c r="H1004" s="77"/>
      <c r="I1004" s="77"/>
      <c r="J1004" s="58"/>
      <c r="K1004" s="58"/>
      <c r="L1004" s="3"/>
    </row>
    <row r="1005" spans="1:12" s="71" customFormat="1">
      <c r="A1005" s="87"/>
      <c r="B1005" s="30"/>
      <c r="C1005" s="70"/>
      <c r="G1005" s="30"/>
      <c r="H1005" s="77"/>
      <c r="I1005" s="77"/>
      <c r="J1005" s="58"/>
      <c r="K1005" s="58"/>
      <c r="L1005" s="3"/>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A1:J924"/>
  <sheetViews>
    <sheetView showZeros="0" zoomScale="80" zoomScaleNormal="80" workbookViewId="0">
      <selection activeCell="J25" sqref="J25"/>
    </sheetView>
  </sheetViews>
  <sheetFormatPr defaultColWidth="8.85546875" defaultRowHeight="14.25"/>
  <cols>
    <col min="1" max="1" width="8.85546875" style="36"/>
    <col min="2" max="2" width="7.7109375" style="30" customWidth="1"/>
    <col min="3" max="3" width="46" style="30" bestFit="1" customWidth="1"/>
    <col min="4" max="4" width="10.7109375" style="71" customWidth="1"/>
    <col min="5" max="5" width="6.7109375" style="30" customWidth="1"/>
    <col min="6" max="7" width="12.7109375" style="77" customWidth="1"/>
    <col min="8" max="8" width="11.140625" style="58" bestFit="1" customWidth="1"/>
    <col min="9" max="10" width="9.140625" style="58" customWidth="1"/>
    <col min="11" max="16384" width="8.85546875" style="3"/>
  </cols>
  <sheetData>
    <row r="1" spans="2:10" ht="15.75">
      <c r="B1" s="1" t="str">
        <f>'Drawings &amp; Data'!A1</f>
        <v>ESTATE NAME</v>
      </c>
      <c r="C1" s="6"/>
      <c r="D1" s="6"/>
      <c r="E1" s="6"/>
      <c r="F1" s="6"/>
      <c r="G1" s="6"/>
      <c r="H1" s="3"/>
      <c r="I1" s="3"/>
      <c r="J1" s="3"/>
    </row>
    <row r="2" spans="2:10" ht="15.75">
      <c r="B2" s="4" t="str">
        <f>'Drawings &amp; Data'!A2</f>
        <v>STAGE X</v>
      </c>
      <c r="C2" s="6"/>
      <c r="D2" s="6"/>
      <c r="E2" s="6"/>
      <c r="F2" s="6"/>
      <c r="G2" s="6"/>
      <c r="H2" s="3"/>
      <c r="I2" s="3"/>
      <c r="J2" s="3"/>
    </row>
    <row r="3" spans="2:10">
      <c r="B3" s="6"/>
      <c r="C3" s="6"/>
      <c r="D3" s="6"/>
      <c r="E3" s="6"/>
      <c r="F3" s="6"/>
      <c r="G3" s="6"/>
      <c r="H3" s="3"/>
      <c r="I3" s="3"/>
      <c r="J3" s="3"/>
    </row>
    <row r="4" spans="2:10" ht="15">
      <c r="B4" s="5" t="s">
        <v>9</v>
      </c>
      <c r="C4" s="6"/>
      <c r="D4" s="6"/>
      <c r="E4" s="6"/>
      <c r="F4" s="6"/>
      <c r="G4" s="6"/>
      <c r="H4" s="3"/>
      <c r="I4" s="3"/>
      <c r="J4" s="3"/>
    </row>
    <row r="5" spans="2:10">
      <c r="B5" s="6" t="str">
        <f>'Drawings &amp; Data'!A5</f>
        <v>Name and/or entity</v>
      </c>
      <c r="C5" s="6"/>
      <c r="D5" s="6"/>
      <c r="E5" s="6"/>
      <c r="F5" s="6"/>
      <c r="G5" s="6"/>
      <c r="H5" s="3"/>
      <c r="I5" s="3"/>
      <c r="J5" s="3"/>
    </row>
    <row r="6" spans="2:10">
      <c r="B6" s="6" t="str">
        <f>'Drawings &amp; Data'!A6</f>
        <v>Address 1</v>
      </c>
      <c r="C6" s="6"/>
      <c r="D6" s="6"/>
      <c r="E6" s="6"/>
      <c r="F6" s="6"/>
      <c r="G6" s="6"/>
      <c r="H6" s="3"/>
      <c r="I6" s="3"/>
      <c r="J6" s="3"/>
    </row>
    <row r="7" spans="2:10">
      <c r="B7" s="6" t="str">
        <f>'Drawings &amp; Data'!A7</f>
        <v>Address 2</v>
      </c>
      <c r="C7" s="6"/>
      <c r="D7" s="6"/>
      <c r="E7" s="6"/>
      <c r="F7" s="6"/>
      <c r="G7" s="6"/>
      <c r="H7" s="3"/>
      <c r="I7" s="3"/>
      <c r="J7" s="3"/>
    </row>
    <row r="8" spans="2:10">
      <c r="B8" s="6"/>
      <c r="C8" s="6"/>
      <c r="D8" s="6"/>
      <c r="E8" s="6"/>
      <c r="F8" s="6"/>
      <c r="G8" s="6"/>
    </row>
    <row r="9" spans="2:10" ht="15">
      <c r="B9" s="5" t="s">
        <v>10</v>
      </c>
      <c r="C9" s="6"/>
      <c r="D9" s="6"/>
      <c r="E9" s="6"/>
      <c r="F9" s="6"/>
      <c r="G9" s="6"/>
    </row>
    <row r="10" spans="2:10">
      <c r="B10" s="6" t="s">
        <v>282</v>
      </c>
      <c r="C10" s="6"/>
      <c r="D10" s="6"/>
      <c r="E10" s="6"/>
      <c r="F10" s="6"/>
      <c r="G10" s="6"/>
    </row>
    <row r="11" spans="2:10">
      <c r="B11" s="6" t="s">
        <v>530</v>
      </c>
      <c r="C11" s="6"/>
      <c r="D11" s="6"/>
      <c r="E11" s="6"/>
      <c r="F11" s="6"/>
      <c r="G11" s="6"/>
    </row>
    <row r="12" spans="2:10">
      <c r="B12" s="6" t="s">
        <v>529</v>
      </c>
      <c r="C12" s="6"/>
      <c r="D12" s="6"/>
      <c r="E12" s="6"/>
      <c r="F12" s="6"/>
      <c r="G12" s="6"/>
    </row>
    <row r="13" spans="2:10">
      <c r="B13" s="6"/>
      <c r="C13" s="6"/>
      <c r="D13" s="6"/>
      <c r="E13" s="6"/>
      <c r="F13" s="6"/>
      <c r="G13" s="6"/>
    </row>
    <row r="14" spans="2:10" ht="15.75">
      <c r="B14" s="4" t="s">
        <v>29</v>
      </c>
      <c r="C14" s="6"/>
      <c r="D14" s="6"/>
      <c r="E14" s="6"/>
      <c r="F14" s="6"/>
      <c r="G14" s="6"/>
    </row>
    <row r="15" spans="2:10" ht="15.75">
      <c r="B15" s="1" t="s">
        <v>30</v>
      </c>
      <c r="C15" s="6"/>
      <c r="D15" s="6"/>
      <c r="E15" s="6"/>
      <c r="F15" s="6"/>
      <c r="G15" s="6"/>
    </row>
    <row r="16" spans="2:10">
      <c r="B16" s="6"/>
      <c r="C16" s="6"/>
      <c r="D16" s="6"/>
      <c r="E16" s="6"/>
      <c r="F16" s="6"/>
      <c r="G16" s="6"/>
    </row>
    <row r="17" spans="1:10" ht="73.150000000000006" customHeight="1">
      <c r="B17" s="110" t="s">
        <v>182</v>
      </c>
      <c r="C17" s="110"/>
      <c r="D17" s="38"/>
      <c r="E17" s="39"/>
      <c r="F17" s="40"/>
      <c r="G17" s="40"/>
    </row>
    <row r="18" spans="1:10" ht="8.4499999999999993" customHeight="1">
      <c r="B18" s="42"/>
      <c r="C18" s="42"/>
      <c r="D18" s="38"/>
      <c r="E18" s="39"/>
      <c r="F18" s="40"/>
      <c r="G18" s="40"/>
    </row>
    <row r="19" spans="1:10" ht="73.900000000000006" customHeight="1">
      <c r="B19" s="110" t="s">
        <v>532</v>
      </c>
      <c r="C19" s="110"/>
      <c r="D19" s="38"/>
      <c r="E19" s="39"/>
      <c r="F19" s="40"/>
      <c r="G19" s="40"/>
    </row>
    <row r="20" spans="1:10" ht="8.4499999999999993" customHeight="1">
      <c r="B20" s="42"/>
      <c r="C20" s="42"/>
      <c r="D20" s="38"/>
      <c r="E20" s="39"/>
      <c r="F20" s="40"/>
      <c r="G20" s="40"/>
    </row>
    <row r="21" spans="1:10" ht="56.45" customHeight="1">
      <c r="B21" s="110" t="s">
        <v>183</v>
      </c>
      <c r="C21" s="110"/>
      <c r="D21" s="38"/>
      <c r="E21" s="39"/>
      <c r="F21" s="40"/>
      <c r="G21" s="40"/>
    </row>
    <row r="22" spans="1:10" s="41" customFormat="1" ht="15">
      <c r="A22" s="43" t="s">
        <v>513</v>
      </c>
      <c r="B22" s="94"/>
      <c r="C22" s="30"/>
      <c r="D22" s="38"/>
      <c r="E22" s="39"/>
      <c r="F22" s="40"/>
      <c r="G22" s="40"/>
      <c r="H22" s="58"/>
      <c r="I22" s="58"/>
      <c r="J22" s="58"/>
    </row>
    <row r="23" spans="1:10" s="41" customFormat="1" ht="15">
      <c r="A23" s="43" t="s">
        <v>514</v>
      </c>
      <c r="B23" s="46" t="s">
        <v>0</v>
      </c>
      <c r="C23" s="47" t="s">
        <v>1</v>
      </c>
      <c r="D23" s="48" t="s">
        <v>3</v>
      </c>
      <c r="E23" s="46" t="s">
        <v>2</v>
      </c>
      <c r="F23" s="49" t="s">
        <v>4</v>
      </c>
      <c r="G23" s="49" t="s">
        <v>5</v>
      </c>
    </row>
    <row r="24" spans="1:10" s="41" customFormat="1" ht="15">
      <c r="A24" s="43" t="s">
        <v>515</v>
      </c>
      <c r="B24" s="98"/>
      <c r="C24" s="99"/>
      <c r="D24" s="100"/>
      <c r="E24" s="98"/>
      <c r="F24" s="101"/>
      <c r="G24" s="101"/>
    </row>
    <row r="25" spans="1:10" s="41" customFormat="1" ht="15">
      <c r="A25" s="50">
        <v>1</v>
      </c>
      <c r="B25" s="51">
        <f ca="1">IF($A25="","",NumList())</f>
        <v>1</v>
      </c>
      <c r="C25" s="102" t="s">
        <v>306</v>
      </c>
      <c r="D25" s="103">
        <f ca="1">IF(ISTEXT(E25),RANDBETWEEN(1,100),0)</f>
        <v>63</v>
      </c>
      <c r="E25" s="104" t="s">
        <v>0</v>
      </c>
      <c r="F25" s="56">
        <f ca="1">IF(ISTEXT(E25),RANDBETWEEN(1,100),0)</f>
        <v>62</v>
      </c>
      <c r="G25" s="56">
        <f ca="1">D25*F25</f>
        <v>3906</v>
      </c>
    </row>
    <row r="26" spans="1:10" s="41" customFormat="1" ht="15">
      <c r="A26" s="50" t="s">
        <v>516</v>
      </c>
      <c r="B26" s="98"/>
      <c r="C26" s="99"/>
      <c r="D26" s="103">
        <f t="shared" ref="D26:D32" ca="1" si="0">IF(ISTEXT(E26),RANDBETWEEN(1,100),0)</f>
        <v>0</v>
      </c>
      <c r="E26" s="98"/>
      <c r="F26" s="56">
        <f t="shared" ref="F26:F32" ca="1" si="1">IF(ISTEXT(E26),RANDBETWEEN(1,100),0)</f>
        <v>0</v>
      </c>
      <c r="G26" s="56">
        <f t="shared" ref="G26:G32" ca="1" si="2">D26*F26</f>
        <v>0</v>
      </c>
    </row>
    <row r="27" spans="1:10" s="41" customFormat="1" ht="15">
      <c r="A27" s="50">
        <v>1</v>
      </c>
      <c r="B27" s="98">
        <v>2</v>
      </c>
      <c r="C27" s="102" t="s">
        <v>625</v>
      </c>
      <c r="D27" s="103">
        <f t="shared" ca="1" si="0"/>
        <v>94</v>
      </c>
      <c r="E27" s="104" t="s">
        <v>0</v>
      </c>
      <c r="F27" s="56">
        <f t="shared" ca="1" si="1"/>
        <v>52</v>
      </c>
      <c r="G27" s="56">
        <f t="shared" ca="1" si="2"/>
        <v>4888</v>
      </c>
    </row>
    <row r="28" spans="1:10" s="41" customFormat="1" ht="15">
      <c r="A28" s="50" t="s">
        <v>516</v>
      </c>
      <c r="B28" s="104"/>
      <c r="C28" s="105"/>
      <c r="D28" s="103">
        <f t="shared" ca="1" si="0"/>
        <v>0</v>
      </c>
      <c r="E28" s="104"/>
      <c r="F28" s="56">
        <f t="shared" ca="1" si="1"/>
        <v>0</v>
      </c>
      <c r="G28" s="56">
        <f t="shared" ca="1" si="2"/>
        <v>0</v>
      </c>
    </row>
    <row r="29" spans="1:10" s="41" customFormat="1" ht="15">
      <c r="A29" s="50">
        <v>1</v>
      </c>
      <c r="B29" s="98">
        <v>3</v>
      </c>
      <c r="C29" s="102" t="s">
        <v>236</v>
      </c>
      <c r="D29" s="103">
        <f t="shared" ca="1" si="0"/>
        <v>0</v>
      </c>
      <c r="E29" s="104"/>
      <c r="F29" s="56">
        <f t="shared" ca="1" si="1"/>
        <v>0</v>
      </c>
      <c r="G29" s="56">
        <f t="shared" ca="1" si="2"/>
        <v>0</v>
      </c>
    </row>
    <row r="30" spans="1:10" s="41" customFormat="1" ht="15">
      <c r="A30" s="50">
        <v>2</v>
      </c>
      <c r="B30" s="104">
        <v>3.1</v>
      </c>
      <c r="C30" s="105" t="s">
        <v>252</v>
      </c>
      <c r="D30" s="103">
        <f t="shared" ca="1" si="0"/>
        <v>13</v>
      </c>
      <c r="E30" s="104" t="s">
        <v>0</v>
      </c>
      <c r="F30" s="56">
        <f t="shared" ca="1" si="1"/>
        <v>81</v>
      </c>
      <c r="G30" s="56">
        <f t="shared" ca="1" si="2"/>
        <v>1053</v>
      </c>
    </row>
    <row r="31" spans="1:10" s="41" customFormat="1" ht="15">
      <c r="A31" s="50">
        <v>2</v>
      </c>
      <c r="B31" s="104">
        <v>3.2</v>
      </c>
      <c r="C31" s="105" t="s">
        <v>253</v>
      </c>
      <c r="D31" s="103">
        <f t="shared" ca="1" si="0"/>
        <v>77</v>
      </c>
      <c r="E31" s="104" t="s">
        <v>0</v>
      </c>
      <c r="F31" s="56">
        <f t="shared" ca="1" si="1"/>
        <v>35</v>
      </c>
      <c r="G31" s="56">
        <f t="shared" ca="1" si="2"/>
        <v>2695</v>
      </c>
    </row>
    <row r="32" spans="1:10" s="41" customFormat="1" ht="15">
      <c r="A32" s="50">
        <v>2</v>
      </c>
      <c r="B32" s="104">
        <v>3.3</v>
      </c>
      <c r="C32" s="105" t="s">
        <v>254</v>
      </c>
      <c r="D32" s="103">
        <f t="shared" ca="1" si="0"/>
        <v>81</v>
      </c>
      <c r="E32" s="104" t="s">
        <v>0</v>
      </c>
      <c r="F32" s="56">
        <f t="shared" ca="1" si="1"/>
        <v>48</v>
      </c>
      <c r="G32" s="56">
        <f t="shared" ca="1" si="2"/>
        <v>3888</v>
      </c>
    </row>
    <row r="33" spans="1:10" s="41" customFormat="1" ht="15">
      <c r="A33" s="50" t="s">
        <v>516</v>
      </c>
      <c r="B33" s="51"/>
      <c r="C33" s="61"/>
      <c r="D33" s="55"/>
      <c r="E33" s="51"/>
      <c r="F33" s="78"/>
      <c r="G33" s="56">
        <f>D33*F33</f>
        <v>0</v>
      </c>
      <c r="H33" s="58"/>
      <c r="I33" s="58"/>
      <c r="J33" s="58"/>
    </row>
    <row r="34" spans="1:10" s="58" customFormat="1" ht="15" customHeight="1">
      <c r="A34" s="50"/>
      <c r="B34" s="32"/>
      <c r="C34" s="70"/>
      <c r="D34" s="71"/>
      <c r="E34" s="30"/>
      <c r="F34" s="82" t="s">
        <v>31</v>
      </c>
      <c r="G34" s="78">
        <f ca="1">SUM(G25:G33)</f>
        <v>16430</v>
      </c>
    </row>
    <row r="35" spans="1:10" s="58" customFormat="1" ht="15" customHeight="1">
      <c r="A35" s="50"/>
      <c r="B35" s="32"/>
      <c r="C35" s="70"/>
      <c r="D35" s="71"/>
      <c r="E35" s="30"/>
      <c r="F35" s="83"/>
      <c r="G35" s="77"/>
    </row>
    <row r="36" spans="1:10" s="58" customFormat="1" ht="15" customHeight="1">
      <c r="A36" s="50"/>
      <c r="B36" s="30"/>
      <c r="C36" s="70"/>
      <c r="D36" s="71"/>
      <c r="E36" s="30"/>
      <c r="F36" s="77"/>
      <c r="G36" s="77"/>
    </row>
    <row r="37" spans="1:10" s="58" customFormat="1" ht="15" customHeight="1">
      <c r="A37" s="50"/>
      <c r="B37" s="30"/>
      <c r="C37" s="30" t="s">
        <v>18</v>
      </c>
      <c r="D37" s="31"/>
      <c r="E37" s="31"/>
      <c r="F37" s="31"/>
      <c r="G37" s="31"/>
      <c r="H37" s="34"/>
      <c r="I37" s="34"/>
    </row>
    <row r="38" spans="1:10" s="58" customFormat="1" ht="15" customHeight="1">
      <c r="A38" s="50"/>
      <c r="B38" s="30"/>
      <c r="C38" s="30"/>
      <c r="D38" s="34"/>
      <c r="E38" s="34"/>
      <c r="F38" s="34"/>
      <c r="G38" s="32"/>
      <c r="H38" s="33"/>
      <c r="I38" s="30"/>
    </row>
    <row r="39" spans="1:10" s="58" customFormat="1" ht="15" customHeight="1">
      <c r="A39" s="50"/>
      <c r="B39" s="30"/>
      <c r="C39" s="30" t="s">
        <v>19</v>
      </c>
      <c r="D39" s="31"/>
      <c r="E39" s="31"/>
      <c r="F39" s="31"/>
      <c r="G39" s="31"/>
      <c r="H39" s="34"/>
      <c r="I39" s="34"/>
    </row>
    <row r="40" spans="1:10" s="58" customFormat="1" ht="15" customHeight="1">
      <c r="A40" s="50"/>
      <c r="B40" s="30"/>
      <c r="C40" s="70"/>
      <c r="D40" s="71"/>
      <c r="E40" s="30"/>
      <c r="F40" s="77"/>
      <c r="G40" s="77"/>
    </row>
    <row r="41" spans="1:10" s="58" customFormat="1" ht="67.5">
      <c r="A41" s="50"/>
      <c r="B41" s="30"/>
      <c r="C41" s="74" t="s">
        <v>188</v>
      </c>
      <c r="D41" s="71"/>
      <c r="E41" s="30"/>
      <c r="F41" s="77"/>
      <c r="G41" s="77"/>
    </row>
    <row r="42" spans="1:10" s="58" customFormat="1" ht="15" customHeight="1">
      <c r="A42" s="50"/>
      <c r="B42" s="30"/>
      <c r="C42" s="70"/>
      <c r="D42" s="71"/>
      <c r="E42" s="30"/>
      <c r="F42" s="77"/>
      <c r="G42" s="77"/>
    </row>
    <row r="43" spans="1:10" s="58" customFormat="1" ht="15" customHeight="1">
      <c r="A43" s="50"/>
      <c r="B43" s="30"/>
      <c r="C43" s="70"/>
      <c r="D43" s="71"/>
      <c r="E43" s="30"/>
      <c r="F43" s="77"/>
      <c r="G43" s="77"/>
    </row>
    <row r="44" spans="1:10" s="58" customFormat="1" ht="15" customHeight="1">
      <c r="A44" s="50"/>
      <c r="B44" s="30"/>
      <c r="C44" s="70"/>
      <c r="D44" s="71"/>
      <c r="E44" s="30"/>
      <c r="F44" s="77"/>
      <c r="G44" s="77"/>
    </row>
    <row r="45" spans="1:10" s="58" customFormat="1" ht="15" customHeight="1">
      <c r="A45" s="50"/>
      <c r="B45" s="30"/>
      <c r="C45" s="70"/>
      <c r="D45" s="71"/>
      <c r="E45" s="30"/>
      <c r="F45" s="77"/>
      <c r="G45" s="77"/>
    </row>
    <row r="46" spans="1:10" s="41" customFormat="1" ht="15">
      <c r="A46" s="50"/>
      <c r="B46" s="30"/>
      <c r="C46" s="70"/>
      <c r="D46" s="71"/>
      <c r="E46" s="30"/>
      <c r="F46" s="77"/>
      <c r="G46" s="77"/>
      <c r="H46" s="58"/>
      <c r="I46" s="58"/>
      <c r="J46" s="58"/>
    </row>
    <row r="47" spans="1:10" s="58" customFormat="1" ht="15" customHeight="1">
      <c r="A47" s="50"/>
      <c r="B47" s="30"/>
      <c r="C47" s="70"/>
      <c r="D47" s="71"/>
      <c r="E47" s="30"/>
      <c r="F47" s="77"/>
      <c r="G47" s="77"/>
    </row>
    <row r="48" spans="1:10" s="58" customFormat="1" ht="15" customHeight="1">
      <c r="A48" s="50"/>
      <c r="B48" s="30"/>
      <c r="C48" s="70"/>
      <c r="D48" s="71"/>
      <c r="E48" s="30"/>
      <c r="F48" s="77"/>
      <c r="G48" s="77"/>
    </row>
    <row r="49" spans="1:10" s="41" customFormat="1" ht="15">
      <c r="A49" s="50"/>
      <c r="B49" s="30"/>
      <c r="C49" s="70"/>
      <c r="D49" s="71"/>
      <c r="E49" s="30"/>
      <c r="F49" s="77"/>
      <c r="G49" s="77"/>
      <c r="H49" s="58"/>
      <c r="I49" s="58"/>
      <c r="J49" s="58"/>
    </row>
    <row r="50" spans="1:10" s="58" customFormat="1" ht="15" customHeight="1">
      <c r="A50" s="50"/>
      <c r="B50" s="30"/>
      <c r="C50" s="70"/>
      <c r="D50" s="71"/>
      <c r="E50" s="30"/>
      <c r="F50" s="77"/>
      <c r="G50" s="77"/>
    </row>
    <row r="51" spans="1:10" s="58" customFormat="1" ht="15" customHeight="1">
      <c r="A51" s="50"/>
      <c r="B51" s="30"/>
      <c r="C51" s="70"/>
      <c r="D51" s="71"/>
      <c r="E51" s="30"/>
      <c r="F51" s="77"/>
      <c r="G51" s="77"/>
    </row>
    <row r="52" spans="1:10" s="41" customFormat="1" ht="15">
      <c r="A52" s="50"/>
      <c r="B52" s="30"/>
      <c r="C52" s="70"/>
      <c r="D52" s="71"/>
      <c r="E52" s="30"/>
      <c r="F52" s="77"/>
      <c r="G52" s="77"/>
      <c r="H52" s="58"/>
      <c r="I52" s="58"/>
      <c r="J52" s="58"/>
    </row>
    <row r="53" spans="1:10" s="58" customFormat="1" ht="15" customHeight="1">
      <c r="A53" s="50"/>
      <c r="B53" s="30"/>
      <c r="C53" s="70"/>
      <c r="D53" s="71"/>
      <c r="E53" s="30"/>
      <c r="F53" s="77"/>
      <c r="G53" s="77"/>
    </row>
    <row r="54" spans="1:10" s="41" customFormat="1" ht="15">
      <c r="A54" s="50"/>
      <c r="B54" s="30"/>
      <c r="C54" s="70"/>
      <c r="D54" s="71"/>
      <c r="E54" s="30"/>
      <c r="F54" s="77"/>
      <c r="G54" s="77"/>
      <c r="H54" s="58"/>
      <c r="I54" s="58"/>
      <c r="J54" s="58"/>
    </row>
    <row r="55" spans="1:10" s="58" customFormat="1" ht="15" customHeight="1">
      <c r="A55" s="50"/>
      <c r="B55" s="30"/>
      <c r="C55" s="70"/>
      <c r="D55" s="71"/>
      <c r="E55" s="30"/>
      <c r="F55" s="77"/>
      <c r="G55" s="77"/>
    </row>
    <row r="56" spans="1:10" s="58" customFormat="1" ht="15" customHeight="1">
      <c r="A56" s="50"/>
      <c r="B56" s="30"/>
      <c r="C56" s="70"/>
      <c r="D56" s="71"/>
      <c r="E56" s="30"/>
      <c r="F56" s="77"/>
      <c r="G56" s="77"/>
    </row>
    <row r="57" spans="1:10" s="41" customFormat="1" ht="15">
      <c r="A57" s="50"/>
      <c r="B57" s="30"/>
      <c r="C57" s="70"/>
      <c r="D57" s="71"/>
      <c r="E57" s="30"/>
      <c r="F57" s="77"/>
      <c r="G57" s="77"/>
      <c r="H57" s="58"/>
      <c r="I57" s="58"/>
      <c r="J57" s="58"/>
    </row>
    <row r="58" spans="1:10" s="41" customFormat="1" ht="15">
      <c r="A58" s="50"/>
      <c r="B58" s="30"/>
      <c r="C58" s="70"/>
      <c r="D58" s="71"/>
      <c r="E58" s="30"/>
      <c r="F58" s="77"/>
      <c r="G58" s="77"/>
      <c r="H58" s="58"/>
      <c r="I58" s="58"/>
      <c r="J58" s="58"/>
    </row>
    <row r="59" spans="1:10" s="58" customFormat="1">
      <c r="A59" s="50"/>
      <c r="B59" s="30"/>
      <c r="C59" s="70"/>
      <c r="D59" s="71"/>
      <c r="E59" s="30"/>
      <c r="F59" s="77"/>
      <c r="G59" s="77"/>
    </row>
    <row r="60" spans="1:10" s="41" customFormat="1" ht="15">
      <c r="A60" s="50"/>
      <c r="B60" s="30"/>
      <c r="C60" s="70"/>
      <c r="D60" s="71"/>
      <c r="E60" s="30"/>
      <c r="F60" s="77"/>
      <c r="G60" s="77"/>
      <c r="H60" s="58"/>
      <c r="I60" s="58"/>
      <c r="J60" s="58"/>
    </row>
    <row r="61" spans="1:10" s="41" customFormat="1" ht="15">
      <c r="A61" s="50"/>
      <c r="B61" s="30"/>
      <c r="C61" s="70"/>
      <c r="D61" s="71"/>
      <c r="E61" s="30"/>
      <c r="F61" s="77"/>
      <c r="G61" s="77"/>
      <c r="H61" s="58"/>
      <c r="I61" s="58"/>
      <c r="J61" s="58"/>
    </row>
    <row r="62" spans="1:10" s="41" customFormat="1" ht="15">
      <c r="A62" s="50"/>
      <c r="B62" s="30"/>
      <c r="C62" s="70"/>
      <c r="D62" s="71"/>
      <c r="E62" s="30"/>
      <c r="F62" s="77"/>
      <c r="G62" s="77"/>
      <c r="H62" s="58"/>
      <c r="I62" s="58"/>
      <c r="J62" s="58"/>
    </row>
    <row r="63" spans="1:10" s="41" customFormat="1" ht="15">
      <c r="A63" s="50"/>
      <c r="B63" s="30"/>
      <c r="C63" s="70"/>
      <c r="D63" s="71"/>
      <c r="E63" s="30"/>
      <c r="F63" s="77"/>
      <c r="G63" s="77"/>
      <c r="H63" s="58"/>
      <c r="I63" s="58"/>
      <c r="J63" s="58"/>
    </row>
    <row r="64" spans="1:10" s="41" customFormat="1" ht="15">
      <c r="A64" s="50"/>
      <c r="B64" s="30"/>
      <c r="C64" s="70"/>
      <c r="D64" s="71"/>
      <c r="E64" s="30"/>
      <c r="F64" s="77"/>
      <c r="G64" s="77"/>
      <c r="H64" s="58"/>
      <c r="I64" s="58"/>
      <c r="J64" s="58"/>
    </row>
    <row r="65" spans="1:10" s="41" customFormat="1" ht="15">
      <c r="A65" s="50"/>
      <c r="B65" s="30"/>
      <c r="C65" s="70"/>
      <c r="D65" s="71"/>
      <c r="E65" s="30"/>
      <c r="F65" s="77"/>
      <c r="G65" s="77"/>
      <c r="H65" s="58"/>
      <c r="I65" s="58"/>
      <c r="J65" s="58"/>
    </row>
    <row r="66" spans="1:10" s="41" customFormat="1" ht="15">
      <c r="A66" s="50"/>
      <c r="B66" s="30"/>
      <c r="C66" s="70"/>
      <c r="D66" s="71"/>
      <c r="E66" s="30"/>
      <c r="F66" s="77"/>
      <c r="G66" s="77"/>
      <c r="H66" s="58"/>
      <c r="I66" s="58"/>
      <c r="J66" s="58"/>
    </row>
    <row r="67" spans="1:10" s="41" customFormat="1" ht="15">
      <c r="A67" s="50"/>
      <c r="B67" s="30"/>
      <c r="C67" s="70"/>
      <c r="D67" s="71"/>
      <c r="E67" s="30"/>
      <c r="F67" s="77"/>
      <c r="G67" s="77"/>
      <c r="H67" s="58"/>
      <c r="I67" s="58"/>
      <c r="J67" s="58"/>
    </row>
    <row r="68" spans="1:10" s="41" customFormat="1" ht="15">
      <c r="A68" s="50"/>
      <c r="B68" s="30"/>
      <c r="C68" s="70"/>
      <c r="D68" s="71"/>
      <c r="E68" s="30"/>
      <c r="F68" s="77"/>
      <c r="G68" s="77"/>
      <c r="H68" s="58"/>
      <c r="I68" s="58"/>
      <c r="J68" s="58"/>
    </row>
    <row r="69" spans="1:10" s="41" customFormat="1" ht="15">
      <c r="A69" s="50"/>
      <c r="B69" s="30"/>
      <c r="C69" s="70"/>
      <c r="D69" s="71"/>
      <c r="E69" s="30"/>
      <c r="F69" s="77"/>
      <c r="G69" s="77"/>
      <c r="H69" s="58"/>
      <c r="I69" s="58"/>
      <c r="J69" s="58"/>
    </row>
    <row r="70" spans="1:10" s="58" customFormat="1">
      <c r="A70" s="50"/>
      <c r="B70" s="30"/>
      <c r="C70" s="70"/>
      <c r="D70" s="71"/>
      <c r="E70" s="30"/>
      <c r="F70" s="77"/>
      <c r="G70" s="77"/>
    </row>
    <row r="71" spans="1:10" s="58" customFormat="1">
      <c r="A71" s="50"/>
      <c r="B71" s="30"/>
      <c r="C71" s="70"/>
      <c r="D71" s="71"/>
      <c r="E71" s="30"/>
      <c r="F71" s="77"/>
      <c r="G71" s="77"/>
    </row>
    <row r="72" spans="1:10" s="58" customFormat="1">
      <c r="A72" s="50"/>
      <c r="B72" s="30"/>
      <c r="C72" s="70"/>
      <c r="D72" s="71"/>
      <c r="E72" s="30"/>
      <c r="F72" s="77"/>
      <c r="G72" s="77"/>
    </row>
    <row r="73" spans="1:10" s="58" customFormat="1">
      <c r="A73" s="50"/>
      <c r="B73" s="30"/>
      <c r="C73" s="70"/>
      <c r="D73" s="71"/>
      <c r="E73" s="30"/>
      <c r="F73" s="77"/>
      <c r="G73" s="77"/>
    </row>
    <row r="74" spans="1:10" s="58" customFormat="1" ht="12.2" customHeight="1">
      <c r="A74" s="50"/>
      <c r="B74" s="30"/>
      <c r="C74" s="70"/>
      <c r="D74" s="71"/>
      <c r="E74" s="30"/>
      <c r="F74" s="77"/>
      <c r="G74" s="77"/>
    </row>
    <row r="75" spans="1:10" s="58" customFormat="1" ht="15" customHeight="1">
      <c r="A75" s="50"/>
      <c r="B75" s="30"/>
      <c r="C75" s="70"/>
      <c r="D75" s="71"/>
      <c r="E75" s="30"/>
      <c r="F75" s="77"/>
      <c r="G75" s="77"/>
    </row>
    <row r="76" spans="1:10" s="58" customFormat="1" ht="14.25" customHeight="1">
      <c r="A76" s="50"/>
      <c r="B76" s="30"/>
      <c r="C76" s="70"/>
      <c r="D76" s="71"/>
      <c r="E76" s="30"/>
      <c r="F76" s="77"/>
      <c r="G76" s="77"/>
    </row>
    <row r="77" spans="1:10" s="58" customFormat="1" ht="14.25" customHeight="1">
      <c r="A77" s="50"/>
      <c r="B77" s="30"/>
      <c r="C77" s="70"/>
      <c r="D77" s="71"/>
      <c r="E77" s="30"/>
      <c r="F77" s="77"/>
      <c r="G77" s="77"/>
    </row>
    <row r="78" spans="1:10" s="58" customFormat="1" ht="14.25" customHeight="1">
      <c r="A78" s="50"/>
      <c r="B78" s="30"/>
      <c r="C78" s="70"/>
      <c r="D78" s="71"/>
      <c r="E78" s="30"/>
      <c r="F78" s="77"/>
      <c r="G78" s="77"/>
      <c r="H78" s="30"/>
    </row>
    <row r="79" spans="1:10" s="58" customFormat="1" ht="14.25" customHeight="1">
      <c r="A79" s="50"/>
      <c r="B79" s="30"/>
      <c r="C79" s="70"/>
      <c r="D79" s="71"/>
      <c r="E79" s="30"/>
      <c r="F79" s="77"/>
      <c r="G79" s="77"/>
      <c r="H79" s="30"/>
    </row>
    <row r="80" spans="1:10" s="58" customFormat="1" ht="14.25" customHeight="1">
      <c r="A80" s="50"/>
      <c r="B80" s="30"/>
      <c r="C80" s="70"/>
      <c r="D80" s="71"/>
      <c r="E80" s="30"/>
      <c r="F80" s="77"/>
      <c r="G80" s="77"/>
      <c r="H80" s="30"/>
    </row>
    <row r="81" spans="1:8" s="58" customFormat="1" ht="14.25" customHeight="1">
      <c r="A81" s="50"/>
      <c r="B81" s="30"/>
      <c r="C81" s="70"/>
      <c r="D81" s="71"/>
      <c r="E81" s="30"/>
      <c r="F81" s="77"/>
      <c r="G81" s="77"/>
      <c r="H81" s="30"/>
    </row>
    <row r="82" spans="1:8">
      <c r="A82" s="50"/>
      <c r="C82" s="70"/>
    </row>
    <row r="83" spans="1:8">
      <c r="A83" s="50"/>
      <c r="C83" s="70"/>
    </row>
    <row r="84" spans="1:8">
      <c r="A84" s="50"/>
      <c r="C84" s="70"/>
    </row>
    <row r="85" spans="1:8">
      <c r="A85" s="50"/>
      <c r="C85" s="70"/>
    </row>
    <row r="86" spans="1:8">
      <c r="A86" s="50"/>
      <c r="C86" s="70"/>
    </row>
    <row r="87" spans="1:8">
      <c r="A87" s="50"/>
      <c r="C87" s="70"/>
    </row>
    <row r="88" spans="1:8">
      <c r="A88" s="50"/>
      <c r="C88" s="70"/>
    </row>
    <row r="89" spans="1:8">
      <c r="A89" s="50"/>
      <c r="C89" s="70"/>
    </row>
    <row r="90" spans="1:8">
      <c r="A90" s="50"/>
      <c r="C90" s="70"/>
    </row>
    <row r="91" spans="1:8">
      <c r="A91" s="50"/>
      <c r="C91" s="70"/>
    </row>
    <row r="92" spans="1:8">
      <c r="A92" s="50"/>
      <c r="C92" s="70"/>
    </row>
    <row r="93" spans="1:8">
      <c r="A93" s="50"/>
      <c r="C93" s="70"/>
    </row>
    <row r="94" spans="1:8">
      <c r="A94" s="50"/>
      <c r="C94" s="70"/>
    </row>
    <row r="95" spans="1:8">
      <c r="A95" s="50"/>
      <c r="C95" s="70"/>
    </row>
    <row r="96" spans="1:8">
      <c r="A96" s="50"/>
      <c r="C96" s="70"/>
    </row>
    <row r="97" spans="1:3">
      <c r="A97" s="50"/>
      <c r="C97" s="70"/>
    </row>
    <row r="98" spans="1:3">
      <c r="A98" s="50"/>
      <c r="C98" s="70"/>
    </row>
    <row r="99" spans="1:3">
      <c r="A99" s="50"/>
      <c r="C99" s="70"/>
    </row>
    <row r="100" spans="1:3">
      <c r="A100" s="50"/>
      <c r="C100" s="70"/>
    </row>
    <row r="101" spans="1:3">
      <c r="A101" s="50"/>
      <c r="C101" s="70"/>
    </row>
    <row r="102" spans="1:3">
      <c r="A102" s="50"/>
      <c r="C102" s="70"/>
    </row>
    <row r="103" spans="1:3">
      <c r="A103" s="50"/>
      <c r="C103" s="70"/>
    </row>
    <row r="104" spans="1:3">
      <c r="A104" s="50"/>
      <c r="C104" s="70"/>
    </row>
    <row r="105" spans="1:3">
      <c r="A105" s="50"/>
      <c r="C105" s="70"/>
    </row>
    <row r="106" spans="1:3">
      <c r="A106" s="50"/>
      <c r="C106" s="70"/>
    </row>
    <row r="107" spans="1:3">
      <c r="A107" s="50"/>
      <c r="C107" s="70"/>
    </row>
    <row r="108" spans="1:3">
      <c r="A108" s="50"/>
      <c r="C108" s="70"/>
    </row>
    <row r="109" spans="1:3">
      <c r="A109" s="50"/>
      <c r="C109" s="70"/>
    </row>
    <row r="110" spans="1:3">
      <c r="A110" s="50"/>
      <c r="C110" s="70"/>
    </row>
    <row r="111" spans="1:3">
      <c r="A111" s="50"/>
      <c r="C111" s="70"/>
    </row>
    <row r="112" spans="1:3">
      <c r="A112" s="50"/>
      <c r="C112" s="70"/>
    </row>
    <row r="113" spans="1:3">
      <c r="A113" s="50"/>
      <c r="C113" s="70"/>
    </row>
    <row r="114" spans="1:3">
      <c r="A114" s="50"/>
      <c r="C114" s="70"/>
    </row>
    <row r="115" spans="1:3">
      <c r="A115" s="50"/>
      <c r="C115" s="70"/>
    </row>
    <row r="116" spans="1:3">
      <c r="A116" s="50"/>
      <c r="C116" s="70"/>
    </row>
    <row r="117" spans="1:3">
      <c r="A117" s="50"/>
      <c r="C117" s="70"/>
    </row>
    <row r="118" spans="1:3">
      <c r="A118" s="50"/>
      <c r="C118" s="70"/>
    </row>
    <row r="119" spans="1:3">
      <c r="A119" s="50"/>
      <c r="C119" s="70"/>
    </row>
    <row r="120" spans="1:3">
      <c r="A120" s="50"/>
      <c r="C120" s="70"/>
    </row>
    <row r="121" spans="1:3">
      <c r="A121" s="50"/>
      <c r="C121" s="70"/>
    </row>
    <row r="122" spans="1:3">
      <c r="A122" s="50"/>
      <c r="C122" s="70"/>
    </row>
    <row r="123" spans="1:3">
      <c r="A123" s="50"/>
      <c r="C123" s="70"/>
    </row>
    <row r="124" spans="1:3">
      <c r="A124" s="50"/>
      <c r="C124" s="70"/>
    </row>
    <row r="125" spans="1:3">
      <c r="A125" s="50"/>
      <c r="C125" s="70"/>
    </row>
    <row r="126" spans="1:3">
      <c r="A126" s="50"/>
      <c r="C126" s="70"/>
    </row>
    <row r="127" spans="1:3">
      <c r="A127" s="50"/>
      <c r="C127" s="70"/>
    </row>
    <row r="128" spans="1:3">
      <c r="A128" s="50"/>
      <c r="C128" s="70"/>
    </row>
    <row r="129" spans="1:3">
      <c r="A129" s="50"/>
      <c r="C129" s="70"/>
    </row>
    <row r="130" spans="1:3">
      <c r="A130" s="50"/>
      <c r="C130" s="70"/>
    </row>
    <row r="131" spans="1:3">
      <c r="A131" s="50"/>
      <c r="C131" s="70"/>
    </row>
    <row r="132" spans="1:3">
      <c r="A132" s="50"/>
      <c r="C132" s="70"/>
    </row>
    <row r="133" spans="1:3">
      <c r="A133" s="50"/>
      <c r="C133" s="70"/>
    </row>
    <row r="134" spans="1:3">
      <c r="A134" s="50"/>
      <c r="C134" s="70"/>
    </row>
    <row r="135" spans="1:3">
      <c r="A135" s="50"/>
      <c r="C135" s="70"/>
    </row>
    <row r="136" spans="1:3">
      <c r="A136" s="50"/>
      <c r="C136" s="70"/>
    </row>
    <row r="137" spans="1:3">
      <c r="A137" s="50"/>
      <c r="C137" s="70"/>
    </row>
    <row r="138" spans="1:3">
      <c r="A138" s="50"/>
      <c r="C138" s="70"/>
    </row>
    <row r="139" spans="1:3">
      <c r="A139" s="50"/>
      <c r="C139" s="70"/>
    </row>
    <row r="140" spans="1:3">
      <c r="A140" s="50"/>
      <c r="C140" s="70"/>
    </row>
    <row r="141" spans="1:3">
      <c r="A141" s="50"/>
      <c r="C141" s="70"/>
    </row>
    <row r="142" spans="1:3">
      <c r="A142" s="50"/>
      <c r="C142" s="70"/>
    </row>
    <row r="143" spans="1:3">
      <c r="A143" s="50"/>
      <c r="C143" s="70"/>
    </row>
    <row r="144" spans="1:3">
      <c r="A144" s="50"/>
      <c r="C144" s="70"/>
    </row>
    <row r="145" spans="1:3">
      <c r="A145" s="50"/>
      <c r="C145" s="70"/>
    </row>
    <row r="146" spans="1:3">
      <c r="A146" s="50"/>
      <c r="C146" s="70"/>
    </row>
    <row r="147" spans="1:3">
      <c r="A147" s="50"/>
      <c r="C147" s="70"/>
    </row>
    <row r="148" spans="1:3">
      <c r="A148" s="50"/>
      <c r="C148" s="70"/>
    </row>
    <row r="149" spans="1:3">
      <c r="A149" s="50"/>
      <c r="C149" s="70"/>
    </row>
    <row r="150" spans="1:3">
      <c r="A150" s="50"/>
      <c r="C150" s="70"/>
    </row>
    <row r="151" spans="1:3">
      <c r="A151" s="50"/>
      <c r="C151" s="70"/>
    </row>
    <row r="152" spans="1:3">
      <c r="A152" s="50"/>
      <c r="C152" s="70"/>
    </row>
    <row r="153" spans="1:3">
      <c r="A153" s="50"/>
      <c r="C153" s="70"/>
    </row>
    <row r="154" spans="1:3">
      <c r="A154" s="50"/>
      <c r="C154" s="70"/>
    </row>
    <row r="155" spans="1:3">
      <c r="A155" s="50"/>
      <c r="C155" s="70"/>
    </row>
    <row r="156" spans="1:3">
      <c r="A156" s="50"/>
      <c r="C156" s="70"/>
    </row>
    <row r="157" spans="1:3">
      <c r="A157" s="50"/>
      <c r="C157" s="70"/>
    </row>
    <row r="158" spans="1:3">
      <c r="A158" s="50"/>
      <c r="C158" s="70"/>
    </row>
    <row r="159" spans="1:3">
      <c r="A159" s="50"/>
      <c r="C159" s="70"/>
    </row>
    <row r="160" spans="1:3">
      <c r="A160" s="50"/>
      <c r="C160" s="70"/>
    </row>
    <row r="161" spans="1:3">
      <c r="A161" s="50"/>
      <c r="C161" s="70"/>
    </row>
    <row r="162" spans="1:3">
      <c r="A162" s="50"/>
      <c r="C162" s="70"/>
    </row>
    <row r="163" spans="1:3">
      <c r="A163" s="50"/>
      <c r="C163" s="70"/>
    </row>
    <row r="164" spans="1:3">
      <c r="A164" s="50"/>
      <c r="C164" s="70"/>
    </row>
    <row r="165" spans="1:3">
      <c r="A165" s="50"/>
      <c r="C165" s="70"/>
    </row>
    <row r="166" spans="1:3">
      <c r="A166" s="50"/>
      <c r="C166" s="70"/>
    </row>
    <row r="167" spans="1:3">
      <c r="A167" s="50"/>
      <c r="C167" s="70"/>
    </row>
    <row r="168" spans="1:3">
      <c r="A168" s="50"/>
      <c r="C168" s="70"/>
    </row>
    <row r="169" spans="1:3">
      <c r="A169" s="50"/>
      <c r="C169" s="70"/>
    </row>
    <row r="170" spans="1:3">
      <c r="A170" s="50"/>
      <c r="C170" s="70"/>
    </row>
    <row r="171" spans="1:3">
      <c r="A171" s="50"/>
      <c r="C171" s="70"/>
    </row>
    <row r="172" spans="1:3">
      <c r="A172" s="50"/>
      <c r="C172" s="70"/>
    </row>
    <row r="173" spans="1:3">
      <c r="A173" s="50"/>
      <c r="C173" s="70"/>
    </row>
    <row r="174" spans="1:3">
      <c r="A174" s="50"/>
      <c r="C174" s="70"/>
    </row>
    <row r="175" spans="1:3">
      <c r="A175" s="50"/>
      <c r="C175" s="70"/>
    </row>
    <row r="176" spans="1:3">
      <c r="A176" s="50"/>
      <c r="C176" s="70"/>
    </row>
    <row r="177" spans="1:3">
      <c r="A177" s="50"/>
      <c r="C177" s="70"/>
    </row>
    <row r="178" spans="1:3">
      <c r="A178" s="50"/>
      <c r="C178" s="70"/>
    </row>
    <row r="179" spans="1:3">
      <c r="A179" s="50"/>
      <c r="C179" s="70"/>
    </row>
    <row r="180" spans="1:3">
      <c r="A180" s="50"/>
      <c r="C180" s="70"/>
    </row>
    <row r="181" spans="1:3">
      <c r="A181" s="50"/>
      <c r="C181" s="70"/>
    </row>
    <row r="182" spans="1:3">
      <c r="A182" s="50"/>
      <c r="C182" s="70"/>
    </row>
    <row r="183" spans="1:3">
      <c r="A183" s="50"/>
      <c r="C183" s="70"/>
    </row>
    <row r="184" spans="1:3">
      <c r="A184" s="50"/>
      <c r="C184" s="70"/>
    </row>
    <row r="185" spans="1:3">
      <c r="A185" s="50"/>
      <c r="C185" s="70"/>
    </row>
    <row r="186" spans="1:3">
      <c r="A186" s="50"/>
      <c r="C186" s="70"/>
    </row>
    <row r="187" spans="1:3">
      <c r="A187" s="50"/>
      <c r="C187" s="70"/>
    </row>
    <row r="188" spans="1:3">
      <c r="A188" s="50"/>
      <c r="C188" s="70"/>
    </row>
    <row r="189" spans="1:3">
      <c r="A189" s="50"/>
      <c r="C189" s="70"/>
    </row>
    <row r="190" spans="1:3">
      <c r="A190" s="50"/>
      <c r="C190" s="70"/>
    </row>
    <row r="191" spans="1:3">
      <c r="A191" s="50"/>
      <c r="C191" s="70"/>
    </row>
    <row r="192" spans="1:3">
      <c r="A192" s="50"/>
      <c r="C192" s="70"/>
    </row>
    <row r="193" spans="1:3">
      <c r="A193" s="50"/>
      <c r="C193" s="70"/>
    </row>
    <row r="194" spans="1:3">
      <c r="A194" s="50"/>
      <c r="C194" s="70"/>
    </row>
    <row r="195" spans="1:3">
      <c r="A195" s="50"/>
      <c r="C195" s="70"/>
    </row>
    <row r="196" spans="1:3">
      <c r="A196" s="50"/>
      <c r="C196" s="70"/>
    </row>
    <row r="197" spans="1:3">
      <c r="A197" s="50"/>
      <c r="C197" s="70"/>
    </row>
    <row r="198" spans="1:3">
      <c r="A198" s="50"/>
      <c r="C198" s="70"/>
    </row>
    <row r="199" spans="1:3">
      <c r="A199" s="50"/>
      <c r="C199" s="70"/>
    </row>
    <row r="200" spans="1:3">
      <c r="A200" s="50"/>
      <c r="C200" s="70"/>
    </row>
    <row r="201" spans="1:3">
      <c r="A201" s="50"/>
      <c r="C201" s="70"/>
    </row>
    <row r="202" spans="1:3">
      <c r="A202" s="50"/>
      <c r="C202" s="70"/>
    </row>
    <row r="203" spans="1:3">
      <c r="A203" s="50"/>
      <c r="C203" s="70"/>
    </row>
    <row r="204" spans="1:3">
      <c r="A204" s="50"/>
      <c r="C204" s="70"/>
    </row>
    <row r="205" spans="1:3">
      <c r="A205" s="50"/>
      <c r="C205" s="70"/>
    </row>
    <row r="206" spans="1:3">
      <c r="A206" s="50"/>
      <c r="C206" s="70"/>
    </row>
    <row r="207" spans="1:3">
      <c r="A207" s="50"/>
      <c r="C207" s="70"/>
    </row>
    <row r="208" spans="1:3">
      <c r="A208" s="50"/>
      <c r="C208" s="70"/>
    </row>
    <row r="209" spans="1:3">
      <c r="A209" s="50"/>
      <c r="C209" s="70"/>
    </row>
    <row r="210" spans="1:3">
      <c r="A210" s="50"/>
      <c r="C210" s="70"/>
    </row>
    <row r="211" spans="1:3">
      <c r="A211" s="50"/>
      <c r="C211" s="70"/>
    </row>
    <row r="212" spans="1:3">
      <c r="A212" s="50"/>
      <c r="C212" s="70"/>
    </row>
    <row r="213" spans="1:3">
      <c r="A213" s="50"/>
      <c r="C213" s="70"/>
    </row>
    <row r="214" spans="1:3">
      <c r="A214" s="50"/>
      <c r="C214" s="70"/>
    </row>
    <row r="215" spans="1:3">
      <c r="A215" s="50"/>
      <c r="C215" s="70"/>
    </row>
    <row r="216" spans="1:3">
      <c r="A216" s="50"/>
      <c r="C216" s="70"/>
    </row>
    <row r="217" spans="1:3">
      <c r="A217" s="50"/>
      <c r="C217" s="70"/>
    </row>
    <row r="218" spans="1:3">
      <c r="A218" s="50"/>
      <c r="C218" s="70"/>
    </row>
    <row r="219" spans="1:3">
      <c r="A219" s="50"/>
      <c r="C219" s="70"/>
    </row>
    <row r="220" spans="1:3">
      <c r="A220" s="50"/>
      <c r="C220" s="70"/>
    </row>
    <row r="221" spans="1:3">
      <c r="A221" s="50"/>
      <c r="C221" s="70"/>
    </row>
    <row r="222" spans="1:3">
      <c r="A222" s="50"/>
      <c r="C222" s="70"/>
    </row>
    <row r="223" spans="1:3">
      <c r="A223" s="50"/>
      <c r="C223" s="70"/>
    </row>
    <row r="224" spans="1:3">
      <c r="A224" s="50"/>
      <c r="C224" s="70"/>
    </row>
    <row r="225" spans="1:3">
      <c r="A225" s="50"/>
      <c r="C225" s="70"/>
    </row>
    <row r="226" spans="1:3">
      <c r="A226" s="50"/>
      <c r="C226" s="70"/>
    </row>
    <row r="227" spans="1:3">
      <c r="A227" s="50"/>
      <c r="C227" s="70"/>
    </row>
    <row r="228" spans="1:3">
      <c r="A228" s="50"/>
      <c r="C228" s="70"/>
    </row>
    <row r="229" spans="1:3">
      <c r="A229" s="50"/>
      <c r="C229" s="70"/>
    </row>
    <row r="230" spans="1:3">
      <c r="A230" s="50"/>
      <c r="C230" s="70"/>
    </row>
    <row r="231" spans="1:3">
      <c r="A231" s="50"/>
      <c r="C231" s="70"/>
    </row>
    <row r="232" spans="1:3">
      <c r="A232" s="50"/>
      <c r="C232" s="70"/>
    </row>
    <row r="233" spans="1:3">
      <c r="A233" s="50"/>
      <c r="C233" s="70"/>
    </row>
    <row r="234" spans="1:3">
      <c r="A234" s="50"/>
      <c r="C234" s="70"/>
    </row>
    <row r="235" spans="1:3">
      <c r="A235" s="50"/>
      <c r="C235" s="70"/>
    </row>
    <row r="236" spans="1:3">
      <c r="A236" s="50"/>
      <c r="C236" s="70"/>
    </row>
    <row r="237" spans="1:3">
      <c r="A237" s="50"/>
      <c r="C237" s="70"/>
    </row>
    <row r="238" spans="1:3">
      <c r="A238" s="50"/>
      <c r="C238" s="70"/>
    </row>
    <row r="239" spans="1:3">
      <c r="A239" s="50"/>
      <c r="C239" s="70"/>
    </row>
    <row r="240" spans="1:3">
      <c r="A240" s="50"/>
      <c r="C240" s="70"/>
    </row>
    <row r="241" spans="1:3">
      <c r="A241" s="50"/>
      <c r="C241" s="70"/>
    </row>
    <row r="242" spans="1:3">
      <c r="A242" s="50"/>
      <c r="C242" s="70"/>
    </row>
    <row r="243" spans="1:3">
      <c r="A243" s="50"/>
      <c r="C243" s="70"/>
    </row>
    <row r="244" spans="1:3">
      <c r="A244" s="50"/>
      <c r="C244" s="70"/>
    </row>
    <row r="245" spans="1:3">
      <c r="A245" s="50"/>
      <c r="C245" s="70"/>
    </row>
    <row r="246" spans="1:3">
      <c r="A246" s="50"/>
      <c r="C246" s="70"/>
    </row>
    <row r="247" spans="1:3">
      <c r="A247" s="50"/>
      <c r="C247" s="70"/>
    </row>
    <row r="248" spans="1:3">
      <c r="A248" s="50"/>
      <c r="C248" s="70"/>
    </row>
    <row r="249" spans="1:3">
      <c r="A249" s="50"/>
      <c r="C249" s="70"/>
    </row>
    <row r="250" spans="1:3">
      <c r="A250" s="50"/>
      <c r="C250" s="70"/>
    </row>
    <row r="251" spans="1:3">
      <c r="A251" s="50"/>
      <c r="C251" s="70"/>
    </row>
    <row r="252" spans="1:3">
      <c r="A252" s="50"/>
      <c r="C252" s="70"/>
    </row>
    <row r="253" spans="1:3">
      <c r="A253" s="50"/>
      <c r="C253" s="70"/>
    </row>
    <row r="254" spans="1:3">
      <c r="A254" s="50"/>
      <c r="C254" s="70"/>
    </row>
    <row r="255" spans="1:3">
      <c r="A255" s="50"/>
      <c r="C255" s="70"/>
    </row>
    <row r="256" spans="1:3">
      <c r="A256" s="50"/>
      <c r="C256" s="70"/>
    </row>
    <row r="257" spans="1:3">
      <c r="A257" s="50"/>
      <c r="C257" s="70"/>
    </row>
    <row r="258" spans="1:3">
      <c r="A258" s="50"/>
      <c r="C258" s="70"/>
    </row>
    <row r="259" spans="1:3">
      <c r="A259" s="50"/>
      <c r="C259" s="70"/>
    </row>
    <row r="260" spans="1:3">
      <c r="A260" s="50"/>
      <c r="C260" s="70"/>
    </row>
    <row r="261" spans="1:3">
      <c r="A261" s="50"/>
      <c r="C261" s="70"/>
    </row>
    <row r="262" spans="1:3">
      <c r="A262" s="50"/>
      <c r="C262" s="70"/>
    </row>
    <row r="263" spans="1:3">
      <c r="A263" s="50"/>
      <c r="C263" s="70"/>
    </row>
    <row r="264" spans="1:3">
      <c r="A264" s="50"/>
      <c r="C264" s="70"/>
    </row>
    <row r="265" spans="1:3">
      <c r="A265" s="50"/>
      <c r="C265" s="70"/>
    </row>
    <row r="266" spans="1:3">
      <c r="A266" s="50"/>
      <c r="C266" s="70"/>
    </row>
    <row r="267" spans="1:3">
      <c r="A267" s="50"/>
      <c r="C267" s="70"/>
    </row>
    <row r="268" spans="1:3">
      <c r="A268" s="50"/>
      <c r="C268" s="70"/>
    </row>
    <row r="269" spans="1:3">
      <c r="A269" s="50"/>
      <c r="C269" s="70"/>
    </row>
    <row r="270" spans="1:3">
      <c r="A270" s="50"/>
      <c r="C270" s="70"/>
    </row>
    <row r="271" spans="1:3">
      <c r="A271" s="50"/>
      <c r="C271" s="70"/>
    </row>
    <row r="272" spans="1:3">
      <c r="A272" s="50"/>
      <c r="C272" s="70"/>
    </row>
    <row r="273" spans="1:3">
      <c r="A273" s="50"/>
      <c r="C273" s="70"/>
    </row>
    <row r="274" spans="1:3">
      <c r="A274" s="50"/>
      <c r="C274" s="70"/>
    </row>
    <row r="275" spans="1:3">
      <c r="A275" s="50"/>
      <c r="C275" s="70"/>
    </row>
    <row r="276" spans="1:3">
      <c r="A276" s="50"/>
      <c r="C276" s="70"/>
    </row>
    <row r="277" spans="1:3">
      <c r="A277" s="50"/>
      <c r="C277" s="70"/>
    </row>
    <row r="278" spans="1:3">
      <c r="A278" s="50"/>
      <c r="C278" s="70"/>
    </row>
    <row r="279" spans="1:3">
      <c r="A279" s="50"/>
      <c r="C279" s="70"/>
    </row>
    <row r="280" spans="1:3">
      <c r="A280" s="50"/>
      <c r="C280" s="70"/>
    </row>
    <row r="281" spans="1:3">
      <c r="A281" s="50"/>
      <c r="C281" s="70"/>
    </row>
    <row r="282" spans="1:3">
      <c r="A282" s="50"/>
      <c r="C282" s="70"/>
    </row>
    <row r="283" spans="1:3">
      <c r="A283" s="50"/>
      <c r="C283" s="70"/>
    </row>
    <row r="284" spans="1:3">
      <c r="A284" s="50"/>
      <c r="C284" s="70"/>
    </row>
    <row r="285" spans="1:3">
      <c r="A285" s="50"/>
      <c r="C285" s="70"/>
    </row>
    <row r="286" spans="1:3">
      <c r="A286" s="50"/>
      <c r="C286" s="70"/>
    </row>
    <row r="287" spans="1:3">
      <c r="A287" s="50"/>
      <c r="C287" s="70"/>
    </row>
    <row r="288" spans="1:3">
      <c r="A288" s="50"/>
      <c r="C288" s="70"/>
    </row>
    <row r="289" spans="1:3">
      <c r="A289" s="50"/>
      <c r="C289" s="70"/>
    </row>
    <row r="290" spans="1:3">
      <c r="A290" s="50"/>
      <c r="C290" s="70"/>
    </row>
    <row r="291" spans="1:3">
      <c r="A291" s="50"/>
      <c r="C291" s="70"/>
    </row>
    <row r="292" spans="1:3">
      <c r="A292" s="50"/>
      <c r="C292" s="70"/>
    </row>
    <row r="293" spans="1:3">
      <c r="A293" s="50"/>
      <c r="C293" s="70"/>
    </row>
    <row r="294" spans="1:3">
      <c r="A294" s="50"/>
      <c r="C294" s="70"/>
    </row>
    <row r="295" spans="1:3">
      <c r="A295" s="50"/>
      <c r="C295" s="70"/>
    </row>
    <row r="296" spans="1:3">
      <c r="A296" s="50"/>
      <c r="C296" s="70"/>
    </row>
    <row r="297" spans="1:3">
      <c r="A297" s="50"/>
      <c r="C297" s="70"/>
    </row>
    <row r="298" spans="1:3">
      <c r="A298" s="50"/>
      <c r="C298" s="70"/>
    </row>
    <row r="299" spans="1:3">
      <c r="A299" s="50"/>
      <c r="C299" s="70"/>
    </row>
    <row r="300" spans="1:3">
      <c r="A300" s="50"/>
      <c r="C300" s="70"/>
    </row>
    <row r="301" spans="1:3">
      <c r="A301" s="50"/>
      <c r="C301" s="70"/>
    </row>
    <row r="302" spans="1:3">
      <c r="A302" s="50"/>
      <c r="C302" s="70"/>
    </row>
    <row r="303" spans="1:3">
      <c r="A303" s="50"/>
      <c r="C303" s="70"/>
    </row>
    <row r="304" spans="1:3">
      <c r="A304" s="50"/>
      <c r="C304" s="70"/>
    </row>
    <row r="305" spans="1:3">
      <c r="A305" s="50"/>
      <c r="C305" s="70"/>
    </row>
    <row r="306" spans="1:3">
      <c r="A306" s="50"/>
      <c r="C306" s="70"/>
    </row>
    <row r="307" spans="1:3">
      <c r="A307" s="50"/>
      <c r="C307" s="70"/>
    </row>
    <row r="308" spans="1:3">
      <c r="A308" s="50"/>
      <c r="C308" s="70"/>
    </row>
    <row r="309" spans="1:3">
      <c r="A309" s="50"/>
      <c r="C309" s="70"/>
    </row>
    <row r="310" spans="1:3">
      <c r="A310" s="50"/>
      <c r="C310" s="70"/>
    </row>
    <row r="311" spans="1:3">
      <c r="A311" s="50"/>
      <c r="C311" s="70"/>
    </row>
    <row r="312" spans="1:3">
      <c r="A312" s="50"/>
      <c r="C312" s="70"/>
    </row>
    <row r="313" spans="1:3">
      <c r="A313" s="50"/>
      <c r="C313" s="70"/>
    </row>
    <row r="314" spans="1:3">
      <c r="A314" s="50"/>
      <c r="C314" s="70"/>
    </row>
    <row r="315" spans="1:3">
      <c r="A315" s="50"/>
      <c r="C315" s="70"/>
    </row>
    <row r="316" spans="1:3">
      <c r="A316" s="50"/>
      <c r="C316" s="70"/>
    </row>
    <row r="317" spans="1:3">
      <c r="A317" s="50"/>
      <c r="C317" s="70"/>
    </row>
    <row r="318" spans="1:3">
      <c r="A318" s="50"/>
      <c r="C318" s="70"/>
    </row>
    <row r="319" spans="1:3">
      <c r="A319" s="50"/>
      <c r="C319" s="70"/>
    </row>
    <row r="320" spans="1:3">
      <c r="A320" s="50"/>
      <c r="C320" s="70"/>
    </row>
    <row r="321" spans="1:3">
      <c r="A321" s="50"/>
      <c r="C321" s="70"/>
    </row>
    <row r="322" spans="1:3">
      <c r="A322" s="50"/>
      <c r="C322" s="70"/>
    </row>
    <row r="323" spans="1:3">
      <c r="A323" s="50"/>
      <c r="C323" s="70"/>
    </row>
    <row r="324" spans="1:3">
      <c r="A324" s="50"/>
      <c r="C324" s="70"/>
    </row>
    <row r="325" spans="1:3">
      <c r="A325" s="50"/>
      <c r="C325" s="70"/>
    </row>
    <row r="326" spans="1:3">
      <c r="A326" s="50"/>
      <c r="C326" s="70"/>
    </row>
    <row r="327" spans="1:3">
      <c r="A327" s="50"/>
      <c r="C327" s="70"/>
    </row>
    <row r="328" spans="1:3">
      <c r="A328" s="50"/>
      <c r="C328" s="70"/>
    </row>
    <row r="329" spans="1:3">
      <c r="A329" s="50"/>
      <c r="C329" s="70"/>
    </row>
    <row r="330" spans="1:3">
      <c r="A330" s="50"/>
      <c r="C330" s="70"/>
    </row>
    <row r="331" spans="1:3">
      <c r="A331" s="50"/>
      <c r="C331" s="70"/>
    </row>
    <row r="332" spans="1:3">
      <c r="A332" s="50"/>
      <c r="C332" s="70"/>
    </row>
    <row r="333" spans="1:3">
      <c r="A333" s="50"/>
      <c r="C333" s="70"/>
    </row>
    <row r="334" spans="1:3">
      <c r="A334" s="50"/>
      <c r="C334" s="70"/>
    </row>
    <row r="335" spans="1:3">
      <c r="A335" s="50"/>
      <c r="C335" s="70"/>
    </row>
    <row r="336" spans="1:3">
      <c r="A336" s="50"/>
      <c r="C336" s="70"/>
    </row>
    <row r="337" spans="1:3">
      <c r="A337" s="50"/>
      <c r="C337" s="70"/>
    </row>
    <row r="338" spans="1:3">
      <c r="A338" s="50"/>
      <c r="C338" s="70"/>
    </row>
    <row r="339" spans="1:3">
      <c r="A339" s="50"/>
      <c r="C339" s="70"/>
    </row>
    <row r="340" spans="1:3">
      <c r="A340" s="50"/>
      <c r="C340" s="70"/>
    </row>
    <row r="341" spans="1:3">
      <c r="A341" s="50"/>
      <c r="C341" s="70"/>
    </row>
    <row r="342" spans="1:3">
      <c r="A342" s="50"/>
      <c r="C342" s="70"/>
    </row>
    <row r="343" spans="1:3">
      <c r="A343" s="50"/>
      <c r="C343" s="70"/>
    </row>
    <row r="344" spans="1:3">
      <c r="A344" s="50"/>
      <c r="C344" s="70"/>
    </row>
    <row r="345" spans="1:3">
      <c r="A345" s="50"/>
      <c r="C345" s="70"/>
    </row>
    <row r="346" spans="1:3">
      <c r="A346" s="50"/>
      <c r="C346" s="70"/>
    </row>
    <row r="347" spans="1:3">
      <c r="A347" s="50"/>
      <c r="C347" s="70"/>
    </row>
    <row r="348" spans="1:3">
      <c r="A348" s="50"/>
      <c r="C348" s="70"/>
    </row>
    <row r="349" spans="1:3">
      <c r="A349" s="50"/>
      <c r="C349" s="70"/>
    </row>
    <row r="350" spans="1:3">
      <c r="A350" s="50"/>
      <c r="C350" s="70"/>
    </row>
    <row r="351" spans="1:3">
      <c r="A351" s="50"/>
      <c r="C351" s="70"/>
    </row>
    <row r="352" spans="1:3">
      <c r="A352" s="50"/>
      <c r="C352" s="70"/>
    </row>
    <row r="353" spans="1:3">
      <c r="A353" s="50"/>
      <c r="C353" s="70"/>
    </row>
    <row r="354" spans="1:3">
      <c r="A354" s="50"/>
      <c r="C354" s="70"/>
    </row>
    <row r="355" spans="1:3">
      <c r="A355" s="50"/>
      <c r="C355" s="70"/>
    </row>
    <row r="356" spans="1:3">
      <c r="A356" s="50"/>
      <c r="C356" s="70"/>
    </row>
    <row r="357" spans="1:3">
      <c r="A357" s="50"/>
      <c r="C357" s="70"/>
    </row>
    <row r="358" spans="1:3">
      <c r="A358" s="50"/>
      <c r="C358" s="70"/>
    </row>
    <row r="359" spans="1:3">
      <c r="A359" s="50"/>
      <c r="C359" s="70"/>
    </row>
    <row r="360" spans="1:3">
      <c r="A360" s="50"/>
      <c r="C360" s="70"/>
    </row>
    <row r="361" spans="1:3">
      <c r="A361" s="50"/>
      <c r="C361" s="70"/>
    </row>
    <row r="362" spans="1:3">
      <c r="A362" s="50"/>
      <c r="C362" s="70"/>
    </row>
    <row r="363" spans="1:3">
      <c r="A363" s="50"/>
      <c r="C363" s="70"/>
    </row>
    <row r="364" spans="1:3">
      <c r="A364" s="50"/>
      <c r="C364" s="70"/>
    </row>
    <row r="365" spans="1:3">
      <c r="A365" s="50"/>
      <c r="C365" s="70"/>
    </row>
    <row r="366" spans="1:3">
      <c r="A366" s="50"/>
      <c r="C366" s="70"/>
    </row>
    <row r="367" spans="1:3">
      <c r="A367" s="50"/>
      <c r="C367" s="70"/>
    </row>
    <row r="368" spans="1:3">
      <c r="A368" s="50"/>
      <c r="C368" s="70"/>
    </row>
    <row r="369" spans="1:3">
      <c r="A369" s="50"/>
      <c r="C369" s="70"/>
    </row>
    <row r="370" spans="1:3">
      <c r="A370" s="50"/>
      <c r="C370" s="70"/>
    </row>
    <row r="371" spans="1:3">
      <c r="A371" s="50"/>
      <c r="C371" s="70"/>
    </row>
    <row r="372" spans="1:3">
      <c r="A372" s="50"/>
      <c r="C372" s="70"/>
    </row>
    <row r="373" spans="1:3">
      <c r="A373" s="50"/>
      <c r="C373" s="70"/>
    </row>
    <row r="374" spans="1:3">
      <c r="A374" s="50"/>
      <c r="C374" s="70"/>
    </row>
    <row r="375" spans="1:3">
      <c r="A375" s="50"/>
      <c r="C375" s="70"/>
    </row>
    <row r="376" spans="1:3">
      <c r="A376" s="50"/>
      <c r="C376" s="70"/>
    </row>
    <row r="377" spans="1:3">
      <c r="A377" s="50"/>
      <c r="C377" s="70"/>
    </row>
    <row r="378" spans="1:3">
      <c r="A378" s="50"/>
      <c r="C378" s="70"/>
    </row>
    <row r="379" spans="1:3">
      <c r="A379" s="50"/>
      <c r="C379" s="70"/>
    </row>
    <row r="380" spans="1:3">
      <c r="A380" s="50"/>
      <c r="C380" s="70"/>
    </row>
    <row r="381" spans="1:3">
      <c r="A381" s="50"/>
      <c r="C381" s="70"/>
    </row>
    <row r="382" spans="1:3">
      <c r="A382" s="50"/>
      <c r="C382" s="70"/>
    </row>
    <row r="383" spans="1:3">
      <c r="A383" s="50"/>
      <c r="C383" s="70"/>
    </row>
    <row r="384" spans="1:3">
      <c r="A384" s="50"/>
      <c r="C384" s="70"/>
    </row>
    <row r="385" spans="1:3">
      <c r="A385" s="50"/>
      <c r="C385" s="70"/>
    </row>
    <row r="386" spans="1:3">
      <c r="A386" s="50"/>
      <c r="C386" s="70"/>
    </row>
    <row r="387" spans="1:3">
      <c r="A387" s="50"/>
      <c r="C387" s="70"/>
    </row>
    <row r="388" spans="1:3">
      <c r="A388" s="50"/>
      <c r="C388" s="70"/>
    </row>
    <row r="389" spans="1:3">
      <c r="A389" s="50"/>
      <c r="C389" s="70"/>
    </row>
    <row r="390" spans="1:3">
      <c r="A390" s="50"/>
      <c r="C390" s="70"/>
    </row>
    <row r="391" spans="1:3">
      <c r="A391" s="50"/>
      <c r="C391" s="70"/>
    </row>
    <row r="392" spans="1:3">
      <c r="A392" s="50"/>
      <c r="C392" s="70"/>
    </row>
    <row r="393" spans="1:3">
      <c r="A393" s="50"/>
      <c r="C393" s="70"/>
    </row>
    <row r="394" spans="1:3">
      <c r="A394" s="50"/>
      <c r="C394" s="70"/>
    </row>
    <row r="395" spans="1:3">
      <c r="A395" s="50"/>
      <c r="C395" s="70"/>
    </row>
    <row r="396" spans="1:3">
      <c r="A396" s="50"/>
      <c r="C396" s="70"/>
    </row>
    <row r="397" spans="1:3">
      <c r="A397" s="50"/>
      <c r="C397" s="70"/>
    </row>
    <row r="398" spans="1:3">
      <c r="A398" s="50"/>
      <c r="C398" s="70"/>
    </row>
    <row r="399" spans="1:3">
      <c r="A399" s="50"/>
      <c r="C399" s="70"/>
    </row>
    <row r="400" spans="1:3">
      <c r="A400" s="50"/>
      <c r="C400" s="70"/>
    </row>
    <row r="401" spans="1:3">
      <c r="A401" s="50"/>
      <c r="C401" s="70"/>
    </row>
    <row r="402" spans="1:3">
      <c r="A402" s="50"/>
      <c r="C402" s="70"/>
    </row>
    <row r="403" spans="1:3">
      <c r="A403" s="50"/>
      <c r="C403" s="70"/>
    </row>
    <row r="404" spans="1:3">
      <c r="A404" s="50"/>
      <c r="C404" s="70"/>
    </row>
    <row r="405" spans="1:3">
      <c r="A405" s="50"/>
      <c r="C405" s="70"/>
    </row>
    <row r="406" spans="1:3">
      <c r="A406" s="50"/>
      <c r="C406" s="70"/>
    </row>
    <row r="407" spans="1:3">
      <c r="A407" s="50"/>
      <c r="C407" s="70"/>
    </row>
    <row r="408" spans="1:3">
      <c r="A408" s="50"/>
      <c r="C408" s="70"/>
    </row>
    <row r="409" spans="1:3">
      <c r="A409" s="50"/>
      <c r="C409" s="70"/>
    </row>
    <row r="410" spans="1:3">
      <c r="A410" s="50"/>
      <c r="C410" s="70"/>
    </row>
    <row r="411" spans="1:3">
      <c r="A411" s="50"/>
      <c r="C411" s="70"/>
    </row>
    <row r="412" spans="1:3">
      <c r="A412" s="50"/>
      <c r="C412" s="70"/>
    </row>
    <row r="413" spans="1:3">
      <c r="A413" s="50"/>
      <c r="C413" s="70"/>
    </row>
    <row r="414" spans="1:3">
      <c r="A414" s="50"/>
      <c r="C414" s="70"/>
    </row>
    <row r="415" spans="1:3">
      <c r="A415" s="50"/>
      <c r="C415" s="70"/>
    </row>
    <row r="416" spans="1:3">
      <c r="A416" s="50"/>
      <c r="C416" s="70"/>
    </row>
    <row r="417" spans="1:3">
      <c r="A417" s="50"/>
      <c r="C417" s="70"/>
    </row>
    <row r="418" spans="1:3">
      <c r="A418" s="50"/>
      <c r="C418" s="70"/>
    </row>
    <row r="419" spans="1:3">
      <c r="A419" s="50"/>
      <c r="C419" s="70"/>
    </row>
    <row r="420" spans="1:3">
      <c r="A420" s="50"/>
      <c r="C420" s="70"/>
    </row>
    <row r="421" spans="1:3">
      <c r="A421" s="50"/>
      <c r="C421" s="70"/>
    </row>
    <row r="422" spans="1:3">
      <c r="A422" s="50"/>
      <c r="C422" s="70"/>
    </row>
    <row r="423" spans="1:3">
      <c r="A423" s="50"/>
      <c r="C423" s="70"/>
    </row>
    <row r="424" spans="1:3">
      <c r="A424" s="50"/>
      <c r="C424" s="70"/>
    </row>
    <row r="425" spans="1:3">
      <c r="A425" s="50"/>
      <c r="C425" s="70"/>
    </row>
    <row r="426" spans="1:3">
      <c r="A426" s="50"/>
      <c r="C426" s="70"/>
    </row>
    <row r="427" spans="1:3">
      <c r="A427" s="50"/>
      <c r="C427" s="70"/>
    </row>
    <row r="428" spans="1:3">
      <c r="A428" s="50"/>
      <c r="C428" s="70"/>
    </row>
    <row r="429" spans="1:3">
      <c r="A429" s="50"/>
      <c r="C429" s="70"/>
    </row>
    <row r="430" spans="1:3">
      <c r="A430" s="50"/>
      <c r="C430" s="70"/>
    </row>
    <row r="431" spans="1:3">
      <c r="A431" s="50"/>
      <c r="C431" s="70"/>
    </row>
    <row r="432" spans="1:3">
      <c r="A432" s="50"/>
      <c r="C432" s="70"/>
    </row>
    <row r="433" spans="1:3">
      <c r="A433" s="50"/>
      <c r="C433" s="70"/>
    </row>
    <row r="434" spans="1:3">
      <c r="A434" s="50"/>
      <c r="C434" s="70"/>
    </row>
    <row r="435" spans="1:3">
      <c r="A435" s="50"/>
      <c r="C435" s="70"/>
    </row>
    <row r="436" spans="1:3">
      <c r="A436" s="50"/>
      <c r="C436" s="70"/>
    </row>
    <row r="437" spans="1:3">
      <c r="A437" s="50"/>
      <c r="C437" s="70"/>
    </row>
    <row r="438" spans="1:3">
      <c r="A438" s="50"/>
      <c r="C438" s="70"/>
    </row>
    <row r="439" spans="1:3">
      <c r="A439" s="50"/>
      <c r="C439" s="70"/>
    </row>
    <row r="440" spans="1:3">
      <c r="A440" s="50"/>
      <c r="C440" s="70"/>
    </row>
    <row r="441" spans="1:3">
      <c r="A441" s="50"/>
      <c r="C441" s="70"/>
    </row>
    <row r="442" spans="1:3">
      <c r="A442" s="50"/>
      <c r="C442" s="70"/>
    </row>
    <row r="443" spans="1:3">
      <c r="A443" s="50"/>
      <c r="C443" s="70"/>
    </row>
    <row r="444" spans="1:3">
      <c r="A444" s="50"/>
      <c r="C444" s="70"/>
    </row>
    <row r="445" spans="1:3">
      <c r="A445" s="50"/>
      <c r="C445" s="70"/>
    </row>
    <row r="446" spans="1:3">
      <c r="A446" s="50"/>
      <c r="C446" s="70"/>
    </row>
    <row r="447" spans="1:3">
      <c r="A447" s="50"/>
      <c r="C447" s="70"/>
    </row>
    <row r="448" spans="1:3">
      <c r="A448" s="50"/>
      <c r="C448" s="70"/>
    </row>
    <row r="449" spans="1:3">
      <c r="A449" s="50"/>
      <c r="C449" s="70"/>
    </row>
    <row r="450" spans="1:3">
      <c r="A450" s="50"/>
      <c r="C450" s="70"/>
    </row>
    <row r="451" spans="1:3">
      <c r="A451" s="50"/>
      <c r="C451" s="70"/>
    </row>
    <row r="452" spans="1:3">
      <c r="A452" s="50"/>
      <c r="C452" s="70"/>
    </row>
    <row r="453" spans="1:3">
      <c r="A453" s="50"/>
      <c r="C453" s="70"/>
    </row>
    <row r="454" spans="1:3">
      <c r="A454" s="50"/>
      <c r="C454" s="70"/>
    </row>
    <row r="455" spans="1:3">
      <c r="A455" s="50"/>
      <c r="C455" s="70"/>
    </row>
    <row r="456" spans="1:3">
      <c r="A456" s="50"/>
      <c r="C456" s="70"/>
    </row>
    <row r="457" spans="1:3">
      <c r="A457" s="50"/>
      <c r="C457" s="70"/>
    </row>
    <row r="458" spans="1:3">
      <c r="A458" s="50"/>
      <c r="C458" s="70"/>
    </row>
    <row r="459" spans="1:3">
      <c r="A459" s="50"/>
      <c r="C459" s="70"/>
    </row>
    <row r="460" spans="1:3">
      <c r="A460" s="50"/>
      <c r="C460" s="70"/>
    </row>
    <row r="461" spans="1:3">
      <c r="A461" s="50"/>
      <c r="C461" s="70"/>
    </row>
    <row r="462" spans="1:3">
      <c r="A462" s="50"/>
      <c r="C462" s="70"/>
    </row>
    <row r="463" spans="1:3">
      <c r="A463" s="50"/>
      <c r="C463" s="70"/>
    </row>
    <row r="464" spans="1:3">
      <c r="A464" s="50"/>
      <c r="C464" s="70"/>
    </row>
    <row r="465" spans="1:3">
      <c r="A465" s="50"/>
      <c r="C465" s="70"/>
    </row>
    <row r="466" spans="1:3">
      <c r="A466" s="50"/>
      <c r="C466" s="70"/>
    </row>
    <row r="467" spans="1:3">
      <c r="A467" s="50"/>
      <c r="C467" s="70"/>
    </row>
    <row r="468" spans="1:3">
      <c r="A468" s="50"/>
      <c r="C468" s="70"/>
    </row>
    <row r="469" spans="1:3">
      <c r="A469" s="50"/>
      <c r="C469" s="70"/>
    </row>
    <row r="470" spans="1:3">
      <c r="A470" s="50"/>
      <c r="C470" s="70"/>
    </row>
    <row r="471" spans="1:3">
      <c r="A471" s="50"/>
      <c r="C471" s="70"/>
    </row>
    <row r="472" spans="1:3">
      <c r="A472" s="50"/>
      <c r="C472" s="70"/>
    </row>
    <row r="473" spans="1:3">
      <c r="A473" s="50"/>
      <c r="C473" s="70"/>
    </row>
    <row r="474" spans="1:3">
      <c r="A474" s="50"/>
      <c r="C474" s="70"/>
    </row>
    <row r="475" spans="1:3">
      <c r="A475" s="50"/>
      <c r="C475" s="70"/>
    </row>
    <row r="476" spans="1:3">
      <c r="A476" s="50"/>
      <c r="C476" s="70"/>
    </row>
    <row r="477" spans="1:3">
      <c r="A477" s="50"/>
      <c r="C477" s="70"/>
    </row>
    <row r="478" spans="1:3">
      <c r="A478" s="50"/>
      <c r="C478" s="70"/>
    </row>
    <row r="479" spans="1:3">
      <c r="A479" s="50"/>
      <c r="C479" s="70"/>
    </row>
    <row r="480" spans="1:3">
      <c r="A480" s="50"/>
      <c r="C480" s="70"/>
    </row>
    <row r="481" spans="1:3">
      <c r="A481" s="50"/>
      <c r="C481" s="70"/>
    </row>
    <row r="482" spans="1:3">
      <c r="A482" s="50"/>
      <c r="C482" s="70"/>
    </row>
    <row r="483" spans="1:3">
      <c r="A483" s="50"/>
      <c r="C483" s="70"/>
    </row>
    <row r="484" spans="1:3">
      <c r="A484" s="50"/>
      <c r="C484" s="70"/>
    </row>
    <row r="485" spans="1:3">
      <c r="A485" s="50"/>
      <c r="C485" s="70"/>
    </row>
    <row r="486" spans="1:3">
      <c r="A486" s="50"/>
      <c r="C486" s="70"/>
    </row>
    <row r="487" spans="1:3">
      <c r="A487" s="50"/>
      <c r="C487" s="70"/>
    </row>
    <row r="488" spans="1:3">
      <c r="A488" s="50"/>
      <c r="C488" s="70"/>
    </row>
    <row r="489" spans="1:3">
      <c r="A489" s="50"/>
      <c r="C489" s="70"/>
    </row>
    <row r="490" spans="1:3">
      <c r="A490" s="50"/>
      <c r="C490" s="70"/>
    </row>
    <row r="491" spans="1:3">
      <c r="A491" s="50"/>
      <c r="C491" s="70"/>
    </row>
    <row r="492" spans="1:3">
      <c r="A492" s="50"/>
      <c r="C492" s="70"/>
    </row>
    <row r="493" spans="1:3">
      <c r="A493" s="50"/>
      <c r="C493" s="70"/>
    </row>
    <row r="494" spans="1:3">
      <c r="A494" s="50"/>
      <c r="C494" s="70"/>
    </row>
    <row r="495" spans="1:3">
      <c r="A495" s="50"/>
      <c r="C495" s="70"/>
    </row>
    <row r="496" spans="1:3">
      <c r="A496" s="50"/>
      <c r="C496" s="70"/>
    </row>
    <row r="497" spans="1:3">
      <c r="A497" s="50"/>
      <c r="C497" s="70"/>
    </row>
    <row r="498" spans="1:3">
      <c r="A498" s="50"/>
      <c r="C498" s="70"/>
    </row>
    <row r="499" spans="1:3">
      <c r="A499" s="50"/>
      <c r="C499" s="70"/>
    </row>
    <row r="500" spans="1:3">
      <c r="A500" s="50"/>
      <c r="C500" s="70"/>
    </row>
    <row r="501" spans="1:3">
      <c r="A501" s="50"/>
      <c r="C501" s="70"/>
    </row>
    <row r="502" spans="1:3">
      <c r="A502" s="50"/>
      <c r="C502" s="70"/>
    </row>
    <row r="503" spans="1:3">
      <c r="A503" s="50"/>
      <c r="C503" s="70"/>
    </row>
    <row r="504" spans="1:3">
      <c r="A504" s="50"/>
      <c r="C504" s="70"/>
    </row>
    <row r="505" spans="1:3">
      <c r="A505" s="50"/>
      <c r="C505" s="70"/>
    </row>
    <row r="506" spans="1:3">
      <c r="A506" s="50"/>
      <c r="C506" s="70"/>
    </row>
    <row r="507" spans="1:3">
      <c r="A507" s="50"/>
      <c r="C507" s="70"/>
    </row>
    <row r="508" spans="1:3">
      <c r="A508" s="50"/>
      <c r="C508" s="70"/>
    </row>
    <row r="509" spans="1:3">
      <c r="A509" s="50"/>
      <c r="C509" s="70"/>
    </row>
    <row r="510" spans="1:3">
      <c r="A510" s="50"/>
      <c r="C510" s="70"/>
    </row>
    <row r="511" spans="1:3">
      <c r="A511" s="50"/>
      <c r="C511" s="70"/>
    </row>
    <row r="512" spans="1:3">
      <c r="A512" s="50"/>
      <c r="C512" s="70"/>
    </row>
    <row r="513" spans="1:3">
      <c r="A513" s="50"/>
      <c r="C513" s="70"/>
    </row>
    <row r="514" spans="1:3">
      <c r="A514" s="50"/>
      <c r="C514" s="70"/>
    </row>
    <row r="515" spans="1:3">
      <c r="A515" s="50"/>
      <c r="C515" s="70"/>
    </row>
    <row r="516" spans="1:3">
      <c r="A516" s="50"/>
      <c r="C516" s="70"/>
    </row>
    <row r="517" spans="1:3">
      <c r="A517" s="50"/>
      <c r="C517" s="70"/>
    </row>
    <row r="518" spans="1:3">
      <c r="A518" s="50"/>
      <c r="C518" s="70"/>
    </row>
    <row r="519" spans="1:3">
      <c r="A519" s="50"/>
      <c r="C519" s="70"/>
    </row>
    <row r="520" spans="1:3">
      <c r="A520" s="50"/>
      <c r="C520" s="70"/>
    </row>
    <row r="521" spans="1:3">
      <c r="A521" s="50"/>
      <c r="C521" s="70"/>
    </row>
    <row r="522" spans="1:3">
      <c r="A522" s="50"/>
      <c r="C522" s="70"/>
    </row>
    <row r="523" spans="1:3">
      <c r="A523" s="50"/>
      <c r="C523" s="70"/>
    </row>
    <row r="524" spans="1:3">
      <c r="A524" s="50"/>
      <c r="C524" s="70"/>
    </row>
    <row r="525" spans="1:3">
      <c r="A525" s="50"/>
      <c r="C525" s="70"/>
    </row>
    <row r="526" spans="1:3">
      <c r="A526" s="50"/>
      <c r="C526" s="70"/>
    </row>
    <row r="527" spans="1:3">
      <c r="A527" s="50"/>
      <c r="C527" s="70"/>
    </row>
    <row r="528" spans="1:3">
      <c r="A528" s="50"/>
      <c r="C528" s="70"/>
    </row>
    <row r="529" spans="1:3">
      <c r="A529" s="50"/>
      <c r="C529" s="70"/>
    </row>
    <row r="530" spans="1:3">
      <c r="A530" s="50"/>
      <c r="C530" s="70"/>
    </row>
    <row r="531" spans="1:3">
      <c r="A531" s="50"/>
      <c r="C531" s="70"/>
    </row>
    <row r="532" spans="1:3">
      <c r="A532" s="50"/>
      <c r="C532" s="70"/>
    </row>
    <row r="533" spans="1:3">
      <c r="C533" s="70"/>
    </row>
    <row r="534" spans="1:3">
      <c r="C534" s="70"/>
    </row>
    <row r="535" spans="1:3">
      <c r="C535" s="70"/>
    </row>
    <row r="536" spans="1:3">
      <c r="C536" s="70"/>
    </row>
    <row r="537" spans="1:3">
      <c r="C537" s="70"/>
    </row>
    <row r="538" spans="1:3">
      <c r="C538" s="70"/>
    </row>
    <row r="539" spans="1:3">
      <c r="C539" s="70"/>
    </row>
    <row r="540" spans="1:3">
      <c r="C540" s="70"/>
    </row>
    <row r="541" spans="1:3">
      <c r="C541" s="70"/>
    </row>
    <row r="542" spans="1:3">
      <c r="C542" s="70"/>
    </row>
    <row r="543" spans="1:3">
      <c r="C543" s="70"/>
    </row>
    <row r="544" spans="1:3">
      <c r="C544" s="70"/>
    </row>
    <row r="545" spans="3:3">
      <c r="C545" s="70"/>
    </row>
    <row r="546" spans="3:3">
      <c r="C546" s="70"/>
    </row>
    <row r="547" spans="3:3">
      <c r="C547" s="70"/>
    </row>
    <row r="548" spans="3:3">
      <c r="C548" s="70"/>
    </row>
    <row r="549" spans="3:3">
      <c r="C549" s="70"/>
    </row>
    <row r="550" spans="3:3">
      <c r="C550" s="70"/>
    </row>
    <row r="551" spans="3:3">
      <c r="C551" s="70"/>
    </row>
    <row r="552" spans="3:3">
      <c r="C552" s="70"/>
    </row>
    <row r="553" spans="3:3">
      <c r="C553" s="70"/>
    </row>
    <row r="554" spans="3:3">
      <c r="C554" s="70"/>
    </row>
    <row r="555" spans="3:3">
      <c r="C555" s="70"/>
    </row>
    <row r="556" spans="3:3">
      <c r="C556" s="70"/>
    </row>
    <row r="557" spans="3:3">
      <c r="C557" s="70"/>
    </row>
    <row r="558" spans="3:3">
      <c r="C558" s="70"/>
    </row>
    <row r="559" spans="3:3">
      <c r="C559" s="70"/>
    </row>
    <row r="560" spans="3:3">
      <c r="C560" s="70"/>
    </row>
    <row r="561" spans="3:3">
      <c r="C561" s="70"/>
    </row>
    <row r="562" spans="3:3">
      <c r="C562" s="70"/>
    </row>
    <row r="563" spans="3:3">
      <c r="C563" s="70"/>
    </row>
    <row r="564" spans="3:3">
      <c r="C564" s="70"/>
    </row>
    <row r="565" spans="3:3">
      <c r="C565" s="70"/>
    </row>
    <row r="566" spans="3:3">
      <c r="C566" s="70"/>
    </row>
    <row r="567" spans="3:3">
      <c r="C567" s="70"/>
    </row>
    <row r="568" spans="3:3">
      <c r="C568" s="70"/>
    </row>
    <row r="569" spans="3:3">
      <c r="C569" s="70"/>
    </row>
    <row r="570" spans="3:3">
      <c r="C570" s="70"/>
    </row>
    <row r="571" spans="3:3">
      <c r="C571" s="70"/>
    </row>
    <row r="572" spans="3:3">
      <c r="C572" s="70"/>
    </row>
    <row r="573" spans="3:3">
      <c r="C573" s="70"/>
    </row>
    <row r="574" spans="3:3">
      <c r="C574" s="70"/>
    </row>
    <row r="575" spans="3:3">
      <c r="C575" s="70"/>
    </row>
    <row r="576" spans="3:3">
      <c r="C576" s="70"/>
    </row>
    <row r="577" spans="3:3">
      <c r="C577" s="70"/>
    </row>
    <row r="578" spans="3:3">
      <c r="C578" s="70"/>
    </row>
    <row r="579" spans="3:3">
      <c r="C579" s="70"/>
    </row>
    <row r="580" spans="3:3">
      <c r="C580" s="70"/>
    </row>
    <row r="581" spans="3:3">
      <c r="C581" s="70"/>
    </row>
    <row r="582" spans="3:3">
      <c r="C582" s="70"/>
    </row>
    <row r="583" spans="3:3">
      <c r="C583" s="70"/>
    </row>
    <row r="584" spans="3:3">
      <c r="C584" s="70"/>
    </row>
    <row r="585" spans="3:3">
      <c r="C585" s="70"/>
    </row>
    <row r="586" spans="3:3">
      <c r="C586" s="70"/>
    </row>
    <row r="587" spans="3:3">
      <c r="C587" s="70"/>
    </row>
    <row r="588" spans="3:3">
      <c r="C588" s="70"/>
    </row>
    <row r="589" spans="3:3">
      <c r="C589" s="70"/>
    </row>
    <row r="590" spans="3:3">
      <c r="C590" s="70"/>
    </row>
    <row r="591" spans="3:3">
      <c r="C591" s="70"/>
    </row>
    <row r="592" spans="3:3">
      <c r="C592" s="70"/>
    </row>
    <row r="593" spans="3:3">
      <c r="C593" s="70"/>
    </row>
    <row r="594" spans="3:3">
      <c r="C594" s="70"/>
    </row>
    <row r="595" spans="3:3">
      <c r="C595" s="70"/>
    </row>
    <row r="596" spans="3:3">
      <c r="C596" s="70"/>
    </row>
    <row r="597" spans="3:3">
      <c r="C597" s="70"/>
    </row>
    <row r="598" spans="3:3">
      <c r="C598" s="70"/>
    </row>
    <row r="599" spans="3:3">
      <c r="C599" s="70"/>
    </row>
    <row r="600" spans="3:3">
      <c r="C600" s="70"/>
    </row>
    <row r="601" spans="3:3">
      <c r="C601" s="70"/>
    </row>
    <row r="602" spans="3:3">
      <c r="C602" s="70"/>
    </row>
    <row r="603" spans="3:3">
      <c r="C603" s="70"/>
    </row>
    <row r="604" spans="3:3">
      <c r="C604" s="70"/>
    </row>
    <row r="605" spans="3:3">
      <c r="C605" s="70"/>
    </row>
    <row r="606" spans="3:3">
      <c r="C606" s="70"/>
    </row>
    <row r="607" spans="3:3">
      <c r="C607" s="70"/>
    </row>
    <row r="608" spans="3:3">
      <c r="C608" s="70"/>
    </row>
    <row r="609" spans="3:3">
      <c r="C609" s="70"/>
    </row>
    <row r="610" spans="3:3">
      <c r="C610" s="70"/>
    </row>
    <row r="611" spans="3:3">
      <c r="C611" s="70"/>
    </row>
    <row r="612" spans="3:3">
      <c r="C612" s="70"/>
    </row>
    <row r="613" spans="3:3">
      <c r="C613" s="70"/>
    </row>
    <row r="614" spans="3:3">
      <c r="C614" s="70"/>
    </row>
    <row r="615" spans="3:3">
      <c r="C615" s="70"/>
    </row>
    <row r="616" spans="3:3">
      <c r="C616" s="70"/>
    </row>
    <row r="617" spans="3:3">
      <c r="C617" s="70"/>
    </row>
    <row r="618" spans="3:3">
      <c r="C618" s="70"/>
    </row>
    <row r="619" spans="3:3">
      <c r="C619" s="70"/>
    </row>
    <row r="620" spans="3:3">
      <c r="C620" s="70"/>
    </row>
    <row r="621" spans="3:3">
      <c r="C621" s="70"/>
    </row>
    <row r="622" spans="3:3">
      <c r="C622" s="70"/>
    </row>
    <row r="623" spans="3:3">
      <c r="C623" s="70"/>
    </row>
    <row r="624" spans="3:3">
      <c r="C624" s="70"/>
    </row>
    <row r="625" spans="3:3">
      <c r="C625" s="70"/>
    </row>
    <row r="626" spans="3:3">
      <c r="C626" s="70"/>
    </row>
    <row r="627" spans="3:3">
      <c r="C627" s="70"/>
    </row>
    <row r="628" spans="3:3">
      <c r="C628" s="70"/>
    </row>
    <row r="629" spans="3:3">
      <c r="C629" s="70"/>
    </row>
    <row r="630" spans="3:3">
      <c r="C630" s="70"/>
    </row>
    <row r="631" spans="3:3">
      <c r="C631" s="70"/>
    </row>
    <row r="632" spans="3:3">
      <c r="C632" s="70"/>
    </row>
    <row r="633" spans="3:3">
      <c r="C633" s="70"/>
    </row>
    <row r="634" spans="3:3">
      <c r="C634" s="70"/>
    </row>
    <row r="635" spans="3:3">
      <c r="C635" s="70"/>
    </row>
    <row r="636" spans="3:3">
      <c r="C636" s="70"/>
    </row>
    <row r="637" spans="3:3">
      <c r="C637" s="70"/>
    </row>
    <row r="638" spans="3:3">
      <c r="C638" s="70"/>
    </row>
    <row r="639" spans="3:3">
      <c r="C639" s="70"/>
    </row>
    <row r="640" spans="3:3">
      <c r="C640" s="70"/>
    </row>
    <row r="641" spans="3:3">
      <c r="C641" s="70"/>
    </row>
    <row r="642" spans="3:3">
      <c r="C642" s="70"/>
    </row>
    <row r="643" spans="3:3">
      <c r="C643" s="70"/>
    </row>
    <row r="644" spans="3:3">
      <c r="C644" s="70"/>
    </row>
    <row r="645" spans="3:3">
      <c r="C645" s="70"/>
    </row>
    <row r="646" spans="3:3">
      <c r="C646" s="70"/>
    </row>
    <row r="647" spans="3:3">
      <c r="C647" s="70"/>
    </row>
    <row r="648" spans="3:3">
      <c r="C648" s="70"/>
    </row>
    <row r="649" spans="3:3">
      <c r="C649" s="70"/>
    </row>
    <row r="650" spans="3:3">
      <c r="C650" s="70"/>
    </row>
    <row r="651" spans="3:3">
      <c r="C651" s="70"/>
    </row>
    <row r="652" spans="3:3">
      <c r="C652" s="70"/>
    </row>
    <row r="653" spans="3:3">
      <c r="C653" s="70"/>
    </row>
    <row r="654" spans="3:3">
      <c r="C654" s="70"/>
    </row>
    <row r="655" spans="3:3">
      <c r="C655" s="70"/>
    </row>
    <row r="656" spans="3:3">
      <c r="C656" s="70"/>
    </row>
    <row r="657" spans="3:3">
      <c r="C657" s="70"/>
    </row>
    <row r="658" spans="3:3">
      <c r="C658" s="70"/>
    </row>
    <row r="659" spans="3:3">
      <c r="C659" s="70"/>
    </row>
    <row r="660" spans="3:3">
      <c r="C660" s="70"/>
    </row>
    <row r="661" spans="3:3">
      <c r="C661" s="70"/>
    </row>
    <row r="662" spans="3:3">
      <c r="C662" s="70"/>
    </row>
    <row r="663" spans="3:3">
      <c r="C663" s="70"/>
    </row>
    <row r="664" spans="3:3">
      <c r="C664" s="70"/>
    </row>
    <row r="665" spans="3:3">
      <c r="C665" s="70"/>
    </row>
    <row r="666" spans="3:3">
      <c r="C666" s="70"/>
    </row>
    <row r="667" spans="3:3">
      <c r="C667" s="70"/>
    </row>
    <row r="668" spans="3:3">
      <c r="C668" s="70"/>
    </row>
    <row r="669" spans="3:3">
      <c r="C669" s="70"/>
    </row>
    <row r="670" spans="3:3">
      <c r="C670" s="70"/>
    </row>
    <row r="671" spans="3:3">
      <c r="C671" s="70"/>
    </row>
    <row r="672" spans="3:3">
      <c r="C672" s="70"/>
    </row>
    <row r="673" spans="3:3">
      <c r="C673" s="70"/>
    </row>
    <row r="674" spans="3:3">
      <c r="C674" s="70"/>
    </row>
    <row r="675" spans="3:3">
      <c r="C675" s="70"/>
    </row>
    <row r="676" spans="3:3">
      <c r="C676" s="70"/>
    </row>
    <row r="677" spans="3:3">
      <c r="C677" s="70"/>
    </row>
    <row r="678" spans="3:3">
      <c r="C678" s="70"/>
    </row>
    <row r="679" spans="3:3">
      <c r="C679" s="70"/>
    </row>
    <row r="680" spans="3:3">
      <c r="C680" s="70"/>
    </row>
    <row r="681" spans="3:3">
      <c r="C681" s="70"/>
    </row>
    <row r="682" spans="3:3">
      <c r="C682" s="70"/>
    </row>
    <row r="683" spans="3:3">
      <c r="C683" s="70"/>
    </row>
    <row r="684" spans="3:3">
      <c r="C684" s="70"/>
    </row>
    <row r="685" spans="3:3">
      <c r="C685" s="70"/>
    </row>
    <row r="686" spans="3:3">
      <c r="C686" s="70"/>
    </row>
    <row r="687" spans="3:3">
      <c r="C687" s="70"/>
    </row>
    <row r="688" spans="3:3">
      <c r="C688" s="70"/>
    </row>
    <row r="689" spans="3:3">
      <c r="C689" s="70"/>
    </row>
    <row r="690" spans="3:3">
      <c r="C690" s="70"/>
    </row>
    <row r="691" spans="3:3">
      <c r="C691" s="70"/>
    </row>
    <row r="692" spans="3:3">
      <c r="C692" s="70"/>
    </row>
    <row r="693" spans="3:3">
      <c r="C693" s="70"/>
    </row>
    <row r="694" spans="3:3">
      <c r="C694" s="70"/>
    </row>
    <row r="695" spans="3:3">
      <c r="C695" s="70"/>
    </row>
    <row r="696" spans="3:3">
      <c r="C696" s="70"/>
    </row>
    <row r="697" spans="3:3">
      <c r="C697" s="70"/>
    </row>
    <row r="698" spans="3:3">
      <c r="C698" s="70"/>
    </row>
    <row r="699" spans="3:3">
      <c r="C699" s="70"/>
    </row>
    <row r="700" spans="3:3">
      <c r="C700" s="70"/>
    </row>
    <row r="701" spans="3:3">
      <c r="C701" s="70"/>
    </row>
    <row r="702" spans="3:3">
      <c r="C702" s="70"/>
    </row>
    <row r="703" spans="3:3">
      <c r="C703" s="70"/>
    </row>
    <row r="704" spans="3:3">
      <c r="C704" s="70"/>
    </row>
    <row r="705" spans="3:3">
      <c r="C705" s="70"/>
    </row>
    <row r="706" spans="3:3">
      <c r="C706" s="70"/>
    </row>
    <row r="707" spans="3:3">
      <c r="C707" s="70"/>
    </row>
    <row r="708" spans="3:3">
      <c r="C708" s="70"/>
    </row>
    <row r="709" spans="3:3">
      <c r="C709" s="70"/>
    </row>
    <row r="710" spans="3:3">
      <c r="C710" s="70"/>
    </row>
    <row r="711" spans="3:3">
      <c r="C711" s="70"/>
    </row>
    <row r="712" spans="3:3">
      <c r="C712" s="70"/>
    </row>
    <row r="713" spans="3:3">
      <c r="C713" s="70"/>
    </row>
    <row r="714" spans="3:3">
      <c r="C714" s="70"/>
    </row>
    <row r="715" spans="3:3">
      <c r="C715" s="70"/>
    </row>
    <row r="716" spans="3:3">
      <c r="C716" s="70"/>
    </row>
    <row r="717" spans="3:3">
      <c r="C717" s="70"/>
    </row>
    <row r="718" spans="3:3">
      <c r="C718" s="70"/>
    </row>
    <row r="719" spans="3:3">
      <c r="C719" s="70"/>
    </row>
    <row r="720" spans="3:3">
      <c r="C720" s="70"/>
    </row>
    <row r="721" spans="3:3">
      <c r="C721" s="70"/>
    </row>
    <row r="722" spans="3:3">
      <c r="C722" s="70"/>
    </row>
    <row r="723" spans="3:3">
      <c r="C723" s="70"/>
    </row>
    <row r="724" spans="3:3">
      <c r="C724" s="70"/>
    </row>
    <row r="725" spans="3:3">
      <c r="C725" s="70"/>
    </row>
    <row r="726" spans="3:3">
      <c r="C726" s="70"/>
    </row>
    <row r="727" spans="3:3">
      <c r="C727" s="70"/>
    </row>
    <row r="728" spans="3:3">
      <c r="C728" s="70"/>
    </row>
    <row r="729" spans="3:3">
      <c r="C729" s="70"/>
    </row>
    <row r="730" spans="3:3">
      <c r="C730" s="70"/>
    </row>
    <row r="731" spans="3:3">
      <c r="C731" s="70"/>
    </row>
    <row r="732" spans="3:3">
      <c r="C732" s="70"/>
    </row>
    <row r="733" spans="3:3">
      <c r="C733" s="70"/>
    </row>
    <row r="734" spans="3:3">
      <c r="C734" s="70"/>
    </row>
    <row r="735" spans="3:3">
      <c r="C735" s="70"/>
    </row>
    <row r="736" spans="3:3">
      <c r="C736" s="70"/>
    </row>
    <row r="737" spans="3:3">
      <c r="C737" s="70"/>
    </row>
    <row r="738" spans="3:3">
      <c r="C738" s="70"/>
    </row>
    <row r="739" spans="3:3">
      <c r="C739" s="70"/>
    </row>
    <row r="740" spans="3:3">
      <c r="C740" s="70"/>
    </row>
    <row r="741" spans="3:3">
      <c r="C741" s="70"/>
    </row>
    <row r="742" spans="3:3">
      <c r="C742" s="70"/>
    </row>
    <row r="743" spans="3:3">
      <c r="C743" s="70"/>
    </row>
    <row r="744" spans="3:3">
      <c r="C744" s="70"/>
    </row>
    <row r="745" spans="3:3">
      <c r="C745" s="70"/>
    </row>
    <row r="746" spans="3:3">
      <c r="C746" s="70"/>
    </row>
    <row r="747" spans="3:3">
      <c r="C747" s="70"/>
    </row>
    <row r="748" spans="3:3">
      <c r="C748" s="70"/>
    </row>
    <row r="749" spans="3:3">
      <c r="C749" s="70"/>
    </row>
    <row r="750" spans="3:3">
      <c r="C750" s="70"/>
    </row>
    <row r="751" spans="3:3">
      <c r="C751" s="70"/>
    </row>
    <row r="752" spans="3:3">
      <c r="C752" s="70"/>
    </row>
    <row r="753" spans="3:3">
      <c r="C753" s="70"/>
    </row>
    <row r="754" spans="3:3">
      <c r="C754" s="70"/>
    </row>
    <row r="755" spans="3:3">
      <c r="C755" s="70"/>
    </row>
    <row r="756" spans="3:3">
      <c r="C756" s="70"/>
    </row>
    <row r="757" spans="3:3">
      <c r="C757" s="70"/>
    </row>
    <row r="758" spans="3:3">
      <c r="C758" s="70"/>
    </row>
    <row r="759" spans="3:3">
      <c r="C759" s="70"/>
    </row>
    <row r="760" spans="3:3">
      <c r="C760" s="70"/>
    </row>
    <row r="761" spans="3:3">
      <c r="C761" s="70"/>
    </row>
    <row r="762" spans="3:3">
      <c r="C762" s="70"/>
    </row>
    <row r="763" spans="3:3">
      <c r="C763" s="70"/>
    </row>
    <row r="764" spans="3:3">
      <c r="C764" s="70"/>
    </row>
    <row r="765" spans="3:3">
      <c r="C765" s="70"/>
    </row>
    <row r="766" spans="3:3">
      <c r="C766" s="70"/>
    </row>
    <row r="767" spans="3:3">
      <c r="C767" s="70"/>
    </row>
    <row r="768" spans="3:3">
      <c r="C768" s="70"/>
    </row>
    <row r="769" spans="3:3">
      <c r="C769" s="70"/>
    </row>
    <row r="770" spans="3:3">
      <c r="C770" s="70"/>
    </row>
    <row r="771" spans="3:3">
      <c r="C771" s="70"/>
    </row>
    <row r="772" spans="3:3">
      <c r="C772" s="70"/>
    </row>
    <row r="773" spans="3:3">
      <c r="C773" s="70"/>
    </row>
    <row r="774" spans="3:3">
      <c r="C774" s="70"/>
    </row>
    <row r="775" spans="3:3">
      <c r="C775" s="70"/>
    </row>
    <row r="776" spans="3:3">
      <c r="C776" s="70"/>
    </row>
    <row r="777" spans="3:3">
      <c r="C777" s="70"/>
    </row>
    <row r="778" spans="3:3">
      <c r="C778" s="70"/>
    </row>
    <row r="779" spans="3:3">
      <c r="C779" s="70"/>
    </row>
    <row r="780" spans="3:3">
      <c r="C780" s="70"/>
    </row>
    <row r="781" spans="3:3">
      <c r="C781" s="70"/>
    </row>
    <row r="782" spans="3:3">
      <c r="C782" s="70"/>
    </row>
    <row r="783" spans="3:3">
      <c r="C783" s="70"/>
    </row>
    <row r="784" spans="3:3">
      <c r="C784" s="70"/>
    </row>
    <row r="785" spans="3:3">
      <c r="C785" s="70"/>
    </row>
    <row r="786" spans="3:3">
      <c r="C786" s="70"/>
    </row>
    <row r="787" spans="3:3">
      <c r="C787" s="70"/>
    </row>
    <row r="788" spans="3:3">
      <c r="C788" s="70"/>
    </row>
    <row r="789" spans="3:3">
      <c r="C789" s="70"/>
    </row>
    <row r="790" spans="3:3">
      <c r="C790" s="70"/>
    </row>
    <row r="791" spans="3:3">
      <c r="C791" s="70"/>
    </row>
    <row r="792" spans="3:3">
      <c r="C792" s="70"/>
    </row>
    <row r="793" spans="3:3">
      <c r="C793" s="70"/>
    </row>
    <row r="794" spans="3:3">
      <c r="C794" s="70"/>
    </row>
    <row r="795" spans="3:3">
      <c r="C795" s="70"/>
    </row>
    <row r="796" spans="3:3">
      <c r="C796" s="70"/>
    </row>
    <row r="797" spans="3:3">
      <c r="C797" s="70"/>
    </row>
    <row r="798" spans="3:3">
      <c r="C798" s="70"/>
    </row>
    <row r="799" spans="3:3">
      <c r="C799" s="70"/>
    </row>
    <row r="800" spans="3:3">
      <c r="C800" s="70"/>
    </row>
    <row r="801" spans="3:3">
      <c r="C801" s="70"/>
    </row>
    <row r="802" spans="3:3">
      <c r="C802" s="70"/>
    </row>
    <row r="803" spans="3:3">
      <c r="C803" s="70"/>
    </row>
    <row r="804" spans="3:3">
      <c r="C804" s="70"/>
    </row>
    <row r="805" spans="3:3">
      <c r="C805" s="70"/>
    </row>
    <row r="806" spans="3:3">
      <c r="C806" s="70"/>
    </row>
    <row r="807" spans="3:3">
      <c r="C807" s="70"/>
    </row>
    <row r="808" spans="3:3">
      <c r="C808" s="70"/>
    </row>
    <row r="809" spans="3:3">
      <c r="C809" s="70"/>
    </row>
    <row r="810" spans="3:3">
      <c r="C810" s="70"/>
    </row>
    <row r="811" spans="3:3">
      <c r="C811" s="70"/>
    </row>
    <row r="812" spans="3:3">
      <c r="C812" s="70"/>
    </row>
    <row r="813" spans="3:3">
      <c r="C813" s="70"/>
    </row>
    <row r="814" spans="3:3">
      <c r="C814" s="70"/>
    </row>
    <row r="815" spans="3:3">
      <c r="C815" s="70"/>
    </row>
    <row r="816" spans="3:3">
      <c r="C816" s="70"/>
    </row>
    <row r="817" spans="3:3">
      <c r="C817" s="70"/>
    </row>
    <row r="818" spans="3:3">
      <c r="C818" s="70"/>
    </row>
    <row r="819" spans="3:3">
      <c r="C819" s="70"/>
    </row>
    <row r="820" spans="3:3">
      <c r="C820" s="70"/>
    </row>
    <row r="821" spans="3:3">
      <c r="C821" s="70"/>
    </row>
    <row r="822" spans="3:3">
      <c r="C822" s="70"/>
    </row>
    <row r="823" spans="3:3">
      <c r="C823" s="70"/>
    </row>
    <row r="824" spans="3:3">
      <c r="C824" s="70"/>
    </row>
    <row r="825" spans="3:3">
      <c r="C825" s="70"/>
    </row>
    <row r="826" spans="3:3">
      <c r="C826" s="70"/>
    </row>
    <row r="827" spans="3:3">
      <c r="C827" s="70"/>
    </row>
    <row r="828" spans="3:3">
      <c r="C828" s="70"/>
    </row>
    <row r="829" spans="3:3">
      <c r="C829" s="70"/>
    </row>
    <row r="830" spans="3:3">
      <c r="C830" s="70"/>
    </row>
    <row r="831" spans="3:3">
      <c r="C831" s="70"/>
    </row>
    <row r="832" spans="3:3">
      <c r="C832" s="70"/>
    </row>
    <row r="833" spans="3:3">
      <c r="C833" s="70"/>
    </row>
    <row r="834" spans="3:3">
      <c r="C834" s="70"/>
    </row>
    <row r="835" spans="3:3">
      <c r="C835" s="70"/>
    </row>
    <row r="836" spans="3:3">
      <c r="C836" s="70"/>
    </row>
    <row r="837" spans="3:3">
      <c r="C837" s="70"/>
    </row>
    <row r="838" spans="3:3">
      <c r="C838" s="70"/>
    </row>
    <row r="839" spans="3:3">
      <c r="C839" s="70"/>
    </row>
    <row r="840" spans="3:3">
      <c r="C840" s="70"/>
    </row>
    <row r="841" spans="3:3">
      <c r="C841" s="70"/>
    </row>
    <row r="842" spans="3:3">
      <c r="C842" s="70"/>
    </row>
    <row r="843" spans="3:3">
      <c r="C843" s="70"/>
    </row>
    <row r="844" spans="3:3">
      <c r="C844" s="70"/>
    </row>
    <row r="845" spans="3:3">
      <c r="C845" s="70"/>
    </row>
    <row r="846" spans="3:3">
      <c r="C846" s="70"/>
    </row>
    <row r="847" spans="3:3">
      <c r="C847" s="70"/>
    </row>
    <row r="848" spans="3:3">
      <c r="C848" s="70"/>
    </row>
    <row r="849" spans="3:3">
      <c r="C849" s="70"/>
    </row>
    <row r="850" spans="3:3">
      <c r="C850" s="70"/>
    </row>
    <row r="851" spans="3:3">
      <c r="C851" s="70"/>
    </row>
    <row r="852" spans="3:3">
      <c r="C852" s="70"/>
    </row>
    <row r="853" spans="3:3">
      <c r="C853" s="70"/>
    </row>
    <row r="854" spans="3:3">
      <c r="C854" s="70"/>
    </row>
    <row r="855" spans="3:3">
      <c r="C855" s="70"/>
    </row>
    <row r="856" spans="3:3">
      <c r="C856" s="70"/>
    </row>
    <row r="857" spans="3:3">
      <c r="C857" s="70"/>
    </row>
    <row r="858" spans="3:3">
      <c r="C858" s="70"/>
    </row>
    <row r="859" spans="3:3">
      <c r="C859" s="70"/>
    </row>
    <row r="860" spans="3:3">
      <c r="C860" s="70"/>
    </row>
    <row r="861" spans="3:3">
      <c r="C861" s="70"/>
    </row>
    <row r="862" spans="3:3">
      <c r="C862" s="70"/>
    </row>
    <row r="863" spans="3:3">
      <c r="C863" s="70"/>
    </row>
    <row r="864" spans="3:3">
      <c r="C864" s="70"/>
    </row>
    <row r="865" spans="3:3">
      <c r="C865" s="70"/>
    </row>
    <row r="866" spans="3:3">
      <c r="C866" s="70"/>
    </row>
    <row r="867" spans="3:3">
      <c r="C867" s="70"/>
    </row>
    <row r="868" spans="3:3">
      <c r="C868" s="70"/>
    </row>
    <row r="869" spans="3:3">
      <c r="C869" s="70"/>
    </row>
    <row r="870" spans="3:3">
      <c r="C870" s="70"/>
    </row>
    <row r="871" spans="3:3">
      <c r="C871" s="70"/>
    </row>
    <row r="872" spans="3:3">
      <c r="C872" s="70"/>
    </row>
    <row r="873" spans="3:3">
      <c r="C873" s="70"/>
    </row>
    <row r="874" spans="3:3">
      <c r="C874" s="70"/>
    </row>
    <row r="875" spans="3:3">
      <c r="C875" s="70"/>
    </row>
    <row r="876" spans="3:3">
      <c r="C876" s="70"/>
    </row>
    <row r="877" spans="3:3">
      <c r="C877" s="70"/>
    </row>
    <row r="878" spans="3:3">
      <c r="C878" s="70"/>
    </row>
    <row r="879" spans="3:3">
      <c r="C879" s="70"/>
    </row>
    <row r="880" spans="3:3">
      <c r="C880" s="70"/>
    </row>
    <row r="881" spans="3:3">
      <c r="C881" s="70"/>
    </row>
    <row r="882" spans="3:3">
      <c r="C882" s="70"/>
    </row>
    <row r="883" spans="3:3">
      <c r="C883" s="70"/>
    </row>
    <row r="884" spans="3:3">
      <c r="C884" s="70"/>
    </row>
    <row r="885" spans="3:3">
      <c r="C885" s="70"/>
    </row>
    <row r="886" spans="3:3">
      <c r="C886" s="70"/>
    </row>
    <row r="887" spans="3:3">
      <c r="C887" s="70"/>
    </row>
    <row r="888" spans="3:3">
      <c r="C888" s="70"/>
    </row>
    <row r="889" spans="3:3">
      <c r="C889" s="70"/>
    </row>
    <row r="890" spans="3:3">
      <c r="C890" s="70"/>
    </row>
    <row r="891" spans="3:3">
      <c r="C891" s="70"/>
    </row>
    <row r="892" spans="3:3">
      <c r="C892" s="70"/>
    </row>
    <row r="893" spans="3:3">
      <c r="C893" s="70"/>
    </row>
    <row r="894" spans="3:3">
      <c r="C894" s="70"/>
    </row>
    <row r="895" spans="3:3">
      <c r="C895" s="70"/>
    </row>
    <row r="896" spans="3:3">
      <c r="C896" s="70"/>
    </row>
    <row r="897" spans="3:3">
      <c r="C897" s="70"/>
    </row>
    <row r="898" spans="3:3">
      <c r="C898" s="70"/>
    </row>
    <row r="899" spans="3:3">
      <c r="C899" s="70"/>
    </row>
    <row r="900" spans="3:3">
      <c r="C900" s="70"/>
    </row>
    <row r="901" spans="3:3">
      <c r="C901" s="70"/>
    </row>
    <row r="902" spans="3:3">
      <c r="C902" s="70"/>
    </row>
    <row r="903" spans="3:3">
      <c r="C903" s="70"/>
    </row>
    <row r="904" spans="3:3">
      <c r="C904" s="70"/>
    </row>
    <row r="905" spans="3:3">
      <c r="C905" s="70"/>
    </row>
    <row r="906" spans="3:3">
      <c r="C906" s="70"/>
    </row>
    <row r="907" spans="3:3">
      <c r="C907" s="70"/>
    </row>
    <row r="908" spans="3:3">
      <c r="C908" s="70"/>
    </row>
    <row r="909" spans="3:3">
      <c r="C909" s="70"/>
    </row>
    <row r="910" spans="3:3">
      <c r="C910" s="70"/>
    </row>
    <row r="911" spans="3:3">
      <c r="C911" s="70"/>
    </row>
    <row r="912" spans="3:3">
      <c r="C912" s="70"/>
    </row>
    <row r="913" spans="3:3">
      <c r="C913" s="70"/>
    </row>
    <row r="914" spans="3:3">
      <c r="C914" s="70"/>
    </row>
    <row r="915" spans="3:3">
      <c r="C915" s="70"/>
    </row>
    <row r="916" spans="3:3">
      <c r="C916" s="70"/>
    </row>
    <row r="917" spans="3:3">
      <c r="C917" s="70"/>
    </row>
    <row r="918" spans="3:3">
      <c r="C918" s="70"/>
    </row>
    <row r="919" spans="3:3">
      <c r="C919" s="70"/>
    </row>
    <row r="920" spans="3:3">
      <c r="C920" s="70"/>
    </row>
    <row r="921" spans="3:3">
      <c r="C921" s="70"/>
    </row>
    <row r="922" spans="3:3">
      <c r="C922" s="70"/>
    </row>
    <row r="923" spans="3:3">
      <c r="C923" s="70"/>
    </row>
    <row r="924" spans="3:3">
      <c r="C924" s="70"/>
    </row>
  </sheetData>
  <mergeCells count="3">
    <mergeCell ref="B17:C17"/>
    <mergeCell ref="B19:C19"/>
    <mergeCell ref="B21:C21"/>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Drawings &amp; Data</vt:lpstr>
      <vt:lpstr>Summary</vt:lpstr>
      <vt:lpstr>Road &amp; Drainage</vt:lpstr>
      <vt:lpstr>Sewer Retic (MRWA)</vt:lpstr>
      <vt:lpstr>Sewer Retic (WW)</vt:lpstr>
      <vt:lpstr>Branch Sewer MRWA Reimbursable</vt:lpstr>
      <vt:lpstr>Branch Sewer MRWA Reimburs (WW)</vt:lpstr>
      <vt:lpstr>DW Retic</vt:lpstr>
      <vt:lpstr>DW Retic (WW)</vt:lpstr>
      <vt:lpstr>NDW Retic</vt:lpstr>
      <vt:lpstr>NDW Retic (WW)</vt:lpstr>
      <vt:lpstr>Trunk DW Main - Reimbursable</vt:lpstr>
      <vt:lpstr>Trunk DW Main (WW)</vt:lpstr>
      <vt:lpstr>Trunk NDW Main - Reimbursable</vt:lpstr>
      <vt:lpstr>Trunk NDW Main - (WW)</vt:lpstr>
      <vt:lpstr>Electrical</vt:lpstr>
      <vt:lpstr>'Branch Sewer MRWA Reimburs (WW)'!Print_Titles</vt:lpstr>
      <vt:lpstr>'Branch Sewer MRWA Reimbursable'!Print_Titles</vt:lpstr>
      <vt:lpstr>'DW Retic'!Print_Titles</vt:lpstr>
      <vt:lpstr>'DW Retic (WW)'!Print_Titles</vt:lpstr>
      <vt:lpstr>Electrical!Print_Titles</vt:lpstr>
      <vt:lpstr>'NDW Retic'!Print_Titles</vt:lpstr>
      <vt:lpstr>'NDW Retic (WW)'!Print_Titles</vt:lpstr>
      <vt:lpstr>'Road &amp; Drainage'!Print_Titles</vt:lpstr>
      <vt:lpstr>'Sewer Retic (MRWA)'!Print_Titles</vt:lpstr>
      <vt:lpstr>'Sewer Retic (WW)'!Print_Titles</vt:lpstr>
      <vt:lpstr>'Trunk DW Main - Reimbursable'!Print_Titles</vt:lpstr>
      <vt:lpstr>'Trunk DW Main (WW)'!Print_Titles</vt:lpstr>
      <vt:lpstr>'Trunk NDW Main - (WW)'!Print_Titles</vt:lpstr>
      <vt:lpstr>'Trunk NDW Main - Reimbursable'!Print_Titles</vt:lpstr>
    </vt:vector>
  </TitlesOfParts>
  <Company>Fisher Stewart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Nguyen</dc:creator>
  <cp:lastModifiedBy>User</cp:lastModifiedBy>
  <cp:lastPrinted>2017-12-10T22:21:05Z</cp:lastPrinted>
  <dcterms:created xsi:type="dcterms:W3CDTF">1998-10-05T04:07:04Z</dcterms:created>
  <dcterms:modified xsi:type="dcterms:W3CDTF">2022-08-29T08:13:05Z</dcterms:modified>
</cp:coreProperties>
</file>